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eld Check" sheetId="2" state="visible" r:id="rId2"/>
    <sheet xmlns:r="http://schemas.openxmlformats.org/officeDocument/2006/relationships" name="AS51" sheetId="3" state="visible" r:id="rId3"/>
    <sheet xmlns:r="http://schemas.openxmlformats.org/officeDocument/2006/relationships" name="MXAU" sheetId="4" state="visible" r:id="rId4"/>
    <sheet xmlns:r="http://schemas.openxmlformats.org/officeDocument/2006/relationships" name="Index Summary" sheetId="5" state="visible" r:id="rId5"/>
    <sheet xmlns:r="http://schemas.openxmlformats.org/officeDocument/2006/relationships" name="Dvd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006100"/>
      <sz val="10"/>
    </font>
    <font>
      <name val="Arial"/>
      <sz val="10"/>
    </font>
    <font>
      <name val="Arial"/>
      <b val="1"/>
      <color rgb="00C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0" pivotButton="0" quotePrefix="0" xfId="0"/>
    <xf numFmtId="0" fontId="7" fillId="3" borderId="1" pivotButton="0" quotePrefix="0" xfId="0"/>
    <xf numFmtId="0" fontId="7" fillId="4" borderId="1" pivotButton="0" quotePrefix="0" xfId="0"/>
    <xf numFmtId="0" fontId="9" fillId="5" borderId="1" applyAlignment="1" pivotButton="0" quotePrefix="0" xfId="0">
      <alignment horizontal="center"/>
    </xf>
    <xf numFmtId="0" fontId="3" fillId="6" borderId="0" pivotButton="0" quotePrefix="0" xfId="0"/>
    <xf numFmtId="0" fontId="0" fillId="6" borderId="0" pivotButton="0" quotePrefix="0" xfId="0"/>
    <xf numFmtId="0" fontId="7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vertical="top" wrapText="1"/>
    </xf>
    <xf numFmtId="0" fontId="9" fillId="5" borderId="1" pivotButton="0" quotePrefix="0" xfId="0"/>
    <xf numFmtId="0" fontId="3" fillId="0" borderId="1" pivotButton="0" quotePrefix="0" xfId="0"/>
    <xf numFmtId="0" fontId="0" fillId="0" borderId="1" pivotButton="0" quotePrefix="0" xfId="0"/>
    <xf numFmtId="3" fontId="3" fillId="6" borderId="1" pivotButton="0" quotePrefix="0" xfId="0"/>
    <xf numFmtId="0" fontId="5" fillId="2" borderId="1" pivotButton="0" quotePrefix="0" xfId="0"/>
    <xf numFmtId="10" fontId="3" fillId="6" borderId="1" pivotButton="0" quotePrefix="0" xfId="0"/>
    <xf numFmtId="10" fontId="3" fillId="2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4" fontId="5" fillId="6" borderId="1" pivotButton="0" quotePrefix="0" xfId="0"/>
    <xf numFmtId="2" fontId="5" fillId="6" borderId="1" pivotButton="0" quotePrefix="0" xfId="0"/>
    <xf numFmtId="10" fontId="5" fillId="6" borderId="1" pivotButton="0" quotePrefix="0" xfId="0"/>
    <xf numFmtId="0" fontId="5" fillId="6" borderId="1" applyAlignment="1" pivotButton="0" quotePrefix="0" xfId="0">
      <alignment horizontal="center"/>
    </xf>
    <xf numFmtId="4" fontId="5" fillId="0" borderId="1" pivotButton="0" quotePrefix="0" xfId="0"/>
    <xf numFmtId="2" fontId="5" fillId="0" borderId="1" pivotButton="0" quotePrefix="0" xfId="0"/>
    <xf numFmtId="10" fontId="5" fillId="0" borderId="1" pivotButton="0" quotePrefix="0" xfId="0"/>
    <xf numFmtId="0" fontId="5" fillId="0" borderId="1" applyAlignment="1" pivotButton="0" quotePrefix="0" xfId="0">
      <alignment horizontal="center"/>
    </xf>
    <xf numFmtId="10" fontId="7" fillId="2" borderId="1" pivotButton="0" quotePrefix="0" xfId="0"/>
    <xf numFmtId="3" fontId="7" fillId="2" borderId="1" pivotButton="0" quotePrefix="0" xfId="0"/>
    <xf numFmtId="2" fontId="5" fillId="0" borderId="1" applyAlignment="1" pivotButton="0" quotePrefix="0" xfId="0">
      <alignment horizontal="center"/>
    </xf>
    <xf numFmtId="10" fontId="8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10" fontId="5" fillId="2" borderId="1" applyAlignment="1" pivotButton="0" quotePrefix="0" xfId="0">
      <alignment horizontal="center"/>
    </xf>
    <xf numFmtId="10" fontId="8" fillId="2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4" fontId="7" fillId="3" borderId="1" pivotButton="0" quotePrefix="0" xfId="0"/>
    <xf numFmtId="2" fontId="7" fillId="3" borderId="1" pivotButton="0" quotePrefix="0" xfId="0"/>
    <xf numFmtId="4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00" customWidth="1" min="3" max="3"/>
  </cols>
  <sheetData>
    <row r="2">
      <c r="B2" s="1" t="inlineStr">
        <is>
          <t>AUSTRALIA DIVIDEND &amp; FRANKING STUDY</t>
        </is>
      </c>
    </row>
    <row r="3">
      <c r="B3" s="2" t="inlineStr">
        <is>
          <t>S&amp;P/ASX 200 (AS51) and MSCI Australia (MXAU)  |  Bloomberg BDP / BDS  |  v2</t>
        </is>
      </c>
    </row>
    <row r="5">
      <c r="B5" s="3" t="inlineStr">
        <is>
          <t>CHANGES IN THIS VERSION</t>
        </is>
      </c>
    </row>
    <row r="6">
      <c r="B6" s="4" t="inlineStr">
        <is>
          <t>Franking field confirmed</t>
        </is>
      </c>
      <c r="C6" s="5" t="inlineStr">
        <is>
          <t>EQY_DVD_PCT_FRANKED is now hardcoded as the confirmed field. The other candidates have been removed.</t>
        </is>
      </c>
    </row>
    <row r="7">
      <c r="B7" s="4" t="inlineStr">
        <is>
          <t>Data tabs trimmed</t>
        </is>
      </c>
      <c r="C7" s="5" t="inlineStr">
        <is>
          <t>Dropped GICS sector, currency, price, market cap, consensus yield and payout ratio. That is 6 fewer BDP calls per row, roughly 1,600 fewer calls across both tabs, so it also refreshes much faster.</t>
        </is>
      </c>
    </row>
    <row r="8">
      <c r="B8" s="4" t="inlineStr">
        <is>
          <t>#N/A now handled</t>
        </is>
      </c>
      <c r="C8" s="5" t="inlineStr">
        <is>
          <t>Non-payers no longer break the totals. See the section below - this matters more than it looks.</t>
        </is>
      </c>
    </row>
    <row r="9">
      <c r="B9" s="4" t="inlineStr">
        <is>
          <t>Status column added</t>
        </is>
      </c>
      <c r="C9" s="5" t="inlineStr">
        <is>
          <t>Column M labels every row as OK, No dividend, or Franking n/a, so you can see instantly what the data is doing.</t>
        </is>
      </c>
    </row>
    <row r="11">
      <c r="B11" s="6" t="inlineStr">
        <is>
          <t>ABOUT THE #N/A ROWS - READ THIS ONE</t>
        </is>
      </c>
    </row>
    <row r="12">
      <c r="B12" s="6" t="inlineStr">
        <is>
          <t>#N/A is usually correct</t>
        </is>
      </c>
      <c r="C12" s="5" t="inlineStr">
        <is>
          <t>A stock that pays no dividend has no dividend yield to return. Bloomberg is answering honestly. This is not a formula bug and not something to fix at source.</t>
        </is>
      </c>
    </row>
    <row r="13">
      <c r="B13" s="6" t="inlineStr">
        <is>
          <t>DO NOT delete those rows</t>
        </is>
      </c>
      <c r="C13" s="5" t="inlineStr">
        <is>
          <t>This is the trap. A non-payer has a genuine yield of zero and still occupies index weight. Delete it and you divide the same dividends by a smaller index, which overstates the index yield. On the ASX 200 the non-payers are concentrated in resources and tech, so dropping them biases the answer in a direction someone will notice.</t>
        </is>
      </c>
    </row>
    <row r="14">
      <c r="B14" s="6" t="inlineStr">
        <is>
          <t>So they are floored at zero, not excluded</t>
        </is>
      </c>
      <c r="C14" s="5" t="inlineStr">
        <is>
          <t>Column J wraps the yield in IFERROR(...,0). Non-payers keep their index weight in column I but contribute zero dividend. That is the economically correct treatment and it is what the index itself does.</t>
        </is>
      </c>
    </row>
    <row r="15">
      <c r="B15" s="6" t="inlineStr">
        <is>
          <t>Franking gaps are treated differently</t>
        </is>
      </c>
      <c r="C15" s="5" t="inlineStr">
        <is>
          <t>A stock that pays a dividend but returns no franking value is EXCLUDED from the franked/unfranked split rather than assumed unfranked - assuming zero would silently push the answer toward 'unfranked'. Those rows are flagged 'Franking n/a' and the coverage ratio on row 4 tells you how much dividend they represent.</t>
        </is>
      </c>
    </row>
    <row r="16">
      <c r="B16" s="6" t="inlineStr">
        <is>
          <t>Check coverage before quoting the split</t>
        </is>
      </c>
      <c r="C16" s="5" t="inlineStr">
        <is>
          <t>Cell M4 on each data tab, and the coverage row on Index Summary. Above ~95% you are fine. Materially below that and the split is describing your data gaps, not the market.</t>
        </is>
      </c>
    </row>
    <row r="18">
      <c r="B18" s="3" t="inlineStr">
        <is>
          <t>TABS</t>
        </is>
      </c>
    </row>
    <row r="19">
      <c r="B19" s="3" t="inlineStr">
        <is>
          <t>Field Check</t>
        </is>
      </c>
      <c r="C19" s="5" t="inlineStr">
        <is>
          <t>Mnemonic tester. Confirmed fields, plus the open question on next-dividend fields.</t>
        </is>
      </c>
    </row>
    <row r="20">
      <c r="B20" s="3" t="inlineStr">
        <is>
          <t>AS51 / MXAU</t>
        </is>
      </c>
      <c r="C20" s="5" t="inlineStr">
        <is>
          <t>Members, weights, DPS, yield, franking. Steps 1 and 2.</t>
        </is>
      </c>
    </row>
    <row r="21">
      <c r="B21" s="3" t="inlineStr">
        <is>
          <t>Index Summary</t>
        </is>
      </c>
      <c r="C21" s="5" t="inlineStr">
        <is>
          <t>Index yield top-down vs bottom-up, and the franked/unfranked split. Steps 3 and 4.</t>
        </is>
      </c>
    </row>
    <row r="22">
      <c r="B22" s="3" t="inlineStr">
        <is>
          <t>Dvd History</t>
        </is>
      </c>
      <c r="C22" s="5" t="inlineStr">
        <is>
          <t>Per-event dividend history - the ground truth for franking.</t>
        </is>
      </c>
    </row>
    <row r="24">
      <c r="B24" s="3" t="inlineStr">
        <is>
          <t>STILL TRUE FROM LAST TIME</t>
        </is>
      </c>
    </row>
    <row r="25">
      <c r="B25" s="5" t="inlineStr">
        <is>
          <t>Open on a terminal, then Ctrl+Alt+F9</t>
        </is>
      </c>
      <c r="C25" s="2" t="inlineStr">
        <is>
          <t>Off-terminal everything reads as a name error. That is the add-in not being loaded.</t>
        </is>
      </c>
    </row>
    <row r="26">
      <c r="B26" s="5" t="inlineStr">
        <is>
          <t>Bloomberg percentages are not fractions</t>
        </is>
      </c>
      <c r="C26" s="2" t="inlineStr">
        <is>
          <t>EQY_DVD_YLD_IND returns 3.85 meaning 3.85%. Raw columns are plain-formatted with (%) in the header and divided by 100 in the maths.</t>
        </is>
      </c>
    </row>
    <row r="27">
      <c r="B27" s="5" t="inlineStr">
        <is>
          <t>Franking is per-dividend, not per-company</t>
        </is>
      </c>
      <c r="C27" s="2" t="inlineStr">
        <is>
          <t>An interim can be 100% franked and the final 50%. Use the Dvd History tab to test whether the company-level number holds.</t>
        </is>
      </c>
    </row>
    <row r="28">
      <c r="B28" s="5" t="inlineStr">
        <is>
          <t>MXAU is quoted in USD</t>
        </is>
      </c>
      <c r="C28" s="2" t="inlineStr">
        <is>
          <t>Yields are currency-neutral so the ratio is fine, but confirm the index variant (Standard vs IMI) with your index desk.</t>
        </is>
      </c>
    </row>
    <row r="29">
      <c r="B29" s="5" t="inlineStr">
        <is>
          <t>Members are a live snapshot</t>
        </is>
      </c>
      <c r="C29" s="2" t="inlineStr">
        <is>
          <t>For a fixed date use INDX_MWEIGHT_HIST with END_DATE_OVERRIDE - syntax on Field Check.</t>
        </is>
      </c>
    </row>
    <row r="31">
      <c r="B31" s="3" t="inlineStr">
        <is>
          <t>COLOUR KEY</t>
        </is>
      </c>
    </row>
    <row r="32">
      <c r="B32" s="7" t="inlineStr">
        <is>
          <t>Blue text</t>
        </is>
      </c>
      <c r="C32" s="2" t="inlineStr">
        <is>
          <t>Hardcoded input - safe to edit.</t>
        </is>
      </c>
    </row>
    <row r="33">
      <c r="B33" s="5" t="inlineStr">
        <is>
          <t>Black text</t>
        </is>
      </c>
      <c r="C33" s="2" t="inlineStr">
        <is>
          <t>Formula - do not overwrite.</t>
        </is>
      </c>
    </row>
    <row r="34">
      <c r="B34" s="8" t="inlineStr">
        <is>
          <t>Green text</t>
        </is>
      </c>
      <c r="C34" s="2" t="inlineStr">
        <is>
          <t>Link to another tab.</t>
        </is>
      </c>
    </row>
    <row r="35">
      <c r="B35" s="9" t="inlineStr">
        <is>
          <t>Yellow fill</t>
        </is>
      </c>
      <c r="C35" s="2" t="inlineStr">
        <is>
          <t>Key assumption needing your sign-off.</t>
        </is>
      </c>
    </row>
    <row r="37">
      <c r="B37" s="3" t="inlineStr">
        <is>
          <t>Assumptions log</t>
        </is>
      </c>
    </row>
    <row r="38">
      <c r="B38" s="7" t="inlineStr">
        <is>
          <t>Corporate tax rate 30%</t>
        </is>
      </c>
      <c r="C38" s="2" t="inlineStr">
        <is>
          <t>Used for the franking gross-up. Base rate entities (turnover &lt; AUD 50m) are 25% - immaterial at ASX 200 level. Set at 'Index Summary'!C6.</t>
        </is>
      </c>
    </row>
    <row r="39">
      <c r="B39" s="7" t="inlineStr">
        <is>
          <t>Franking scale = 100</t>
        </is>
      </c>
      <c r="C39" s="2" t="inlineStr">
        <is>
          <t>Assumes EQY_DVD_PCT_FRANKED returns 100 for fully franked. Confirm on Field Check; override at 'Index Summary'!C7.</t>
        </is>
      </c>
    </row>
    <row r="40">
      <c r="B40" s="7" t="inlineStr">
        <is>
          <t>Yield basis = indicated</t>
        </is>
      </c>
      <c r="C40" s="2" t="inlineStr">
        <is>
          <t>Bottom-up uses EQY_DVD_YLD_IND (column G). Trailing 12M is carried in column F if you prefer that basis - repoint column J.</t>
        </is>
      </c>
    </row>
    <row r="41">
      <c r="B41" s="7" t="inlineStr">
        <is>
          <t>Non-payers floored at zero</t>
        </is>
      </c>
      <c r="C41" s="2" t="inlineStr">
        <is>
          <t>Rather than excluded. See the #N/A section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22" customWidth="1" min="4" max="4"/>
    <col width="78" customWidth="1" min="5" max="5"/>
  </cols>
  <sheetData>
    <row r="2">
      <c r="B2" s="1" t="inlineStr">
        <is>
          <t>FIELD MNEMONIC TESTER</t>
        </is>
      </c>
    </row>
    <row r="3">
      <c r="B3" s="3" t="inlineStr">
        <is>
          <t>Test ticker</t>
        </is>
      </c>
      <c r="C3" s="10" t="inlineStr">
        <is>
          <t>BHP AU Equity</t>
        </is>
      </c>
      <c r="E3" s="2" t="inlineStr">
        <is>
          <t>BHP pays fully franked dividends, so a working franking field should return 100 here.</t>
        </is>
      </c>
    </row>
    <row r="4">
      <c r="B4" s="4" t="inlineStr">
        <is>
          <t>FRANKING FIELD (CONFIRMED)</t>
        </is>
      </c>
      <c r="C4" s="11" t="inlineStr">
        <is>
          <t>EQY_DVD_PCT_FRANKED</t>
        </is>
      </c>
      <c r="E4" s="4" t="inlineStr">
        <is>
          <t>Confirmed working on terminal. Both data tabs read their franking mnemonic from this cell - change it here and it flows everywhere.</t>
        </is>
      </c>
    </row>
    <row r="7">
      <c r="B7" s="12" t="inlineStr">
        <is>
          <t>Field</t>
        </is>
      </c>
      <c r="C7" s="12" t="inlineStr">
        <is>
          <t>Result</t>
        </is>
      </c>
      <c r="D7" s="12" t="inlineStr">
        <is>
          <t>Status</t>
        </is>
      </c>
      <c r="E7" s="12" t="inlineStr">
        <is>
          <t>Notes</t>
        </is>
      </c>
    </row>
    <row r="8">
      <c r="B8" s="13" t="inlineStr">
        <is>
          <t>--- IN USE (all confirmed working) ---</t>
        </is>
      </c>
      <c r="C8" s="14" t="n"/>
      <c r="D8" s="14" t="n"/>
      <c r="E8" s="14" t="n"/>
    </row>
    <row r="9">
      <c r="B9" s="15" t="inlineStr">
        <is>
          <t>EQY_DVD_PCT_FRANKED</t>
        </is>
      </c>
      <c r="C9" s="16">
        <f>BDP($C$3,$B9)</f>
        <v/>
      </c>
      <c r="D9" s="16">
        <f>IF(ISNUMBER(C9),"OK - numeric",IF(C9="","blank / no data",IF(ISTEXT(C9),"OK - text","INVALID or error")))</f>
        <v/>
      </c>
      <c r="E9" s="17" t="inlineStr">
        <is>
          <t>Franked %. Returns 100 for fully franked. Confirmed.</t>
        </is>
      </c>
    </row>
    <row r="10">
      <c r="B10" s="15" t="inlineStr">
        <is>
          <t>EQY_DVD_SH_12M</t>
        </is>
      </c>
      <c r="C10" s="16">
        <f>BDP($C$3,$B10)</f>
        <v/>
      </c>
      <c r="D10" s="16">
        <f>IF(ISNUMBER(C10),"OK - numeric",IF(C10="","blank / no data",IF(ISTEXT(C10),"OK - text","INVALID or error")))</f>
        <v/>
      </c>
      <c r="E10" s="17" t="inlineStr">
        <is>
          <t>Gross DPS paid over trailing 12 months, in trading currency.</t>
        </is>
      </c>
    </row>
    <row r="11">
      <c r="B11" s="15" t="inlineStr">
        <is>
          <t>EQY_DVD_YLD_12M</t>
        </is>
      </c>
      <c r="C11" s="16">
        <f>BDP($C$3,$B11)</f>
        <v/>
      </c>
      <c r="D11" s="16">
        <f>IF(ISNUMBER(C11),"OK - numeric",IF(C11="","blank / no data",IF(ISTEXT(C11),"OK - text","INVALID or error")))</f>
        <v/>
      </c>
      <c r="E11" s="17" t="inlineStr">
        <is>
          <t>Trailing 12-month gross dividend yield, %.</t>
        </is>
      </c>
    </row>
    <row r="12">
      <c r="B12" s="15" t="inlineStr">
        <is>
          <t>EQY_DVD_YLD_IND</t>
        </is>
      </c>
      <c r="C12" s="16">
        <f>BDP($C$3,$B12)</f>
        <v/>
      </c>
      <c r="D12" s="16">
        <f>IF(ISNUMBER(C12),"OK - numeric",IF(C12="","blank / no data",IF(ISTEXT(C12),"OK - text","INVALID or error")))</f>
        <v/>
      </c>
      <c r="E12" s="17" t="inlineStr">
        <is>
          <t>Indicated gross dividend yield, %. Primary bottom-up input.</t>
        </is>
      </c>
    </row>
    <row r="13">
      <c r="B13" s="15" t="inlineStr">
        <is>
          <t>NAME</t>
        </is>
      </c>
      <c r="C13" s="16">
        <f>BDP($C$3,$B13)</f>
        <v/>
      </c>
      <c r="D13" s="16">
        <f>IF(ISNUMBER(C13),"OK - numeric",IF(C13="","blank / no data",IF(ISTEXT(C13),"OK - text","INVALID or error")))</f>
        <v/>
      </c>
      <c r="E13" s="17" t="inlineStr">
        <is>
          <t>Company name. If this fails, the ticker or the add-in is the problem, not the field.</t>
        </is>
      </c>
    </row>
    <row r="14">
      <c r="B14" s="13" t="inlineStr">
        <is>
          <t>--- NEXT / UPCOMING DIVIDEND: open question ---</t>
        </is>
      </c>
      <c r="C14" s="14" t="n"/>
      <c r="D14" s="14" t="n"/>
      <c r="E14" s="14" t="n"/>
    </row>
    <row r="15">
      <c r="B15" s="15" t="inlineStr">
        <is>
          <t>BDVD_PROJ_DIV_AMT</t>
        </is>
      </c>
      <c r="C15" s="16">
        <f>BDP($C$3,$B15)</f>
        <v/>
      </c>
      <c r="D15" s="16">
        <f>IF(ISNUMBER(C15),"OK - numeric",IF(C15="","blank / no data",IF(ISTEXT(C15),"OK - text","INVALID or error")))</f>
        <v/>
      </c>
      <c r="E15" s="17" t="inlineStr">
        <is>
          <t>Bloomberg Dividend Forecast projected amount. Most likely replacement for what you wanted. Needs the BDVD entitlement.</t>
        </is>
      </c>
    </row>
    <row r="16">
      <c r="B16" s="15" t="inlineStr">
        <is>
          <t>BDVD_PROJ_DIV_EX_DT</t>
        </is>
      </c>
      <c r="C16" s="16">
        <f>BDP($C$3,$B16)</f>
        <v/>
      </c>
      <c r="D16" s="16">
        <f>IF(ISNUMBER(C16),"OK - numeric",IF(C16="","blank / no data",IF(ISTEXT(C16),"OK - text","INVALID or error")))</f>
        <v/>
      </c>
      <c r="E16" s="17" t="inlineStr">
        <is>
          <t>Projected ex-date to go with the above.</t>
        </is>
      </c>
    </row>
    <row r="17">
      <c r="B17" s="15" t="inlineStr">
        <is>
          <t>EQY_DVD_SH_LAST</t>
        </is>
      </c>
      <c r="C17" s="16">
        <f>BDP($C$3,$B17)</f>
        <v/>
      </c>
      <c r="D17" s="16">
        <f>IF(ISNUMBER(C17),"OK - numeric",IF(C17="","blank / no data",IF(ISTEXT(C17),"OK - text","INVALID or error")))</f>
        <v/>
      </c>
      <c r="E17" s="17" t="inlineStr">
        <is>
          <t>Most recent declared gross DPS. Not forward-looking, but it always works and is often close enough.</t>
        </is>
      </c>
    </row>
    <row r="18">
      <c r="B18" s="15" t="inlineStr">
        <is>
          <t>DVD_SH_LAST</t>
        </is>
      </c>
      <c r="C18" s="16">
        <f>BDP($C$3,$B18)</f>
        <v/>
      </c>
      <c r="D18" s="16">
        <f>IF(ISNUMBER(C18),"OK - numeric",IF(C18="","blank / no data",IF(ISTEXT(C18),"OK - text","INVALID or error")))</f>
        <v/>
      </c>
      <c r="E18" s="17" t="inlineStr">
        <is>
          <t>Shorter variant of the above - test which one your terminal takes.</t>
        </is>
      </c>
    </row>
    <row r="19">
      <c r="B19" s="15" t="inlineStr">
        <is>
          <t>EQY_DVD_SH_NEXT</t>
        </is>
      </c>
      <c r="C19" s="16">
        <f>BDP($C$3,$B19)</f>
        <v/>
      </c>
      <c r="D19" s="16">
        <f>IF(ISNUMBER(C19),"OK - numeric",IF(C19="","blank / no data",IF(ISTEXT(C19),"OK - text","INVALID or error")))</f>
        <v/>
      </c>
      <c r="E19" s="17" t="inlineStr">
        <is>
          <t>YOUR ATTEMPT - returns Invalid Field. Kept here only so nobody retries it.</t>
        </is>
      </c>
    </row>
    <row r="20">
      <c r="B20" s="13" t="inlineStr">
        <is>
          <t>--- DROPPED IN V2 (were cluttering the data tab) ---</t>
        </is>
      </c>
      <c r="C20" s="14" t="n"/>
      <c r="D20" s="14" t="n"/>
      <c r="E20" s="14" t="n"/>
    </row>
    <row r="21">
      <c r="B21" s="2" t="inlineStr">
        <is>
          <t>GICS_SECTOR_NAME</t>
        </is>
      </c>
      <c r="D21" s="2" t="inlineStr">
        <is>
          <t>not pulled</t>
        </is>
      </c>
      <c r="E21" s="2" t="inlineStr">
        <is>
          <t>Only needed if you later want franking cut by sector. Easy to add back.</t>
        </is>
      </c>
    </row>
    <row r="22">
      <c r="B22" s="2" t="inlineStr">
        <is>
          <t>CUR_MKT_CAP / PX_LAST / CRNCY</t>
        </is>
      </c>
      <c r="D22" s="2" t="inlineStr">
        <is>
          <t>not pulled</t>
        </is>
      </c>
      <c r="E22" s="2" t="inlineStr">
        <is>
          <t>Not used by any calculation. Weights already come from INDX_MWEIGHT.</t>
        </is>
      </c>
    </row>
    <row r="23">
      <c r="B23" s="2" t="inlineStr">
        <is>
          <t>BEST_DIV_YLD / DVD_PAYOUT_RATIO</t>
        </is>
      </c>
      <c r="D23" s="2" t="inlineStr">
        <is>
          <t>not pulled</t>
        </is>
      </c>
      <c r="E23" s="2" t="inlineStr">
        <is>
          <t>Forward and context metrics. Not part of steps 1-4.</t>
        </is>
      </c>
    </row>
    <row r="25">
      <c r="B25" s="6" t="inlineStr">
        <is>
          <t>ON 'EQY_DVD_SH_NEXT - INVALID FIELD'</t>
        </is>
      </c>
    </row>
    <row r="26" ht="26" customHeight="1">
      <c r="B26" s="2" t="inlineStr">
        <is>
          <t>-</t>
        </is>
      </c>
      <c r="C26" s="18" t="inlineStr">
        <is>
          <t>Invalid Field means the mnemonic does not exist. That is different from a permissions problem - a field you exist but are not entitled to returns N.A. or a 'not licensed' message, not Invalid Field. So this is a naming issue, not an entitlement one, and no amount of retrying will fix it.</t>
        </is>
      </c>
    </row>
    <row r="27" ht="26" customHeight="1">
      <c r="B27" s="2" t="inlineStr">
        <is>
          <t>-</t>
        </is>
      </c>
      <c r="C27" s="18" t="inlineStr">
        <is>
          <t>Forward dividends on Bloomberg live in the BDVD (Bloomberg Dividend Forecast) family rather than the EQY_DVD family. Test BDVD_PROJ_DIV_AMT above. If it returns nothing, you probably lack the forecast entitlement - check with your rep before assuming the field is wrong.</t>
        </is>
      </c>
    </row>
    <row r="28" ht="26" customHeight="1">
      <c r="B28" s="2" t="inlineStr">
        <is>
          <t>-</t>
        </is>
      </c>
      <c r="C28" s="18" t="inlineStr">
        <is>
          <t>Cheapest workaround, needing no new field at all: indicated annual DPS = PX_LAST x EQY_DVD_YLD_IND / 100. The indicated yield already embeds Bloomberg's view of the forward annualised dividend, so you can back the DPS out of it.</t>
        </is>
      </c>
    </row>
    <row r="29" ht="26" customHeight="1">
      <c r="B29" s="2" t="inlineStr">
        <is>
          <t>-</t>
        </is>
      </c>
      <c r="C29" s="18" t="inlineStr">
        <is>
          <t>Authoritative check either way: FLDS&lt;GO&gt; from any ASX ticker, search 'dividend', and read the field descriptions. Two minutes there beats guessing, which is what got us here.</t>
        </is>
      </c>
    </row>
    <row r="31">
      <c r="B31" s="3" t="inlineStr">
        <is>
          <t>OTHER SYNTAX</t>
        </is>
      </c>
    </row>
    <row r="32">
      <c r="B32" s="19" t="inlineStr">
        <is>
          <t>Purpose</t>
        </is>
      </c>
      <c r="C32" s="19" t="inlineStr">
        <is>
          <t>Formula</t>
        </is>
      </c>
      <c r="D32" s="19" t="inlineStr">
        <is>
          <t>Notes</t>
        </is>
      </c>
    </row>
    <row r="33">
      <c r="B33" s="20" t="inlineStr">
        <is>
          <t>Members at a past date</t>
        </is>
      </c>
      <c r="C33" s="15" t="inlineStr">
        <is>
          <t>'=BDS("AS51 Index","INDX_MWEIGHT_HIST","END_DATE_OVERRIDE","20260630")</t>
        </is>
      </c>
      <c r="D33" s="21" t="n"/>
      <c r="E33" s="17" t="inlineStr">
        <is>
          <t>Frozen membership + weights. Use for any point-in-time study.</t>
        </is>
      </c>
    </row>
    <row r="34">
      <c r="B34" s="20" t="inlineStr">
        <is>
          <t>Dividend history</t>
        </is>
      </c>
      <c r="C34" s="15" t="inlineStr">
        <is>
          <t>'=BDS($C$3,"DVD_HIST_ALL","DVD_START_DT","20250801","DVD_END_DT","20260803")</t>
        </is>
      </c>
      <c r="D34" s="21" t="n"/>
      <c r="E34" s="17" t="inlineStr">
        <is>
          <t>Per-event. Check whether the returned columns carry franking for ASX names.</t>
        </is>
      </c>
    </row>
    <row r="35">
      <c r="B35" s="20" t="inlineStr">
        <is>
          <t>Index yield direct</t>
        </is>
      </c>
      <c r="C35" s="15" t="inlineStr">
        <is>
          <t>'=BDP("AS51 Index","EQY_DVD_YLD_IND")</t>
        </is>
      </c>
      <c r="D35" s="21" t="n"/>
      <c r="E35" s="17" t="inlineStr">
        <is>
          <t>Bloomberg's own index yield - reconcile bottom-up against this.</t>
        </is>
      </c>
    </row>
    <row r="36">
      <c r="B36" s="20" t="inlineStr">
        <is>
          <t>Suppress errors at source</t>
        </is>
      </c>
      <c r="C36" s="15" t="inlineStr">
        <is>
          <t>'=IFERROR(BDP($C$3,"EQY_DVD_YLD_IND"),0)</t>
        </is>
      </c>
      <c r="D36" s="21" t="n"/>
      <c r="E36" s="17" t="inlineStr">
        <is>
          <t>Excel-side, always works. Preferred over Bloomberg's own fill parameters, which vary by add-in version.</t>
        </is>
      </c>
    </row>
    <row r="38">
      <c r="B38" s="2" t="inlineStr">
        <is>
          <t>Formulas shown as text - copy and drop the leading apostrophe.</t>
        </is>
      </c>
    </row>
  </sheetData>
  <mergeCells count="8">
    <mergeCell ref="C34:D34"/>
    <mergeCell ref="C28:E28"/>
    <mergeCell ref="C27:E27"/>
    <mergeCell ref="C33:D33"/>
    <mergeCell ref="C36:D36"/>
    <mergeCell ref="C26:E26"/>
    <mergeCell ref="C29:E29"/>
    <mergeCell ref="C35:D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30" customWidth="1" min="4" max="4"/>
    <col width="12" customWidth="1" min="5" max="5"/>
    <col width="13" customWidth="1" min="6" max="6"/>
    <col width="13" customWidth="1" min="7" max="7"/>
    <col width="13" customWidth="1" min="8" max="8"/>
    <col width="11" customWidth="1" min="9" max="9"/>
    <col width="13" customWidth="1" min="10" max="10"/>
    <col width="15" customWidth="1" min="11" max="11"/>
    <col width="16" customWidth="1" min="12" max="12"/>
    <col width="15" customWidth="1" min="13" max="13"/>
  </cols>
  <sheetData>
    <row r="1">
      <c r="A1" s="1" t="inlineStr">
        <is>
          <t>S&amp;P/ASX 200 (AS51) - MEMBERS, DIVIDENDS &amp; FRANKING</t>
        </is>
      </c>
    </row>
    <row r="2">
      <c r="A2" s="3" t="inlineStr">
        <is>
          <t>Index ticker</t>
        </is>
      </c>
      <c r="B2" s="10" t="inlineStr">
        <is>
          <t>AS51 Index</t>
        </is>
      </c>
      <c r="C2" s="2" t="inlineStr">
        <is>
          <t>200 members; rows 6:275 pre-built for headroom.</t>
        </is>
      </c>
      <c r="E2" s="3" t="inlineStr">
        <is>
          <t>Members returned</t>
        </is>
      </c>
      <c r="G2" s="22">
        <f>COUNTIF($A$6:$A$275,"?*")</f>
        <v/>
      </c>
      <c r="I2" s="3" t="inlineStr">
        <is>
          <t>No dividend</t>
        </is>
      </c>
      <c r="J2" s="22">
        <f>COUNTIF($M$6:$M$275,"No dividend")</f>
        <v/>
      </c>
      <c r="K2" s="2" t="inlineStr">
        <is>
          <t>&lt;- expected, not errors.</t>
        </is>
      </c>
      <c r="L2" s="5">
        <f>IF($G$2=$G$3+$J$2,"reconciles","CHECK: status counts do not sum to members")</f>
        <v/>
      </c>
    </row>
    <row r="3">
      <c r="A3" s="3" t="inlineStr">
        <is>
          <t>Weight scale</t>
        </is>
      </c>
      <c r="B3" s="23">
        <f>IF(SUM($B$6:$B$275)&gt;2,100,1)</f>
        <v/>
      </c>
      <c r="C3" s="2" t="inlineStr">
        <is>
          <t>Auto: 100 if weights came back as percentages, 1 if as fractions.</t>
        </is>
      </c>
      <c r="E3" s="3" t="inlineStr">
        <is>
          <t>Dividend payers</t>
        </is>
      </c>
      <c r="G3" s="22">
        <f>COUNTIF($M$6:$M$275,"OK")+COUNTIF($M$6:$M$275,"Franking n/a")</f>
        <v/>
      </c>
      <c r="I3" s="3" t="inlineStr">
        <is>
          <t>Franking n/a</t>
        </is>
      </c>
      <c r="J3" s="22">
        <f>COUNTIF($M$6:$M$275,"Franking n/a")</f>
        <v/>
      </c>
      <c r="K3" s="2" t="inlineStr">
        <is>
          <t>&lt;- these are excluded from the split.</t>
        </is>
      </c>
    </row>
    <row r="4">
      <c r="A4" s="3" t="inlineStr">
        <is>
          <t>TOTALS</t>
        </is>
      </c>
      <c r="I4" s="24">
        <f>IFERROR(SUM($I$6:$I$275),"")</f>
        <v/>
      </c>
      <c r="J4" s="24">
        <f>IFERROR(SUM($J$6:$J$275),"")</f>
        <v/>
      </c>
      <c r="K4" s="24">
        <f>IFERROR(SUM($K$6:$K$275),"")</f>
        <v/>
      </c>
      <c r="L4" s="24">
        <f>IFERROR(SUM($L$6:$L$275),"")</f>
        <v/>
      </c>
      <c r="M4" s="25">
        <f>IFERROR(($K$4+$L$4)/$J$4,"")</f>
        <v/>
      </c>
      <c r="N4" s="6" t="inlineStr">
        <is>
          <t>&lt;- FRANKING COVERAGE: share of index dividends with a known franking status. Check this before quoting the split.</t>
        </is>
      </c>
    </row>
    <row r="5" ht="32" customHeight="1">
      <c r="A5" s="26" t="inlineStr">
        <is>
          <t>Member
Ticker</t>
        </is>
      </c>
      <c r="B5" s="26" t="inlineStr">
        <is>
          <t>Raw
Weight</t>
        </is>
      </c>
      <c r="C5" s="26" t="inlineStr">
        <is>
          <t>Bloomberg Ticker</t>
        </is>
      </c>
      <c r="D5" s="26" t="inlineStr">
        <is>
          <t>Company Name</t>
        </is>
      </c>
      <c r="E5" s="26" t="inlineStr">
        <is>
          <t>DPS 12M</t>
        </is>
      </c>
      <c r="F5" s="26" t="inlineStr">
        <is>
          <t>Div Yld
12M (%)</t>
        </is>
      </c>
      <c r="G5" s="26" t="inlineStr">
        <is>
          <t>Div Yld
Ind (%)</t>
        </is>
      </c>
      <c r="H5" s="26" t="inlineStr">
        <is>
          <t>Franked
(%)</t>
        </is>
      </c>
      <c r="I5" s="26" t="inlineStr">
        <is>
          <t>Weight</t>
        </is>
      </c>
      <c r="J5" s="26" t="inlineStr">
        <is>
          <t>Yld Contrib</t>
        </is>
      </c>
      <c r="K5" s="26" t="inlineStr">
        <is>
          <t>Franked
Contrib</t>
        </is>
      </c>
      <c r="L5" s="26" t="inlineStr">
        <is>
          <t>Unfranked
Contrib</t>
        </is>
      </c>
      <c r="M5" s="26" t="inlineStr">
        <is>
          <t>Status</t>
        </is>
      </c>
    </row>
    <row r="6">
      <c r="A6" s="16">
        <f>BDS($B$2,"INDX_MWEIGHT")</f>
        <v/>
      </c>
      <c r="B6" s="27" t="n"/>
      <c r="C6" s="27">
        <f>IF($A6="","",$A6&amp;" Equity")</f>
        <v/>
      </c>
      <c r="D6" s="27">
        <f>IF($A6="","",BDP($C6,"NAME"))</f>
        <v/>
      </c>
      <c r="E6" s="28">
        <f>IF($A6="","",BDP($C6,"EQY_DVD_SH_12M"))</f>
        <v/>
      </c>
      <c r="F6" s="29">
        <f>IF($A6="","",BDP($C6,"EQY_DVD_YLD_12M"))</f>
        <v/>
      </c>
      <c r="G6" s="29">
        <f>IF($A6="","",BDP($C6,"EQY_DVD_YLD_IND"))</f>
        <v/>
      </c>
      <c r="H6" s="29">
        <f>IF($A6="","",BDP($C6,'Field Check'!$C$4))</f>
        <v/>
      </c>
      <c r="I6" s="30">
        <f>IFERROR(IF($B6="","",$B6/$B$3),"")</f>
        <v/>
      </c>
      <c r="J6" s="30">
        <f>IFERROR(IF($I6="","",$I6*IFERROR($G6,0)/100),"")</f>
        <v/>
      </c>
      <c r="K6" s="30">
        <f>IFERROR(IF($J6="","",IF(ISNUMBER($H6),$J6*$H6/'Index Summary'!$C$7,"")),"")</f>
        <v/>
      </c>
      <c r="L6" s="30">
        <f>IFERROR(IF($K6="","",$J6-$K6),"")</f>
        <v/>
      </c>
      <c r="M6" s="31">
        <f>IF($C6="","",IF(NOT(ISNUMBER($G6)),"No dividend",IF($G6=0,"No dividend",IF(ISNUMBER($H6),"OK","Franking n/a"))))</f>
        <v/>
      </c>
    </row>
    <row r="7">
      <c r="A7" s="16" t="n"/>
      <c r="B7" s="16" t="n"/>
      <c r="C7" s="16">
        <f>IF($A7="","",$A7&amp;" Equity")</f>
        <v/>
      </c>
      <c r="D7" s="16">
        <f>IF($A7="","",BDP($C7,"NAME"))</f>
        <v/>
      </c>
      <c r="E7" s="32">
        <f>IF($A7="","",BDP($C7,"EQY_DVD_SH_12M"))</f>
        <v/>
      </c>
      <c r="F7" s="33">
        <f>IF($A7="","",BDP($C7,"EQY_DVD_YLD_12M"))</f>
        <v/>
      </c>
      <c r="G7" s="33">
        <f>IF($A7="","",BDP($C7,"EQY_DVD_YLD_IND"))</f>
        <v/>
      </c>
      <c r="H7" s="33">
        <f>IF($A7="","",BDP($C7,'Field Check'!$C$4))</f>
        <v/>
      </c>
      <c r="I7" s="34">
        <f>IFERROR(IF($B7="","",$B7/$B$3),"")</f>
        <v/>
      </c>
      <c r="J7" s="34">
        <f>IFERROR(IF($I7="","",$I7*IFERROR($G7,0)/100),"")</f>
        <v/>
      </c>
      <c r="K7" s="34">
        <f>IFERROR(IF($J7="","",IF(ISNUMBER($H7),$J7*$H7/'Index Summary'!$C$7,"")),"")</f>
        <v/>
      </c>
      <c r="L7" s="34">
        <f>IFERROR(IF($K7="","",$J7-$K7),"")</f>
        <v/>
      </c>
      <c r="M7" s="35">
        <f>IF($C7="","",IF(NOT(ISNUMBER($G7)),"No dividend",IF($G7=0,"No dividend",IF(ISNUMBER($H7),"OK","Franking n/a"))))</f>
        <v/>
      </c>
    </row>
    <row r="8">
      <c r="A8" s="27" t="n"/>
      <c r="B8" s="27" t="n"/>
      <c r="C8" s="27">
        <f>IF($A8="","",$A8&amp;" Equity")</f>
        <v/>
      </c>
      <c r="D8" s="27">
        <f>IF($A8="","",BDP($C8,"NAME"))</f>
        <v/>
      </c>
      <c r="E8" s="28">
        <f>IF($A8="","",BDP($C8,"EQY_DVD_SH_12M"))</f>
        <v/>
      </c>
      <c r="F8" s="29">
        <f>IF($A8="","",BDP($C8,"EQY_DVD_YLD_12M"))</f>
        <v/>
      </c>
      <c r="G8" s="29">
        <f>IF($A8="","",BDP($C8,"EQY_DVD_YLD_IND"))</f>
        <v/>
      </c>
      <c r="H8" s="29">
        <f>IF($A8="","",BDP($C8,'Field Check'!$C$4))</f>
        <v/>
      </c>
      <c r="I8" s="30">
        <f>IFERROR(IF($B8="","",$B8/$B$3),"")</f>
        <v/>
      </c>
      <c r="J8" s="30">
        <f>IFERROR(IF($I8="","",$I8*IFERROR($G8,0)/100),"")</f>
        <v/>
      </c>
      <c r="K8" s="30">
        <f>IFERROR(IF($J8="","",IF(ISNUMBER($H8),$J8*$H8/'Index Summary'!$C$7,"")),"")</f>
        <v/>
      </c>
      <c r="L8" s="30">
        <f>IFERROR(IF($K8="","",$J8-$K8),"")</f>
        <v/>
      </c>
      <c r="M8" s="31">
        <f>IF($C8="","",IF(NOT(ISNUMBER($G8)),"No dividend",IF($G8=0,"No dividend",IF(ISNUMBER($H8),"OK","Franking n/a"))))</f>
        <v/>
      </c>
    </row>
    <row r="9">
      <c r="A9" s="16" t="n"/>
      <c r="B9" s="16" t="n"/>
      <c r="C9" s="16">
        <f>IF($A9="","",$A9&amp;" Equity")</f>
        <v/>
      </c>
      <c r="D9" s="16">
        <f>IF($A9="","",BDP($C9,"NAME"))</f>
        <v/>
      </c>
      <c r="E9" s="32">
        <f>IF($A9="","",BDP($C9,"EQY_DVD_SH_12M"))</f>
        <v/>
      </c>
      <c r="F9" s="33">
        <f>IF($A9="","",BDP($C9,"EQY_DVD_YLD_12M"))</f>
        <v/>
      </c>
      <c r="G9" s="33">
        <f>IF($A9="","",BDP($C9,"EQY_DVD_YLD_IND"))</f>
        <v/>
      </c>
      <c r="H9" s="33">
        <f>IF($A9="","",BDP($C9,'Field Check'!$C$4))</f>
        <v/>
      </c>
      <c r="I9" s="34">
        <f>IFERROR(IF($B9="","",$B9/$B$3),"")</f>
        <v/>
      </c>
      <c r="J9" s="34">
        <f>IFERROR(IF($I9="","",$I9*IFERROR($G9,0)/100),"")</f>
        <v/>
      </c>
      <c r="K9" s="34">
        <f>IFERROR(IF($J9="","",IF(ISNUMBER($H9),$J9*$H9/'Index Summary'!$C$7,"")),"")</f>
        <v/>
      </c>
      <c r="L9" s="34">
        <f>IFERROR(IF($K9="","",$J9-$K9),"")</f>
        <v/>
      </c>
      <c r="M9" s="35">
        <f>IF($C9="","",IF(NOT(ISNUMBER($G9)),"No dividend",IF($G9=0,"No dividend",IF(ISNUMBER($H9),"OK","Franking n/a"))))</f>
        <v/>
      </c>
    </row>
    <row r="10">
      <c r="A10" s="27" t="n"/>
      <c r="B10" s="27" t="n"/>
      <c r="C10" s="27">
        <f>IF($A10="","",$A10&amp;" Equity")</f>
        <v/>
      </c>
      <c r="D10" s="27">
        <f>IF($A10="","",BDP($C10,"NAME"))</f>
        <v/>
      </c>
      <c r="E10" s="28">
        <f>IF($A10="","",BDP($C10,"EQY_DVD_SH_12M"))</f>
        <v/>
      </c>
      <c r="F10" s="29">
        <f>IF($A10="","",BDP($C10,"EQY_DVD_YLD_12M"))</f>
        <v/>
      </c>
      <c r="G10" s="29">
        <f>IF($A10="","",BDP($C10,"EQY_DVD_YLD_IND"))</f>
        <v/>
      </c>
      <c r="H10" s="29">
        <f>IF($A10="","",BDP($C10,'Field Check'!$C$4))</f>
        <v/>
      </c>
      <c r="I10" s="30">
        <f>IFERROR(IF($B10="","",$B10/$B$3),"")</f>
        <v/>
      </c>
      <c r="J10" s="30">
        <f>IFERROR(IF($I10="","",$I10*IFERROR($G10,0)/100),"")</f>
        <v/>
      </c>
      <c r="K10" s="30">
        <f>IFERROR(IF($J10="","",IF(ISNUMBER($H10),$J10*$H10/'Index Summary'!$C$7,"")),"")</f>
        <v/>
      </c>
      <c r="L10" s="30">
        <f>IFERROR(IF($K10="","",$J10-$K10),"")</f>
        <v/>
      </c>
      <c r="M10" s="31">
        <f>IF($C10="","",IF(NOT(ISNUMBER($G10)),"No dividend",IF($G10=0,"No dividend",IF(ISNUMBER($H10),"OK","Franking n/a"))))</f>
        <v/>
      </c>
    </row>
    <row r="11">
      <c r="A11" s="16" t="n"/>
      <c r="B11" s="16" t="n"/>
      <c r="C11" s="16">
        <f>IF($A11="","",$A11&amp;" Equity")</f>
        <v/>
      </c>
      <c r="D11" s="16">
        <f>IF($A11="","",BDP($C11,"NAME"))</f>
        <v/>
      </c>
      <c r="E11" s="32">
        <f>IF($A11="","",BDP($C11,"EQY_DVD_SH_12M"))</f>
        <v/>
      </c>
      <c r="F11" s="33">
        <f>IF($A11="","",BDP($C11,"EQY_DVD_YLD_12M"))</f>
        <v/>
      </c>
      <c r="G11" s="33">
        <f>IF($A11="","",BDP($C11,"EQY_DVD_YLD_IND"))</f>
        <v/>
      </c>
      <c r="H11" s="33">
        <f>IF($A11="","",BDP($C11,'Field Check'!$C$4))</f>
        <v/>
      </c>
      <c r="I11" s="34">
        <f>IFERROR(IF($B11="","",$B11/$B$3),"")</f>
        <v/>
      </c>
      <c r="J11" s="34">
        <f>IFERROR(IF($I11="","",$I11*IFERROR($G11,0)/100),"")</f>
        <v/>
      </c>
      <c r="K11" s="34">
        <f>IFERROR(IF($J11="","",IF(ISNUMBER($H11),$J11*$H11/'Index Summary'!$C$7,"")),"")</f>
        <v/>
      </c>
      <c r="L11" s="34">
        <f>IFERROR(IF($K11="","",$J11-$K11),"")</f>
        <v/>
      </c>
      <c r="M11" s="35">
        <f>IF($C11="","",IF(NOT(ISNUMBER($G11)),"No dividend",IF($G11=0,"No dividend",IF(ISNUMBER($H11),"OK","Franking n/a"))))</f>
        <v/>
      </c>
    </row>
    <row r="12">
      <c r="A12" s="27" t="n"/>
      <c r="B12" s="27" t="n"/>
      <c r="C12" s="27">
        <f>IF($A12="","",$A12&amp;" Equity")</f>
        <v/>
      </c>
      <c r="D12" s="27">
        <f>IF($A12="","",BDP($C12,"NAME"))</f>
        <v/>
      </c>
      <c r="E12" s="28">
        <f>IF($A12="","",BDP($C12,"EQY_DVD_SH_12M"))</f>
        <v/>
      </c>
      <c r="F12" s="29">
        <f>IF($A12="","",BDP($C12,"EQY_DVD_YLD_12M"))</f>
        <v/>
      </c>
      <c r="G12" s="29">
        <f>IF($A12="","",BDP($C12,"EQY_DVD_YLD_IND"))</f>
        <v/>
      </c>
      <c r="H12" s="29">
        <f>IF($A12="","",BDP($C12,'Field Check'!$C$4))</f>
        <v/>
      </c>
      <c r="I12" s="30">
        <f>IFERROR(IF($B12="","",$B12/$B$3),"")</f>
        <v/>
      </c>
      <c r="J12" s="30">
        <f>IFERROR(IF($I12="","",$I12*IFERROR($G12,0)/100),"")</f>
        <v/>
      </c>
      <c r="K12" s="30">
        <f>IFERROR(IF($J12="","",IF(ISNUMBER($H12),$J12*$H12/'Index Summary'!$C$7,"")),"")</f>
        <v/>
      </c>
      <c r="L12" s="30">
        <f>IFERROR(IF($K12="","",$J12-$K12),"")</f>
        <v/>
      </c>
      <c r="M12" s="31">
        <f>IF($C12="","",IF(NOT(ISNUMBER($G12)),"No dividend",IF($G12=0,"No dividend",IF(ISNUMBER($H12),"OK","Franking n/a"))))</f>
        <v/>
      </c>
    </row>
    <row r="13">
      <c r="A13" s="16" t="n"/>
      <c r="B13" s="16" t="n"/>
      <c r="C13" s="16">
        <f>IF($A13="","",$A13&amp;" Equity")</f>
        <v/>
      </c>
      <c r="D13" s="16">
        <f>IF($A13="","",BDP($C13,"NAME"))</f>
        <v/>
      </c>
      <c r="E13" s="32">
        <f>IF($A13="","",BDP($C13,"EQY_DVD_SH_12M"))</f>
        <v/>
      </c>
      <c r="F13" s="33">
        <f>IF($A13="","",BDP($C13,"EQY_DVD_YLD_12M"))</f>
        <v/>
      </c>
      <c r="G13" s="33">
        <f>IF($A13="","",BDP($C13,"EQY_DVD_YLD_IND"))</f>
        <v/>
      </c>
      <c r="H13" s="33">
        <f>IF($A13="","",BDP($C13,'Field Check'!$C$4))</f>
        <v/>
      </c>
      <c r="I13" s="34">
        <f>IFERROR(IF($B13="","",$B13/$B$3),"")</f>
        <v/>
      </c>
      <c r="J13" s="34">
        <f>IFERROR(IF($I13="","",$I13*IFERROR($G13,0)/100),"")</f>
        <v/>
      </c>
      <c r="K13" s="34">
        <f>IFERROR(IF($J13="","",IF(ISNUMBER($H13),$J13*$H13/'Index Summary'!$C$7,"")),"")</f>
        <v/>
      </c>
      <c r="L13" s="34">
        <f>IFERROR(IF($K13="","",$J13-$K13),"")</f>
        <v/>
      </c>
      <c r="M13" s="35">
        <f>IF($C13="","",IF(NOT(ISNUMBER($G13)),"No dividend",IF($G13=0,"No dividend",IF(ISNUMBER($H13),"OK","Franking n/a"))))</f>
        <v/>
      </c>
    </row>
    <row r="14">
      <c r="A14" s="27" t="n"/>
      <c r="B14" s="27" t="n"/>
      <c r="C14" s="27">
        <f>IF($A14="","",$A14&amp;" Equity")</f>
        <v/>
      </c>
      <c r="D14" s="27">
        <f>IF($A14="","",BDP($C14,"NAME"))</f>
        <v/>
      </c>
      <c r="E14" s="28">
        <f>IF($A14="","",BDP($C14,"EQY_DVD_SH_12M"))</f>
        <v/>
      </c>
      <c r="F14" s="29">
        <f>IF($A14="","",BDP($C14,"EQY_DVD_YLD_12M"))</f>
        <v/>
      </c>
      <c r="G14" s="29">
        <f>IF($A14="","",BDP($C14,"EQY_DVD_YLD_IND"))</f>
        <v/>
      </c>
      <c r="H14" s="29">
        <f>IF($A14="","",BDP($C14,'Field Check'!$C$4))</f>
        <v/>
      </c>
      <c r="I14" s="30">
        <f>IFERROR(IF($B14="","",$B14/$B$3),"")</f>
        <v/>
      </c>
      <c r="J14" s="30">
        <f>IFERROR(IF($I14="","",$I14*IFERROR($G14,0)/100),"")</f>
        <v/>
      </c>
      <c r="K14" s="30">
        <f>IFERROR(IF($J14="","",IF(ISNUMBER($H14),$J14*$H14/'Index Summary'!$C$7,"")),"")</f>
        <v/>
      </c>
      <c r="L14" s="30">
        <f>IFERROR(IF($K14="","",$J14-$K14),"")</f>
        <v/>
      </c>
      <c r="M14" s="31">
        <f>IF($C14="","",IF(NOT(ISNUMBER($G14)),"No dividend",IF($G14=0,"No dividend",IF(ISNUMBER($H14),"OK","Franking n/a"))))</f>
        <v/>
      </c>
    </row>
    <row r="15">
      <c r="A15" s="16" t="n"/>
      <c r="B15" s="16" t="n"/>
      <c r="C15" s="16">
        <f>IF($A15="","",$A15&amp;" Equity")</f>
        <v/>
      </c>
      <c r="D15" s="16">
        <f>IF($A15="","",BDP($C15,"NAME"))</f>
        <v/>
      </c>
      <c r="E15" s="32">
        <f>IF($A15="","",BDP($C15,"EQY_DVD_SH_12M"))</f>
        <v/>
      </c>
      <c r="F15" s="33">
        <f>IF($A15="","",BDP($C15,"EQY_DVD_YLD_12M"))</f>
        <v/>
      </c>
      <c r="G15" s="33">
        <f>IF($A15="","",BDP($C15,"EQY_DVD_YLD_IND"))</f>
        <v/>
      </c>
      <c r="H15" s="33">
        <f>IF($A15="","",BDP($C15,'Field Check'!$C$4))</f>
        <v/>
      </c>
      <c r="I15" s="34">
        <f>IFERROR(IF($B15="","",$B15/$B$3),"")</f>
        <v/>
      </c>
      <c r="J15" s="34">
        <f>IFERROR(IF($I15="","",$I15*IFERROR($G15,0)/100),"")</f>
        <v/>
      </c>
      <c r="K15" s="34">
        <f>IFERROR(IF($J15="","",IF(ISNUMBER($H15),$J15*$H15/'Index Summary'!$C$7,"")),"")</f>
        <v/>
      </c>
      <c r="L15" s="34">
        <f>IFERROR(IF($K15="","",$J15-$K15),"")</f>
        <v/>
      </c>
      <c r="M15" s="35">
        <f>IF($C15="","",IF(NOT(ISNUMBER($G15)),"No dividend",IF($G15=0,"No dividend",IF(ISNUMBER($H15),"OK","Franking n/a"))))</f>
        <v/>
      </c>
    </row>
    <row r="16">
      <c r="A16" s="27" t="n"/>
      <c r="B16" s="27" t="n"/>
      <c r="C16" s="27">
        <f>IF($A16="","",$A16&amp;" Equity")</f>
        <v/>
      </c>
      <c r="D16" s="27">
        <f>IF($A16="","",BDP($C16,"NAME"))</f>
        <v/>
      </c>
      <c r="E16" s="28">
        <f>IF($A16="","",BDP($C16,"EQY_DVD_SH_12M"))</f>
        <v/>
      </c>
      <c r="F16" s="29">
        <f>IF($A16="","",BDP($C16,"EQY_DVD_YLD_12M"))</f>
        <v/>
      </c>
      <c r="G16" s="29">
        <f>IF($A16="","",BDP($C16,"EQY_DVD_YLD_IND"))</f>
        <v/>
      </c>
      <c r="H16" s="29">
        <f>IF($A16="","",BDP($C16,'Field Check'!$C$4))</f>
        <v/>
      </c>
      <c r="I16" s="30">
        <f>IFERROR(IF($B16="","",$B16/$B$3),"")</f>
        <v/>
      </c>
      <c r="J16" s="30">
        <f>IFERROR(IF($I16="","",$I16*IFERROR($G16,0)/100),"")</f>
        <v/>
      </c>
      <c r="K16" s="30">
        <f>IFERROR(IF($J16="","",IF(ISNUMBER($H16),$J16*$H16/'Index Summary'!$C$7,"")),"")</f>
        <v/>
      </c>
      <c r="L16" s="30">
        <f>IFERROR(IF($K16="","",$J16-$K16),"")</f>
        <v/>
      </c>
      <c r="M16" s="31">
        <f>IF($C16="","",IF(NOT(ISNUMBER($G16)),"No dividend",IF($G16=0,"No dividend",IF(ISNUMBER($H16),"OK","Franking n/a"))))</f>
        <v/>
      </c>
    </row>
    <row r="17">
      <c r="A17" s="16" t="n"/>
      <c r="B17" s="16" t="n"/>
      <c r="C17" s="16">
        <f>IF($A17="","",$A17&amp;" Equity")</f>
        <v/>
      </c>
      <c r="D17" s="16">
        <f>IF($A17="","",BDP($C17,"NAME"))</f>
        <v/>
      </c>
      <c r="E17" s="32">
        <f>IF($A17="","",BDP($C17,"EQY_DVD_SH_12M"))</f>
        <v/>
      </c>
      <c r="F17" s="33">
        <f>IF($A17="","",BDP($C17,"EQY_DVD_YLD_12M"))</f>
        <v/>
      </c>
      <c r="G17" s="33">
        <f>IF($A17="","",BDP($C17,"EQY_DVD_YLD_IND"))</f>
        <v/>
      </c>
      <c r="H17" s="33">
        <f>IF($A17="","",BDP($C17,'Field Check'!$C$4))</f>
        <v/>
      </c>
      <c r="I17" s="34">
        <f>IFERROR(IF($B17="","",$B17/$B$3),"")</f>
        <v/>
      </c>
      <c r="J17" s="34">
        <f>IFERROR(IF($I17="","",$I17*IFERROR($G17,0)/100),"")</f>
        <v/>
      </c>
      <c r="K17" s="34">
        <f>IFERROR(IF($J17="","",IF(ISNUMBER($H17),$J17*$H17/'Index Summary'!$C$7,"")),"")</f>
        <v/>
      </c>
      <c r="L17" s="34">
        <f>IFERROR(IF($K17="","",$J17-$K17),"")</f>
        <v/>
      </c>
      <c r="M17" s="35">
        <f>IF($C17="","",IF(NOT(ISNUMBER($G17)),"No dividend",IF($G17=0,"No dividend",IF(ISNUMBER($H17),"OK","Franking n/a"))))</f>
        <v/>
      </c>
    </row>
    <row r="18">
      <c r="A18" s="27" t="n"/>
      <c r="B18" s="27" t="n"/>
      <c r="C18" s="27">
        <f>IF($A18="","",$A18&amp;" Equity")</f>
        <v/>
      </c>
      <c r="D18" s="27">
        <f>IF($A18="","",BDP($C18,"NAME"))</f>
        <v/>
      </c>
      <c r="E18" s="28">
        <f>IF($A18="","",BDP($C18,"EQY_DVD_SH_12M"))</f>
        <v/>
      </c>
      <c r="F18" s="29">
        <f>IF($A18="","",BDP($C18,"EQY_DVD_YLD_12M"))</f>
        <v/>
      </c>
      <c r="G18" s="29">
        <f>IF($A18="","",BDP($C18,"EQY_DVD_YLD_IND"))</f>
        <v/>
      </c>
      <c r="H18" s="29">
        <f>IF($A18="","",BDP($C18,'Field Check'!$C$4))</f>
        <v/>
      </c>
      <c r="I18" s="30">
        <f>IFERROR(IF($B18="","",$B18/$B$3),"")</f>
        <v/>
      </c>
      <c r="J18" s="30">
        <f>IFERROR(IF($I18="","",$I18*IFERROR($G18,0)/100),"")</f>
        <v/>
      </c>
      <c r="K18" s="30">
        <f>IFERROR(IF($J18="","",IF(ISNUMBER($H18),$J18*$H18/'Index Summary'!$C$7,"")),"")</f>
        <v/>
      </c>
      <c r="L18" s="30">
        <f>IFERROR(IF($K18="","",$J18-$K18),"")</f>
        <v/>
      </c>
      <c r="M18" s="31">
        <f>IF($C18="","",IF(NOT(ISNUMBER($G18)),"No dividend",IF($G18=0,"No dividend",IF(ISNUMBER($H18),"OK","Franking n/a"))))</f>
        <v/>
      </c>
    </row>
    <row r="19">
      <c r="A19" s="16" t="n"/>
      <c r="B19" s="16" t="n"/>
      <c r="C19" s="16">
        <f>IF($A19="","",$A19&amp;" Equity")</f>
        <v/>
      </c>
      <c r="D19" s="16">
        <f>IF($A19="","",BDP($C19,"NAME"))</f>
        <v/>
      </c>
      <c r="E19" s="32">
        <f>IF($A19="","",BDP($C19,"EQY_DVD_SH_12M"))</f>
        <v/>
      </c>
      <c r="F19" s="33">
        <f>IF($A19="","",BDP($C19,"EQY_DVD_YLD_12M"))</f>
        <v/>
      </c>
      <c r="G19" s="33">
        <f>IF($A19="","",BDP($C19,"EQY_DVD_YLD_IND"))</f>
        <v/>
      </c>
      <c r="H19" s="33">
        <f>IF($A19="","",BDP($C19,'Field Check'!$C$4))</f>
        <v/>
      </c>
      <c r="I19" s="34">
        <f>IFERROR(IF($B19="","",$B19/$B$3),"")</f>
        <v/>
      </c>
      <c r="J19" s="34">
        <f>IFERROR(IF($I19="","",$I19*IFERROR($G19,0)/100),"")</f>
        <v/>
      </c>
      <c r="K19" s="34">
        <f>IFERROR(IF($J19="","",IF(ISNUMBER($H19),$J19*$H19/'Index Summary'!$C$7,"")),"")</f>
        <v/>
      </c>
      <c r="L19" s="34">
        <f>IFERROR(IF($K19="","",$J19-$K19),"")</f>
        <v/>
      </c>
      <c r="M19" s="35">
        <f>IF($C19="","",IF(NOT(ISNUMBER($G19)),"No dividend",IF($G19=0,"No dividend",IF(ISNUMBER($H19),"OK","Franking n/a"))))</f>
        <v/>
      </c>
    </row>
    <row r="20">
      <c r="A20" s="27" t="n"/>
      <c r="B20" s="27" t="n"/>
      <c r="C20" s="27">
        <f>IF($A20="","",$A20&amp;" Equity")</f>
        <v/>
      </c>
      <c r="D20" s="27">
        <f>IF($A20="","",BDP($C20,"NAME"))</f>
        <v/>
      </c>
      <c r="E20" s="28">
        <f>IF($A20="","",BDP($C20,"EQY_DVD_SH_12M"))</f>
        <v/>
      </c>
      <c r="F20" s="29">
        <f>IF($A20="","",BDP($C20,"EQY_DVD_YLD_12M"))</f>
        <v/>
      </c>
      <c r="G20" s="29">
        <f>IF($A20="","",BDP($C20,"EQY_DVD_YLD_IND"))</f>
        <v/>
      </c>
      <c r="H20" s="29">
        <f>IF($A20="","",BDP($C20,'Field Check'!$C$4))</f>
        <v/>
      </c>
      <c r="I20" s="30">
        <f>IFERROR(IF($B20="","",$B20/$B$3),"")</f>
        <v/>
      </c>
      <c r="J20" s="30">
        <f>IFERROR(IF($I20="","",$I20*IFERROR($G20,0)/100),"")</f>
        <v/>
      </c>
      <c r="K20" s="30">
        <f>IFERROR(IF($J20="","",IF(ISNUMBER($H20),$J20*$H20/'Index Summary'!$C$7,"")),"")</f>
        <v/>
      </c>
      <c r="L20" s="30">
        <f>IFERROR(IF($K20="","",$J20-$K20),"")</f>
        <v/>
      </c>
      <c r="M20" s="31">
        <f>IF($C20="","",IF(NOT(ISNUMBER($G20)),"No dividend",IF($G20=0,"No dividend",IF(ISNUMBER($H20),"OK","Franking n/a"))))</f>
        <v/>
      </c>
    </row>
    <row r="21">
      <c r="A21" s="16" t="n"/>
      <c r="B21" s="16" t="n"/>
      <c r="C21" s="16">
        <f>IF($A21="","",$A21&amp;" Equity")</f>
        <v/>
      </c>
      <c r="D21" s="16">
        <f>IF($A21="","",BDP($C21,"NAME"))</f>
        <v/>
      </c>
      <c r="E21" s="32">
        <f>IF($A21="","",BDP($C21,"EQY_DVD_SH_12M"))</f>
        <v/>
      </c>
      <c r="F21" s="33">
        <f>IF($A21="","",BDP($C21,"EQY_DVD_YLD_12M"))</f>
        <v/>
      </c>
      <c r="G21" s="33">
        <f>IF($A21="","",BDP($C21,"EQY_DVD_YLD_IND"))</f>
        <v/>
      </c>
      <c r="H21" s="33">
        <f>IF($A21="","",BDP($C21,'Field Check'!$C$4))</f>
        <v/>
      </c>
      <c r="I21" s="34">
        <f>IFERROR(IF($B21="","",$B21/$B$3),"")</f>
        <v/>
      </c>
      <c r="J21" s="34">
        <f>IFERROR(IF($I21="","",$I21*IFERROR($G21,0)/100),"")</f>
        <v/>
      </c>
      <c r="K21" s="34">
        <f>IFERROR(IF($J21="","",IF(ISNUMBER($H21),$J21*$H21/'Index Summary'!$C$7,"")),"")</f>
        <v/>
      </c>
      <c r="L21" s="34">
        <f>IFERROR(IF($K21="","",$J21-$K21),"")</f>
        <v/>
      </c>
      <c r="M21" s="35">
        <f>IF($C21="","",IF(NOT(ISNUMBER($G21)),"No dividend",IF($G21=0,"No dividend",IF(ISNUMBER($H21),"OK","Franking n/a"))))</f>
        <v/>
      </c>
    </row>
    <row r="22">
      <c r="A22" s="27" t="n"/>
      <c r="B22" s="27" t="n"/>
      <c r="C22" s="27">
        <f>IF($A22="","",$A22&amp;" Equity")</f>
        <v/>
      </c>
      <c r="D22" s="27">
        <f>IF($A22="","",BDP($C22,"NAME"))</f>
        <v/>
      </c>
      <c r="E22" s="28">
        <f>IF($A22="","",BDP($C22,"EQY_DVD_SH_12M"))</f>
        <v/>
      </c>
      <c r="F22" s="29">
        <f>IF($A22="","",BDP($C22,"EQY_DVD_YLD_12M"))</f>
        <v/>
      </c>
      <c r="G22" s="29">
        <f>IF($A22="","",BDP($C22,"EQY_DVD_YLD_IND"))</f>
        <v/>
      </c>
      <c r="H22" s="29">
        <f>IF($A22="","",BDP($C22,'Field Check'!$C$4))</f>
        <v/>
      </c>
      <c r="I22" s="30">
        <f>IFERROR(IF($B22="","",$B22/$B$3),"")</f>
        <v/>
      </c>
      <c r="J22" s="30">
        <f>IFERROR(IF($I22="","",$I22*IFERROR($G22,0)/100),"")</f>
        <v/>
      </c>
      <c r="K22" s="30">
        <f>IFERROR(IF($J22="","",IF(ISNUMBER($H22),$J22*$H22/'Index Summary'!$C$7,"")),"")</f>
        <v/>
      </c>
      <c r="L22" s="30">
        <f>IFERROR(IF($K22="","",$J22-$K22),"")</f>
        <v/>
      </c>
      <c r="M22" s="31">
        <f>IF($C22="","",IF(NOT(ISNUMBER($G22)),"No dividend",IF($G22=0,"No dividend",IF(ISNUMBER($H22),"OK","Franking n/a"))))</f>
        <v/>
      </c>
    </row>
    <row r="23">
      <c r="A23" s="16" t="n"/>
      <c r="B23" s="16" t="n"/>
      <c r="C23" s="16">
        <f>IF($A23="","",$A23&amp;" Equity")</f>
        <v/>
      </c>
      <c r="D23" s="16">
        <f>IF($A23="","",BDP($C23,"NAME"))</f>
        <v/>
      </c>
      <c r="E23" s="32">
        <f>IF($A23="","",BDP($C23,"EQY_DVD_SH_12M"))</f>
        <v/>
      </c>
      <c r="F23" s="33">
        <f>IF($A23="","",BDP($C23,"EQY_DVD_YLD_12M"))</f>
        <v/>
      </c>
      <c r="G23" s="33">
        <f>IF($A23="","",BDP($C23,"EQY_DVD_YLD_IND"))</f>
        <v/>
      </c>
      <c r="H23" s="33">
        <f>IF($A23="","",BDP($C23,'Field Check'!$C$4))</f>
        <v/>
      </c>
      <c r="I23" s="34">
        <f>IFERROR(IF($B23="","",$B23/$B$3),"")</f>
        <v/>
      </c>
      <c r="J23" s="34">
        <f>IFERROR(IF($I23="","",$I23*IFERROR($G23,0)/100),"")</f>
        <v/>
      </c>
      <c r="K23" s="34">
        <f>IFERROR(IF($J23="","",IF(ISNUMBER($H23),$J23*$H23/'Index Summary'!$C$7,"")),"")</f>
        <v/>
      </c>
      <c r="L23" s="34">
        <f>IFERROR(IF($K23="","",$J23-$K23),"")</f>
        <v/>
      </c>
      <c r="M23" s="35">
        <f>IF($C23="","",IF(NOT(ISNUMBER($G23)),"No dividend",IF($G23=0,"No dividend",IF(ISNUMBER($H23),"OK","Franking n/a"))))</f>
        <v/>
      </c>
    </row>
    <row r="24">
      <c r="A24" s="27" t="n"/>
      <c r="B24" s="27" t="n"/>
      <c r="C24" s="27">
        <f>IF($A24="","",$A24&amp;" Equity")</f>
        <v/>
      </c>
      <c r="D24" s="27">
        <f>IF($A24="","",BDP($C24,"NAME"))</f>
        <v/>
      </c>
      <c r="E24" s="28">
        <f>IF($A24="","",BDP($C24,"EQY_DVD_SH_12M"))</f>
        <v/>
      </c>
      <c r="F24" s="29">
        <f>IF($A24="","",BDP($C24,"EQY_DVD_YLD_12M"))</f>
        <v/>
      </c>
      <c r="G24" s="29">
        <f>IF($A24="","",BDP($C24,"EQY_DVD_YLD_IND"))</f>
        <v/>
      </c>
      <c r="H24" s="29">
        <f>IF($A24="","",BDP($C24,'Field Check'!$C$4))</f>
        <v/>
      </c>
      <c r="I24" s="30">
        <f>IFERROR(IF($B24="","",$B24/$B$3),"")</f>
        <v/>
      </c>
      <c r="J24" s="30">
        <f>IFERROR(IF($I24="","",$I24*IFERROR($G24,0)/100),"")</f>
        <v/>
      </c>
      <c r="K24" s="30">
        <f>IFERROR(IF($J24="","",IF(ISNUMBER($H24),$J24*$H24/'Index Summary'!$C$7,"")),"")</f>
        <v/>
      </c>
      <c r="L24" s="30">
        <f>IFERROR(IF($K24="","",$J24-$K24),"")</f>
        <v/>
      </c>
      <c r="M24" s="31">
        <f>IF($C24="","",IF(NOT(ISNUMBER($G24)),"No dividend",IF($G24=0,"No dividend",IF(ISNUMBER($H24),"OK","Franking n/a"))))</f>
        <v/>
      </c>
    </row>
    <row r="25">
      <c r="A25" s="16" t="n"/>
      <c r="B25" s="16" t="n"/>
      <c r="C25" s="16">
        <f>IF($A25="","",$A25&amp;" Equity")</f>
        <v/>
      </c>
      <c r="D25" s="16">
        <f>IF($A25="","",BDP($C25,"NAME"))</f>
        <v/>
      </c>
      <c r="E25" s="32">
        <f>IF($A25="","",BDP($C25,"EQY_DVD_SH_12M"))</f>
        <v/>
      </c>
      <c r="F25" s="33">
        <f>IF($A25="","",BDP($C25,"EQY_DVD_YLD_12M"))</f>
        <v/>
      </c>
      <c r="G25" s="33">
        <f>IF($A25="","",BDP($C25,"EQY_DVD_YLD_IND"))</f>
        <v/>
      </c>
      <c r="H25" s="33">
        <f>IF($A25="","",BDP($C25,'Field Check'!$C$4))</f>
        <v/>
      </c>
      <c r="I25" s="34">
        <f>IFERROR(IF($B25="","",$B25/$B$3),"")</f>
        <v/>
      </c>
      <c r="J25" s="34">
        <f>IFERROR(IF($I25="","",$I25*IFERROR($G25,0)/100),"")</f>
        <v/>
      </c>
      <c r="K25" s="34">
        <f>IFERROR(IF($J25="","",IF(ISNUMBER($H25),$J25*$H25/'Index Summary'!$C$7,"")),"")</f>
        <v/>
      </c>
      <c r="L25" s="34">
        <f>IFERROR(IF($K25="","",$J25-$K25),"")</f>
        <v/>
      </c>
      <c r="M25" s="35">
        <f>IF($C25="","",IF(NOT(ISNUMBER($G25)),"No dividend",IF($G25=0,"No dividend",IF(ISNUMBER($H25),"OK","Franking n/a"))))</f>
        <v/>
      </c>
    </row>
    <row r="26">
      <c r="A26" s="27" t="n"/>
      <c r="B26" s="27" t="n"/>
      <c r="C26" s="27">
        <f>IF($A26="","",$A26&amp;" Equity")</f>
        <v/>
      </c>
      <c r="D26" s="27">
        <f>IF($A26="","",BDP($C26,"NAME"))</f>
        <v/>
      </c>
      <c r="E26" s="28">
        <f>IF($A26="","",BDP($C26,"EQY_DVD_SH_12M"))</f>
        <v/>
      </c>
      <c r="F26" s="29">
        <f>IF($A26="","",BDP($C26,"EQY_DVD_YLD_12M"))</f>
        <v/>
      </c>
      <c r="G26" s="29">
        <f>IF($A26="","",BDP($C26,"EQY_DVD_YLD_IND"))</f>
        <v/>
      </c>
      <c r="H26" s="29">
        <f>IF($A26="","",BDP($C26,'Field Check'!$C$4))</f>
        <v/>
      </c>
      <c r="I26" s="30">
        <f>IFERROR(IF($B26="","",$B26/$B$3),"")</f>
        <v/>
      </c>
      <c r="J26" s="30">
        <f>IFERROR(IF($I26="","",$I26*IFERROR($G26,0)/100),"")</f>
        <v/>
      </c>
      <c r="K26" s="30">
        <f>IFERROR(IF($J26="","",IF(ISNUMBER($H26),$J26*$H26/'Index Summary'!$C$7,"")),"")</f>
        <v/>
      </c>
      <c r="L26" s="30">
        <f>IFERROR(IF($K26="","",$J26-$K26),"")</f>
        <v/>
      </c>
      <c r="M26" s="31">
        <f>IF($C26="","",IF(NOT(ISNUMBER($G26)),"No dividend",IF($G26=0,"No dividend",IF(ISNUMBER($H26),"OK","Franking n/a"))))</f>
        <v/>
      </c>
    </row>
    <row r="27">
      <c r="A27" s="16" t="n"/>
      <c r="B27" s="16" t="n"/>
      <c r="C27" s="16">
        <f>IF($A27="","",$A27&amp;" Equity")</f>
        <v/>
      </c>
      <c r="D27" s="16">
        <f>IF($A27="","",BDP($C27,"NAME"))</f>
        <v/>
      </c>
      <c r="E27" s="32">
        <f>IF($A27="","",BDP($C27,"EQY_DVD_SH_12M"))</f>
        <v/>
      </c>
      <c r="F27" s="33">
        <f>IF($A27="","",BDP($C27,"EQY_DVD_YLD_12M"))</f>
        <v/>
      </c>
      <c r="G27" s="33">
        <f>IF($A27="","",BDP($C27,"EQY_DVD_YLD_IND"))</f>
        <v/>
      </c>
      <c r="H27" s="33">
        <f>IF($A27="","",BDP($C27,'Field Check'!$C$4))</f>
        <v/>
      </c>
      <c r="I27" s="34">
        <f>IFERROR(IF($B27="","",$B27/$B$3),"")</f>
        <v/>
      </c>
      <c r="J27" s="34">
        <f>IFERROR(IF($I27="","",$I27*IFERROR($G27,0)/100),"")</f>
        <v/>
      </c>
      <c r="K27" s="34">
        <f>IFERROR(IF($J27="","",IF(ISNUMBER($H27),$J27*$H27/'Index Summary'!$C$7,"")),"")</f>
        <v/>
      </c>
      <c r="L27" s="34">
        <f>IFERROR(IF($K27="","",$J27-$K27),"")</f>
        <v/>
      </c>
      <c r="M27" s="35">
        <f>IF($C27="","",IF(NOT(ISNUMBER($G27)),"No dividend",IF($G27=0,"No dividend",IF(ISNUMBER($H27),"OK","Franking n/a"))))</f>
        <v/>
      </c>
    </row>
    <row r="28">
      <c r="A28" s="27" t="n"/>
      <c r="B28" s="27" t="n"/>
      <c r="C28" s="27">
        <f>IF($A28="","",$A28&amp;" Equity")</f>
        <v/>
      </c>
      <c r="D28" s="27">
        <f>IF($A28="","",BDP($C28,"NAME"))</f>
        <v/>
      </c>
      <c r="E28" s="28">
        <f>IF($A28="","",BDP($C28,"EQY_DVD_SH_12M"))</f>
        <v/>
      </c>
      <c r="F28" s="29">
        <f>IF($A28="","",BDP($C28,"EQY_DVD_YLD_12M"))</f>
        <v/>
      </c>
      <c r="G28" s="29">
        <f>IF($A28="","",BDP($C28,"EQY_DVD_YLD_IND"))</f>
        <v/>
      </c>
      <c r="H28" s="29">
        <f>IF($A28="","",BDP($C28,'Field Check'!$C$4))</f>
        <v/>
      </c>
      <c r="I28" s="30">
        <f>IFERROR(IF($B28="","",$B28/$B$3),"")</f>
        <v/>
      </c>
      <c r="J28" s="30">
        <f>IFERROR(IF($I28="","",$I28*IFERROR($G28,0)/100),"")</f>
        <v/>
      </c>
      <c r="K28" s="30">
        <f>IFERROR(IF($J28="","",IF(ISNUMBER($H28),$J28*$H28/'Index Summary'!$C$7,"")),"")</f>
        <v/>
      </c>
      <c r="L28" s="30">
        <f>IFERROR(IF($K28="","",$J28-$K28),"")</f>
        <v/>
      </c>
      <c r="M28" s="31">
        <f>IF($C28="","",IF(NOT(ISNUMBER($G28)),"No dividend",IF($G28=0,"No dividend",IF(ISNUMBER($H28),"OK","Franking n/a"))))</f>
        <v/>
      </c>
    </row>
    <row r="29">
      <c r="A29" s="16" t="n"/>
      <c r="B29" s="16" t="n"/>
      <c r="C29" s="16">
        <f>IF($A29="","",$A29&amp;" Equity")</f>
        <v/>
      </c>
      <c r="D29" s="16">
        <f>IF($A29="","",BDP($C29,"NAME"))</f>
        <v/>
      </c>
      <c r="E29" s="32">
        <f>IF($A29="","",BDP($C29,"EQY_DVD_SH_12M"))</f>
        <v/>
      </c>
      <c r="F29" s="33">
        <f>IF($A29="","",BDP($C29,"EQY_DVD_YLD_12M"))</f>
        <v/>
      </c>
      <c r="G29" s="33">
        <f>IF($A29="","",BDP($C29,"EQY_DVD_YLD_IND"))</f>
        <v/>
      </c>
      <c r="H29" s="33">
        <f>IF($A29="","",BDP($C29,'Field Check'!$C$4))</f>
        <v/>
      </c>
      <c r="I29" s="34">
        <f>IFERROR(IF($B29="","",$B29/$B$3),"")</f>
        <v/>
      </c>
      <c r="J29" s="34">
        <f>IFERROR(IF($I29="","",$I29*IFERROR($G29,0)/100),"")</f>
        <v/>
      </c>
      <c r="K29" s="34">
        <f>IFERROR(IF($J29="","",IF(ISNUMBER($H29),$J29*$H29/'Index Summary'!$C$7,"")),"")</f>
        <v/>
      </c>
      <c r="L29" s="34">
        <f>IFERROR(IF($K29="","",$J29-$K29),"")</f>
        <v/>
      </c>
      <c r="M29" s="35">
        <f>IF($C29="","",IF(NOT(ISNUMBER($G29)),"No dividend",IF($G29=0,"No dividend",IF(ISNUMBER($H29),"OK","Franking n/a"))))</f>
        <v/>
      </c>
    </row>
    <row r="30">
      <c r="A30" s="27" t="n"/>
      <c r="B30" s="27" t="n"/>
      <c r="C30" s="27">
        <f>IF($A30="","",$A30&amp;" Equity")</f>
        <v/>
      </c>
      <c r="D30" s="27">
        <f>IF($A30="","",BDP($C30,"NAME"))</f>
        <v/>
      </c>
      <c r="E30" s="28">
        <f>IF($A30="","",BDP($C30,"EQY_DVD_SH_12M"))</f>
        <v/>
      </c>
      <c r="F30" s="29">
        <f>IF($A30="","",BDP($C30,"EQY_DVD_YLD_12M"))</f>
        <v/>
      </c>
      <c r="G30" s="29">
        <f>IF($A30="","",BDP($C30,"EQY_DVD_YLD_IND"))</f>
        <v/>
      </c>
      <c r="H30" s="29">
        <f>IF($A30="","",BDP($C30,'Field Check'!$C$4))</f>
        <v/>
      </c>
      <c r="I30" s="30">
        <f>IFERROR(IF($B30="","",$B30/$B$3),"")</f>
        <v/>
      </c>
      <c r="J30" s="30">
        <f>IFERROR(IF($I30="","",$I30*IFERROR($G30,0)/100),"")</f>
        <v/>
      </c>
      <c r="K30" s="30">
        <f>IFERROR(IF($J30="","",IF(ISNUMBER($H30),$J30*$H30/'Index Summary'!$C$7,"")),"")</f>
        <v/>
      </c>
      <c r="L30" s="30">
        <f>IFERROR(IF($K30="","",$J30-$K30),"")</f>
        <v/>
      </c>
      <c r="M30" s="31">
        <f>IF($C30="","",IF(NOT(ISNUMBER($G30)),"No dividend",IF($G30=0,"No dividend",IF(ISNUMBER($H30),"OK","Franking n/a"))))</f>
        <v/>
      </c>
    </row>
    <row r="31">
      <c r="A31" s="16" t="n"/>
      <c r="B31" s="16" t="n"/>
      <c r="C31" s="16">
        <f>IF($A31="","",$A31&amp;" Equity")</f>
        <v/>
      </c>
      <c r="D31" s="16">
        <f>IF($A31="","",BDP($C31,"NAME"))</f>
        <v/>
      </c>
      <c r="E31" s="32">
        <f>IF($A31="","",BDP($C31,"EQY_DVD_SH_12M"))</f>
        <v/>
      </c>
      <c r="F31" s="33">
        <f>IF($A31="","",BDP($C31,"EQY_DVD_YLD_12M"))</f>
        <v/>
      </c>
      <c r="G31" s="33">
        <f>IF($A31="","",BDP($C31,"EQY_DVD_YLD_IND"))</f>
        <v/>
      </c>
      <c r="H31" s="33">
        <f>IF($A31="","",BDP($C31,'Field Check'!$C$4))</f>
        <v/>
      </c>
      <c r="I31" s="34">
        <f>IFERROR(IF($B31="","",$B31/$B$3),"")</f>
        <v/>
      </c>
      <c r="J31" s="34">
        <f>IFERROR(IF($I31="","",$I31*IFERROR($G31,0)/100),"")</f>
        <v/>
      </c>
      <c r="K31" s="34">
        <f>IFERROR(IF($J31="","",IF(ISNUMBER($H31),$J31*$H31/'Index Summary'!$C$7,"")),"")</f>
        <v/>
      </c>
      <c r="L31" s="34">
        <f>IFERROR(IF($K31="","",$J31-$K31),"")</f>
        <v/>
      </c>
      <c r="M31" s="35">
        <f>IF($C31="","",IF(NOT(ISNUMBER($G31)),"No dividend",IF($G31=0,"No dividend",IF(ISNUMBER($H31),"OK","Franking n/a"))))</f>
        <v/>
      </c>
    </row>
    <row r="32">
      <c r="A32" s="27" t="n"/>
      <c r="B32" s="27" t="n"/>
      <c r="C32" s="27">
        <f>IF($A32="","",$A32&amp;" Equity")</f>
        <v/>
      </c>
      <c r="D32" s="27">
        <f>IF($A32="","",BDP($C32,"NAME"))</f>
        <v/>
      </c>
      <c r="E32" s="28">
        <f>IF($A32="","",BDP($C32,"EQY_DVD_SH_12M"))</f>
        <v/>
      </c>
      <c r="F32" s="29">
        <f>IF($A32="","",BDP($C32,"EQY_DVD_YLD_12M"))</f>
        <v/>
      </c>
      <c r="G32" s="29">
        <f>IF($A32="","",BDP($C32,"EQY_DVD_YLD_IND"))</f>
        <v/>
      </c>
      <c r="H32" s="29">
        <f>IF($A32="","",BDP($C32,'Field Check'!$C$4))</f>
        <v/>
      </c>
      <c r="I32" s="30">
        <f>IFERROR(IF($B32="","",$B32/$B$3),"")</f>
        <v/>
      </c>
      <c r="J32" s="30">
        <f>IFERROR(IF($I32="","",$I32*IFERROR($G32,0)/100),"")</f>
        <v/>
      </c>
      <c r="K32" s="30">
        <f>IFERROR(IF($J32="","",IF(ISNUMBER($H32),$J32*$H32/'Index Summary'!$C$7,"")),"")</f>
        <v/>
      </c>
      <c r="L32" s="30">
        <f>IFERROR(IF($K32="","",$J32-$K32),"")</f>
        <v/>
      </c>
      <c r="M32" s="31">
        <f>IF($C32="","",IF(NOT(ISNUMBER($G32)),"No dividend",IF($G32=0,"No dividend",IF(ISNUMBER($H32),"OK","Franking n/a"))))</f>
        <v/>
      </c>
    </row>
    <row r="33">
      <c r="A33" s="16" t="n"/>
      <c r="B33" s="16" t="n"/>
      <c r="C33" s="16">
        <f>IF($A33="","",$A33&amp;" Equity")</f>
        <v/>
      </c>
      <c r="D33" s="16">
        <f>IF($A33="","",BDP($C33,"NAME"))</f>
        <v/>
      </c>
      <c r="E33" s="32">
        <f>IF($A33="","",BDP($C33,"EQY_DVD_SH_12M"))</f>
        <v/>
      </c>
      <c r="F33" s="33">
        <f>IF($A33="","",BDP($C33,"EQY_DVD_YLD_12M"))</f>
        <v/>
      </c>
      <c r="G33" s="33">
        <f>IF($A33="","",BDP($C33,"EQY_DVD_YLD_IND"))</f>
        <v/>
      </c>
      <c r="H33" s="33">
        <f>IF($A33="","",BDP($C33,'Field Check'!$C$4))</f>
        <v/>
      </c>
      <c r="I33" s="34">
        <f>IFERROR(IF($B33="","",$B33/$B$3),"")</f>
        <v/>
      </c>
      <c r="J33" s="34">
        <f>IFERROR(IF($I33="","",$I33*IFERROR($G33,0)/100),"")</f>
        <v/>
      </c>
      <c r="K33" s="34">
        <f>IFERROR(IF($J33="","",IF(ISNUMBER($H33),$J33*$H33/'Index Summary'!$C$7,"")),"")</f>
        <v/>
      </c>
      <c r="L33" s="34">
        <f>IFERROR(IF($K33="","",$J33-$K33),"")</f>
        <v/>
      </c>
      <c r="M33" s="35">
        <f>IF($C33="","",IF(NOT(ISNUMBER($G33)),"No dividend",IF($G33=0,"No dividend",IF(ISNUMBER($H33),"OK","Franking n/a"))))</f>
        <v/>
      </c>
    </row>
    <row r="34">
      <c r="A34" s="27" t="n"/>
      <c r="B34" s="27" t="n"/>
      <c r="C34" s="27">
        <f>IF($A34="","",$A34&amp;" Equity")</f>
        <v/>
      </c>
      <c r="D34" s="27">
        <f>IF($A34="","",BDP($C34,"NAME"))</f>
        <v/>
      </c>
      <c r="E34" s="28">
        <f>IF($A34="","",BDP($C34,"EQY_DVD_SH_12M"))</f>
        <v/>
      </c>
      <c r="F34" s="29">
        <f>IF($A34="","",BDP($C34,"EQY_DVD_YLD_12M"))</f>
        <v/>
      </c>
      <c r="G34" s="29">
        <f>IF($A34="","",BDP($C34,"EQY_DVD_YLD_IND"))</f>
        <v/>
      </c>
      <c r="H34" s="29">
        <f>IF($A34="","",BDP($C34,'Field Check'!$C$4))</f>
        <v/>
      </c>
      <c r="I34" s="30">
        <f>IFERROR(IF($B34="","",$B34/$B$3),"")</f>
        <v/>
      </c>
      <c r="J34" s="30">
        <f>IFERROR(IF($I34="","",$I34*IFERROR($G34,0)/100),"")</f>
        <v/>
      </c>
      <c r="K34" s="30">
        <f>IFERROR(IF($J34="","",IF(ISNUMBER($H34),$J34*$H34/'Index Summary'!$C$7,"")),"")</f>
        <v/>
      </c>
      <c r="L34" s="30">
        <f>IFERROR(IF($K34="","",$J34-$K34),"")</f>
        <v/>
      </c>
      <c r="M34" s="31">
        <f>IF($C34="","",IF(NOT(ISNUMBER($G34)),"No dividend",IF($G34=0,"No dividend",IF(ISNUMBER($H34),"OK","Franking n/a"))))</f>
        <v/>
      </c>
    </row>
    <row r="35">
      <c r="A35" s="16" t="n"/>
      <c r="B35" s="16" t="n"/>
      <c r="C35" s="16">
        <f>IF($A35="","",$A35&amp;" Equity")</f>
        <v/>
      </c>
      <c r="D35" s="16">
        <f>IF($A35="","",BDP($C35,"NAME"))</f>
        <v/>
      </c>
      <c r="E35" s="32">
        <f>IF($A35="","",BDP($C35,"EQY_DVD_SH_12M"))</f>
        <v/>
      </c>
      <c r="F35" s="33">
        <f>IF($A35="","",BDP($C35,"EQY_DVD_YLD_12M"))</f>
        <v/>
      </c>
      <c r="G35" s="33">
        <f>IF($A35="","",BDP($C35,"EQY_DVD_YLD_IND"))</f>
        <v/>
      </c>
      <c r="H35" s="33">
        <f>IF($A35="","",BDP($C35,'Field Check'!$C$4))</f>
        <v/>
      </c>
      <c r="I35" s="34">
        <f>IFERROR(IF($B35="","",$B35/$B$3),"")</f>
        <v/>
      </c>
      <c r="J35" s="34">
        <f>IFERROR(IF($I35="","",$I35*IFERROR($G35,0)/100),"")</f>
        <v/>
      </c>
      <c r="K35" s="34">
        <f>IFERROR(IF($J35="","",IF(ISNUMBER($H35),$J35*$H35/'Index Summary'!$C$7,"")),"")</f>
        <v/>
      </c>
      <c r="L35" s="34">
        <f>IFERROR(IF($K35="","",$J35-$K35),"")</f>
        <v/>
      </c>
      <c r="M35" s="35">
        <f>IF($C35="","",IF(NOT(ISNUMBER($G35)),"No dividend",IF($G35=0,"No dividend",IF(ISNUMBER($H35),"OK","Franking n/a"))))</f>
        <v/>
      </c>
    </row>
    <row r="36">
      <c r="A36" s="27" t="n"/>
      <c r="B36" s="27" t="n"/>
      <c r="C36" s="27">
        <f>IF($A36="","",$A36&amp;" Equity")</f>
        <v/>
      </c>
      <c r="D36" s="27">
        <f>IF($A36="","",BDP($C36,"NAME"))</f>
        <v/>
      </c>
      <c r="E36" s="28">
        <f>IF($A36="","",BDP($C36,"EQY_DVD_SH_12M"))</f>
        <v/>
      </c>
      <c r="F36" s="29">
        <f>IF($A36="","",BDP($C36,"EQY_DVD_YLD_12M"))</f>
        <v/>
      </c>
      <c r="G36" s="29">
        <f>IF($A36="","",BDP($C36,"EQY_DVD_YLD_IND"))</f>
        <v/>
      </c>
      <c r="H36" s="29">
        <f>IF($A36="","",BDP($C36,'Field Check'!$C$4))</f>
        <v/>
      </c>
      <c r="I36" s="30">
        <f>IFERROR(IF($B36="","",$B36/$B$3),"")</f>
        <v/>
      </c>
      <c r="J36" s="30">
        <f>IFERROR(IF($I36="","",$I36*IFERROR($G36,0)/100),"")</f>
        <v/>
      </c>
      <c r="K36" s="30">
        <f>IFERROR(IF($J36="","",IF(ISNUMBER($H36),$J36*$H36/'Index Summary'!$C$7,"")),"")</f>
        <v/>
      </c>
      <c r="L36" s="30">
        <f>IFERROR(IF($K36="","",$J36-$K36),"")</f>
        <v/>
      </c>
      <c r="M36" s="31">
        <f>IF($C36="","",IF(NOT(ISNUMBER($G36)),"No dividend",IF($G36=0,"No dividend",IF(ISNUMBER($H36),"OK","Franking n/a"))))</f>
        <v/>
      </c>
    </row>
    <row r="37">
      <c r="A37" s="16" t="n"/>
      <c r="B37" s="16" t="n"/>
      <c r="C37" s="16">
        <f>IF($A37="","",$A37&amp;" Equity")</f>
        <v/>
      </c>
      <c r="D37" s="16">
        <f>IF($A37="","",BDP($C37,"NAME"))</f>
        <v/>
      </c>
      <c r="E37" s="32">
        <f>IF($A37="","",BDP($C37,"EQY_DVD_SH_12M"))</f>
        <v/>
      </c>
      <c r="F37" s="33">
        <f>IF($A37="","",BDP($C37,"EQY_DVD_YLD_12M"))</f>
        <v/>
      </c>
      <c r="G37" s="33">
        <f>IF($A37="","",BDP($C37,"EQY_DVD_YLD_IND"))</f>
        <v/>
      </c>
      <c r="H37" s="33">
        <f>IF($A37="","",BDP($C37,'Field Check'!$C$4))</f>
        <v/>
      </c>
      <c r="I37" s="34">
        <f>IFERROR(IF($B37="","",$B37/$B$3),"")</f>
        <v/>
      </c>
      <c r="J37" s="34">
        <f>IFERROR(IF($I37="","",$I37*IFERROR($G37,0)/100),"")</f>
        <v/>
      </c>
      <c r="K37" s="34">
        <f>IFERROR(IF($J37="","",IF(ISNUMBER($H37),$J37*$H37/'Index Summary'!$C$7,"")),"")</f>
        <v/>
      </c>
      <c r="L37" s="34">
        <f>IFERROR(IF($K37="","",$J37-$K37),"")</f>
        <v/>
      </c>
      <c r="M37" s="35">
        <f>IF($C37="","",IF(NOT(ISNUMBER($G37)),"No dividend",IF($G37=0,"No dividend",IF(ISNUMBER($H37),"OK","Franking n/a"))))</f>
        <v/>
      </c>
    </row>
    <row r="38">
      <c r="A38" s="27" t="n"/>
      <c r="B38" s="27" t="n"/>
      <c r="C38" s="27">
        <f>IF($A38="","",$A38&amp;" Equity")</f>
        <v/>
      </c>
      <c r="D38" s="27">
        <f>IF($A38="","",BDP($C38,"NAME"))</f>
        <v/>
      </c>
      <c r="E38" s="28">
        <f>IF($A38="","",BDP($C38,"EQY_DVD_SH_12M"))</f>
        <v/>
      </c>
      <c r="F38" s="29">
        <f>IF($A38="","",BDP($C38,"EQY_DVD_YLD_12M"))</f>
        <v/>
      </c>
      <c r="G38" s="29">
        <f>IF($A38="","",BDP($C38,"EQY_DVD_YLD_IND"))</f>
        <v/>
      </c>
      <c r="H38" s="29">
        <f>IF($A38="","",BDP($C38,'Field Check'!$C$4))</f>
        <v/>
      </c>
      <c r="I38" s="30">
        <f>IFERROR(IF($B38="","",$B38/$B$3),"")</f>
        <v/>
      </c>
      <c r="J38" s="30">
        <f>IFERROR(IF($I38="","",$I38*IFERROR($G38,0)/100),"")</f>
        <v/>
      </c>
      <c r="K38" s="30">
        <f>IFERROR(IF($J38="","",IF(ISNUMBER($H38),$J38*$H38/'Index Summary'!$C$7,"")),"")</f>
        <v/>
      </c>
      <c r="L38" s="30">
        <f>IFERROR(IF($K38="","",$J38-$K38),"")</f>
        <v/>
      </c>
      <c r="M38" s="31">
        <f>IF($C38="","",IF(NOT(ISNUMBER($G38)),"No dividend",IF($G38=0,"No dividend",IF(ISNUMBER($H38),"OK","Franking n/a"))))</f>
        <v/>
      </c>
    </row>
    <row r="39">
      <c r="A39" s="16" t="n"/>
      <c r="B39" s="16" t="n"/>
      <c r="C39" s="16">
        <f>IF($A39="","",$A39&amp;" Equity")</f>
        <v/>
      </c>
      <c r="D39" s="16">
        <f>IF($A39="","",BDP($C39,"NAME"))</f>
        <v/>
      </c>
      <c r="E39" s="32">
        <f>IF($A39="","",BDP($C39,"EQY_DVD_SH_12M"))</f>
        <v/>
      </c>
      <c r="F39" s="33">
        <f>IF($A39="","",BDP($C39,"EQY_DVD_YLD_12M"))</f>
        <v/>
      </c>
      <c r="G39" s="33">
        <f>IF($A39="","",BDP($C39,"EQY_DVD_YLD_IND"))</f>
        <v/>
      </c>
      <c r="H39" s="33">
        <f>IF($A39="","",BDP($C39,'Field Check'!$C$4))</f>
        <v/>
      </c>
      <c r="I39" s="34">
        <f>IFERROR(IF($B39="","",$B39/$B$3),"")</f>
        <v/>
      </c>
      <c r="J39" s="34">
        <f>IFERROR(IF($I39="","",$I39*IFERROR($G39,0)/100),"")</f>
        <v/>
      </c>
      <c r="K39" s="34">
        <f>IFERROR(IF($J39="","",IF(ISNUMBER($H39),$J39*$H39/'Index Summary'!$C$7,"")),"")</f>
        <v/>
      </c>
      <c r="L39" s="34">
        <f>IFERROR(IF($K39="","",$J39-$K39),"")</f>
        <v/>
      </c>
      <c r="M39" s="35">
        <f>IF($C39="","",IF(NOT(ISNUMBER($G39)),"No dividend",IF($G39=0,"No dividend",IF(ISNUMBER($H39),"OK","Franking n/a"))))</f>
        <v/>
      </c>
    </row>
    <row r="40">
      <c r="A40" s="27" t="n"/>
      <c r="B40" s="27" t="n"/>
      <c r="C40" s="27">
        <f>IF($A40="","",$A40&amp;" Equity")</f>
        <v/>
      </c>
      <c r="D40" s="27">
        <f>IF($A40="","",BDP($C40,"NAME"))</f>
        <v/>
      </c>
      <c r="E40" s="28">
        <f>IF($A40="","",BDP($C40,"EQY_DVD_SH_12M"))</f>
        <v/>
      </c>
      <c r="F40" s="29">
        <f>IF($A40="","",BDP($C40,"EQY_DVD_YLD_12M"))</f>
        <v/>
      </c>
      <c r="G40" s="29">
        <f>IF($A40="","",BDP($C40,"EQY_DVD_YLD_IND"))</f>
        <v/>
      </c>
      <c r="H40" s="29">
        <f>IF($A40="","",BDP($C40,'Field Check'!$C$4))</f>
        <v/>
      </c>
      <c r="I40" s="30">
        <f>IFERROR(IF($B40="","",$B40/$B$3),"")</f>
        <v/>
      </c>
      <c r="J40" s="30">
        <f>IFERROR(IF($I40="","",$I40*IFERROR($G40,0)/100),"")</f>
        <v/>
      </c>
      <c r="K40" s="30">
        <f>IFERROR(IF($J40="","",IF(ISNUMBER($H40),$J40*$H40/'Index Summary'!$C$7,"")),"")</f>
        <v/>
      </c>
      <c r="L40" s="30">
        <f>IFERROR(IF($K40="","",$J40-$K40),"")</f>
        <v/>
      </c>
      <c r="M40" s="31">
        <f>IF($C40="","",IF(NOT(ISNUMBER($G40)),"No dividend",IF($G40=0,"No dividend",IF(ISNUMBER($H40),"OK","Franking n/a"))))</f>
        <v/>
      </c>
    </row>
    <row r="41">
      <c r="A41" s="16" t="n"/>
      <c r="B41" s="16" t="n"/>
      <c r="C41" s="16">
        <f>IF($A41="","",$A41&amp;" Equity")</f>
        <v/>
      </c>
      <c r="D41" s="16">
        <f>IF($A41="","",BDP($C41,"NAME"))</f>
        <v/>
      </c>
      <c r="E41" s="32">
        <f>IF($A41="","",BDP($C41,"EQY_DVD_SH_12M"))</f>
        <v/>
      </c>
      <c r="F41" s="33">
        <f>IF($A41="","",BDP($C41,"EQY_DVD_YLD_12M"))</f>
        <v/>
      </c>
      <c r="G41" s="33">
        <f>IF($A41="","",BDP($C41,"EQY_DVD_YLD_IND"))</f>
        <v/>
      </c>
      <c r="H41" s="33">
        <f>IF($A41="","",BDP($C41,'Field Check'!$C$4))</f>
        <v/>
      </c>
      <c r="I41" s="34">
        <f>IFERROR(IF($B41="","",$B41/$B$3),"")</f>
        <v/>
      </c>
      <c r="J41" s="34">
        <f>IFERROR(IF($I41="","",$I41*IFERROR($G41,0)/100),"")</f>
        <v/>
      </c>
      <c r="K41" s="34">
        <f>IFERROR(IF($J41="","",IF(ISNUMBER($H41),$J41*$H41/'Index Summary'!$C$7,"")),"")</f>
        <v/>
      </c>
      <c r="L41" s="34">
        <f>IFERROR(IF($K41="","",$J41-$K41),"")</f>
        <v/>
      </c>
      <c r="M41" s="35">
        <f>IF($C41="","",IF(NOT(ISNUMBER($G41)),"No dividend",IF($G41=0,"No dividend",IF(ISNUMBER($H41),"OK","Franking n/a"))))</f>
        <v/>
      </c>
    </row>
    <row r="42">
      <c r="A42" s="27" t="n"/>
      <c r="B42" s="27" t="n"/>
      <c r="C42" s="27">
        <f>IF($A42="","",$A42&amp;" Equity")</f>
        <v/>
      </c>
      <c r="D42" s="27">
        <f>IF($A42="","",BDP($C42,"NAME"))</f>
        <v/>
      </c>
      <c r="E42" s="28">
        <f>IF($A42="","",BDP($C42,"EQY_DVD_SH_12M"))</f>
        <v/>
      </c>
      <c r="F42" s="29">
        <f>IF($A42="","",BDP($C42,"EQY_DVD_YLD_12M"))</f>
        <v/>
      </c>
      <c r="G42" s="29">
        <f>IF($A42="","",BDP($C42,"EQY_DVD_YLD_IND"))</f>
        <v/>
      </c>
      <c r="H42" s="29">
        <f>IF($A42="","",BDP($C42,'Field Check'!$C$4))</f>
        <v/>
      </c>
      <c r="I42" s="30">
        <f>IFERROR(IF($B42="","",$B42/$B$3),"")</f>
        <v/>
      </c>
      <c r="J42" s="30">
        <f>IFERROR(IF($I42="","",$I42*IFERROR($G42,0)/100),"")</f>
        <v/>
      </c>
      <c r="K42" s="30">
        <f>IFERROR(IF($J42="","",IF(ISNUMBER($H42),$J42*$H42/'Index Summary'!$C$7,"")),"")</f>
        <v/>
      </c>
      <c r="L42" s="30">
        <f>IFERROR(IF($K42="","",$J42-$K42),"")</f>
        <v/>
      </c>
      <c r="M42" s="31">
        <f>IF($C42="","",IF(NOT(ISNUMBER($G42)),"No dividend",IF($G42=0,"No dividend",IF(ISNUMBER($H42),"OK","Franking n/a"))))</f>
        <v/>
      </c>
    </row>
    <row r="43">
      <c r="A43" s="16" t="n"/>
      <c r="B43" s="16" t="n"/>
      <c r="C43" s="16">
        <f>IF($A43="","",$A43&amp;" Equity")</f>
        <v/>
      </c>
      <c r="D43" s="16">
        <f>IF($A43="","",BDP($C43,"NAME"))</f>
        <v/>
      </c>
      <c r="E43" s="32">
        <f>IF($A43="","",BDP($C43,"EQY_DVD_SH_12M"))</f>
        <v/>
      </c>
      <c r="F43" s="33">
        <f>IF($A43="","",BDP($C43,"EQY_DVD_YLD_12M"))</f>
        <v/>
      </c>
      <c r="G43" s="33">
        <f>IF($A43="","",BDP($C43,"EQY_DVD_YLD_IND"))</f>
        <v/>
      </c>
      <c r="H43" s="33">
        <f>IF($A43="","",BDP($C43,'Field Check'!$C$4))</f>
        <v/>
      </c>
      <c r="I43" s="34">
        <f>IFERROR(IF($B43="","",$B43/$B$3),"")</f>
        <v/>
      </c>
      <c r="J43" s="34">
        <f>IFERROR(IF($I43="","",$I43*IFERROR($G43,0)/100),"")</f>
        <v/>
      </c>
      <c r="K43" s="34">
        <f>IFERROR(IF($J43="","",IF(ISNUMBER($H43),$J43*$H43/'Index Summary'!$C$7,"")),"")</f>
        <v/>
      </c>
      <c r="L43" s="34">
        <f>IFERROR(IF($K43="","",$J43-$K43),"")</f>
        <v/>
      </c>
      <c r="M43" s="35">
        <f>IF($C43="","",IF(NOT(ISNUMBER($G43)),"No dividend",IF($G43=0,"No dividend",IF(ISNUMBER($H43),"OK","Franking n/a"))))</f>
        <v/>
      </c>
    </row>
    <row r="44">
      <c r="A44" s="27" t="n"/>
      <c r="B44" s="27" t="n"/>
      <c r="C44" s="27">
        <f>IF($A44="","",$A44&amp;" Equity")</f>
        <v/>
      </c>
      <c r="D44" s="27">
        <f>IF($A44="","",BDP($C44,"NAME"))</f>
        <v/>
      </c>
      <c r="E44" s="28">
        <f>IF($A44="","",BDP($C44,"EQY_DVD_SH_12M"))</f>
        <v/>
      </c>
      <c r="F44" s="29">
        <f>IF($A44="","",BDP($C44,"EQY_DVD_YLD_12M"))</f>
        <v/>
      </c>
      <c r="G44" s="29">
        <f>IF($A44="","",BDP($C44,"EQY_DVD_YLD_IND"))</f>
        <v/>
      </c>
      <c r="H44" s="29">
        <f>IF($A44="","",BDP($C44,'Field Check'!$C$4))</f>
        <v/>
      </c>
      <c r="I44" s="30">
        <f>IFERROR(IF($B44="","",$B44/$B$3),"")</f>
        <v/>
      </c>
      <c r="J44" s="30">
        <f>IFERROR(IF($I44="","",$I44*IFERROR($G44,0)/100),"")</f>
        <v/>
      </c>
      <c r="K44" s="30">
        <f>IFERROR(IF($J44="","",IF(ISNUMBER($H44),$J44*$H44/'Index Summary'!$C$7,"")),"")</f>
        <v/>
      </c>
      <c r="L44" s="30">
        <f>IFERROR(IF($K44="","",$J44-$K44),"")</f>
        <v/>
      </c>
      <c r="M44" s="31">
        <f>IF($C44="","",IF(NOT(ISNUMBER($G44)),"No dividend",IF($G44=0,"No dividend",IF(ISNUMBER($H44),"OK","Franking n/a"))))</f>
        <v/>
      </c>
    </row>
    <row r="45">
      <c r="A45" s="16" t="n"/>
      <c r="B45" s="16" t="n"/>
      <c r="C45" s="16">
        <f>IF($A45="","",$A45&amp;" Equity")</f>
        <v/>
      </c>
      <c r="D45" s="16">
        <f>IF($A45="","",BDP($C45,"NAME"))</f>
        <v/>
      </c>
      <c r="E45" s="32">
        <f>IF($A45="","",BDP($C45,"EQY_DVD_SH_12M"))</f>
        <v/>
      </c>
      <c r="F45" s="33">
        <f>IF($A45="","",BDP($C45,"EQY_DVD_YLD_12M"))</f>
        <v/>
      </c>
      <c r="G45" s="33">
        <f>IF($A45="","",BDP($C45,"EQY_DVD_YLD_IND"))</f>
        <v/>
      </c>
      <c r="H45" s="33">
        <f>IF($A45="","",BDP($C45,'Field Check'!$C$4))</f>
        <v/>
      </c>
      <c r="I45" s="34">
        <f>IFERROR(IF($B45="","",$B45/$B$3),"")</f>
        <v/>
      </c>
      <c r="J45" s="34">
        <f>IFERROR(IF($I45="","",$I45*IFERROR($G45,0)/100),"")</f>
        <v/>
      </c>
      <c r="K45" s="34">
        <f>IFERROR(IF($J45="","",IF(ISNUMBER($H45),$J45*$H45/'Index Summary'!$C$7,"")),"")</f>
        <v/>
      </c>
      <c r="L45" s="34">
        <f>IFERROR(IF($K45="","",$J45-$K45),"")</f>
        <v/>
      </c>
      <c r="M45" s="35">
        <f>IF($C45="","",IF(NOT(ISNUMBER($G45)),"No dividend",IF($G45=0,"No dividend",IF(ISNUMBER($H45),"OK","Franking n/a"))))</f>
        <v/>
      </c>
    </row>
    <row r="46">
      <c r="A46" s="27" t="n"/>
      <c r="B46" s="27" t="n"/>
      <c r="C46" s="27">
        <f>IF($A46="","",$A46&amp;" Equity")</f>
        <v/>
      </c>
      <c r="D46" s="27">
        <f>IF($A46="","",BDP($C46,"NAME"))</f>
        <v/>
      </c>
      <c r="E46" s="28">
        <f>IF($A46="","",BDP($C46,"EQY_DVD_SH_12M"))</f>
        <v/>
      </c>
      <c r="F46" s="29">
        <f>IF($A46="","",BDP($C46,"EQY_DVD_YLD_12M"))</f>
        <v/>
      </c>
      <c r="G46" s="29">
        <f>IF($A46="","",BDP($C46,"EQY_DVD_YLD_IND"))</f>
        <v/>
      </c>
      <c r="H46" s="29">
        <f>IF($A46="","",BDP($C46,'Field Check'!$C$4))</f>
        <v/>
      </c>
      <c r="I46" s="30">
        <f>IFERROR(IF($B46="","",$B46/$B$3),"")</f>
        <v/>
      </c>
      <c r="J46" s="30">
        <f>IFERROR(IF($I46="","",$I46*IFERROR($G46,0)/100),"")</f>
        <v/>
      </c>
      <c r="K46" s="30">
        <f>IFERROR(IF($J46="","",IF(ISNUMBER($H46),$J46*$H46/'Index Summary'!$C$7,"")),"")</f>
        <v/>
      </c>
      <c r="L46" s="30">
        <f>IFERROR(IF($K46="","",$J46-$K46),"")</f>
        <v/>
      </c>
      <c r="M46" s="31">
        <f>IF($C46="","",IF(NOT(ISNUMBER($G46)),"No dividend",IF($G46=0,"No dividend",IF(ISNUMBER($H46),"OK","Franking n/a"))))</f>
        <v/>
      </c>
    </row>
    <row r="47">
      <c r="A47" s="16" t="n"/>
      <c r="B47" s="16" t="n"/>
      <c r="C47" s="16">
        <f>IF($A47="","",$A47&amp;" Equity")</f>
        <v/>
      </c>
      <c r="D47" s="16">
        <f>IF($A47="","",BDP($C47,"NAME"))</f>
        <v/>
      </c>
      <c r="E47" s="32">
        <f>IF($A47="","",BDP($C47,"EQY_DVD_SH_12M"))</f>
        <v/>
      </c>
      <c r="F47" s="33">
        <f>IF($A47="","",BDP($C47,"EQY_DVD_YLD_12M"))</f>
        <v/>
      </c>
      <c r="G47" s="33">
        <f>IF($A47="","",BDP($C47,"EQY_DVD_YLD_IND"))</f>
        <v/>
      </c>
      <c r="H47" s="33">
        <f>IF($A47="","",BDP($C47,'Field Check'!$C$4))</f>
        <v/>
      </c>
      <c r="I47" s="34">
        <f>IFERROR(IF($B47="","",$B47/$B$3),"")</f>
        <v/>
      </c>
      <c r="J47" s="34">
        <f>IFERROR(IF($I47="","",$I47*IFERROR($G47,0)/100),"")</f>
        <v/>
      </c>
      <c r="K47" s="34">
        <f>IFERROR(IF($J47="","",IF(ISNUMBER($H47),$J47*$H47/'Index Summary'!$C$7,"")),"")</f>
        <v/>
      </c>
      <c r="L47" s="34">
        <f>IFERROR(IF($K47="","",$J47-$K47),"")</f>
        <v/>
      </c>
      <c r="M47" s="35">
        <f>IF($C47="","",IF(NOT(ISNUMBER($G47)),"No dividend",IF($G47=0,"No dividend",IF(ISNUMBER($H47),"OK","Franking n/a"))))</f>
        <v/>
      </c>
    </row>
    <row r="48">
      <c r="A48" s="27" t="n"/>
      <c r="B48" s="27" t="n"/>
      <c r="C48" s="27">
        <f>IF($A48="","",$A48&amp;" Equity")</f>
        <v/>
      </c>
      <c r="D48" s="27">
        <f>IF($A48="","",BDP($C48,"NAME"))</f>
        <v/>
      </c>
      <c r="E48" s="28">
        <f>IF($A48="","",BDP($C48,"EQY_DVD_SH_12M"))</f>
        <v/>
      </c>
      <c r="F48" s="29">
        <f>IF($A48="","",BDP($C48,"EQY_DVD_YLD_12M"))</f>
        <v/>
      </c>
      <c r="G48" s="29">
        <f>IF($A48="","",BDP($C48,"EQY_DVD_YLD_IND"))</f>
        <v/>
      </c>
      <c r="H48" s="29">
        <f>IF($A48="","",BDP($C48,'Field Check'!$C$4))</f>
        <v/>
      </c>
      <c r="I48" s="30">
        <f>IFERROR(IF($B48="","",$B48/$B$3),"")</f>
        <v/>
      </c>
      <c r="J48" s="30">
        <f>IFERROR(IF($I48="","",$I48*IFERROR($G48,0)/100),"")</f>
        <v/>
      </c>
      <c r="K48" s="30">
        <f>IFERROR(IF($J48="","",IF(ISNUMBER($H48),$J48*$H48/'Index Summary'!$C$7,"")),"")</f>
        <v/>
      </c>
      <c r="L48" s="30">
        <f>IFERROR(IF($K48="","",$J48-$K48),"")</f>
        <v/>
      </c>
      <c r="M48" s="31">
        <f>IF($C48="","",IF(NOT(ISNUMBER($G48)),"No dividend",IF($G48=0,"No dividend",IF(ISNUMBER($H48),"OK","Franking n/a"))))</f>
        <v/>
      </c>
    </row>
    <row r="49">
      <c r="A49" s="16" t="n"/>
      <c r="B49" s="16" t="n"/>
      <c r="C49" s="16">
        <f>IF($A49="","",$A49&amp;" Equity")</f>
        <v/>
      </c>
      <c r="D49" s="16">
        <f>IF($A49="","",BDP($C49,"NAME"))</f>
        <v/>
      </c>
      <c r="E49" s="32">
        <f>IF($A49="","",BDP($C49,"EQY_DVD_SH_12M"))</f>
        <v/>
      </c>
      <c r="F49" s="33">
        <f>IF($A49="","",BDP($C49,"EQY_DVD_YLD_12M"))</f>
        <v/>
      </c>
      <c r="G49" s="33">
        <f>IF($A49="","",BDP($C49,"EQY_DVD_YLD_IND"))</f>
        <v/>
      </c>
      <c r="H49" s="33">
        <f>IF($A49="","",BDP($C49,'Field Check'!$C$4))</f>
        <v/>
      </c>
      <c r="I49" s="34">
        <f>IFERROR(IF($B49="","",$B49/$B$3),"")</f>
        <v/>
      </c>
      <c r="J49" s="34">
        <f>IFERROR(IF($I49="","",$I49*IFERROR($G49,0)/100),"")</f>
        <v/>
      </c>
      <c r="K49" s="34">
        <f>IFERROR(IF($J49="","",IF(ISNUMBER($H49),$J49*$H49/'Index Summary'!$C$7,"")),"")</f>
        <v/>
      </c>
      <c r="L49" s="34">
        <f>IFERROR(IF($K49="","",$J49-$K49),"")</f>
        <v/>
      </c>
      <c r="M49" s="35">
        <f>IF($C49="","",IF(NOT(ISNUMBER($G49)),"No dividend",IF($G49=0,"No dividend",IF(ISNUMBER($H49),"OK","Franking n/a"))))</f>
        <v/>
      </c>
    </row>
    <row r="50">
      <c r="A50" s="27" t="n"/>
      <c r="B50" s="27" t="n"/>
      <c r="C50" s="27">
        <f>IF($A50="","",$A50&amp;" Equity")</f>
        <v/>
      </c>
      <c r="D50" s="27">
        <f>IF($A50="","",BDP($C50,"NAME"))</f>
        <v/>
      </c>
      <c r="E50" s="28">
        <f>IF($A50="","",BDP($C50,"EQY_DVD_SH_12M"))</f>
        <v/>
      </c>
      <c r="F50" s="29">
        <f>IF($A50="","",BDP($C50,"EQY_DVD_YLD_12M"))</f>
        <v/>
      </c>
      <c r="G50" s="29">
        <f>IF($A50="","",BDP($C50,"EQY_DVD_YLD_IND"))</f>
        <v/>
      </c>
      <c r="H50" s="29">
        <f>IF($A50="","",BDP($C50,'Field Check'!$C$4))</f>
        <v/>
      </c>
      <c r="I50" s="30">
        <f>IFERROR(IF($B50="","",$B50/$B$3),"")</f>
        <v/>
      </c>
      <c r="J50" s="30">
        <f>IFERROR(IF($I50="","",$I50*IFERROR($G50,0)/100),"")</f>
        <v/>
      </c>
      <c r="K50" s="30">
        <f>IFERROR(IF($J50="","",IF(ISNUMBER($H50),$J50*$H50/'Index Summary'!$C$7,"")),"")</f>
        <v/>
      </c>
      <c r="L50" s="30">
        <f>IFERROR(IF($K50="","",$J50-$K50),"")</f>
        <v/>
      </c>
      <c r="M50" s="31">
        <f>IF($C50="","",IF(NOT(ISNUMBER($G50)),"No dividend",IF($G50=0,"No dividend",IF(ISNUMBER($H50),"OK","Franking n/a"))))</f>
        <v/>
      </c>
    </row>
    <row r="51">
      <c r="A51" s="16" t="n"/>
      <c r="B51" s="16" t="n"/>
      <c r="C51" s="16">
        <f>IF($A51="","",$A51&amp;" Equity")</f>
        <v/>
      </c>
      <c r="D51" s="16">
        <f>IF($A51="","",BDP($C51,"NAME"))</f>
        <v/>
      </c>
      <c r="E51" s="32">
        <f>IF($A51="","",BDP($C51,"EQY_DVD_SH_12M"))</f>
        <v/>
      </c>
      <c r="F51" s="33">
        <f>IF($A51="","",BDP($C51,"EQY_DVD_YLD_12M"))</f>
        <v/>
      </c>
      <c r="G51" s="33">
        <f>IF($A51="","",BDP($C51,"EQY_DVD_YLD_IND"))</f>
        <v/>
      </c>
      <c r="H51" s="33">
        <f>IF($A51="","",BDP($C51,'Field Check'!$C$4))</f>
        <v/>
      </c>
      <c r="I51" s="34">
        <f>IFERROR(IF($B51="","",$B51/$B$3),"")</f>
        <v/>
      </c>
      <c r="J51" s="34">
        <f>IFERROR(IF($I51="","",$I51*IFERROR($G51,0)/100),"")</f>
        <v/>
      </c>
      <c r="K51" s="34">
        <f>IFERROR(IF($J51="","",IF(ISNUMBER($H51),$J51*$H51/'Index Summary'!$C$7,"")),"")</f>
        <v/>
      </c>
      <c r="L51" s="34">
        <f>IFERROR(IF($K51="","",$J51-$K51),"")</f>
        <v/>
      </c>
      <c r="M51" s="35">
        <f>IF($C51="","",IF(NOT(ISNUMBER($G51)),"No dividend",IF($G51=0,"No dividend",IF(ISNUMBER($H51),"OK","Franking n/a"))))</f>
        <v/>
      </c>
    </row>
    <row r="52">
      <c r="A52" s="27" t="n"/>
      <c r="B52" s="27" t="n"/>
      <c r="C52" s="27">
        <f>IF($A52="","",$A52&amp;" Equity")</f>
        <v/>
      </c>
      <c r="D52" s="27">
        <f>IF($A52="","",BDP($C52,"NAME"))</f>
        <v/>
      </c>
      <c r="E52" s="28">
        <f>IF($A52="","",BDP($C52,"EQY_DVD_SH_12M"))</f>
        <v/>
      </c>
      <c r="F52" s="29">
        <f>IF($A52="","",BDP($C52,"EQY_DVD_YLD_12M"))</f>
        <v/>
      </c>
      <c r="G52" s="29">
        <f>IF($A52="","",BDP($C52,"EQY_DVD_YLD_IND"))</f>
        <v/>
      </c>
      <c r="H52" s="29">
        <f>IF($A52="","",BDP($C52,'Field Check'!$C$4))</f>
        <v/>
      </c>
      <c r="I52" s="30">
        <f>IFERROR(IF($B52="","",$B52/$B$3),"")</f>
        <v/>
      </c>
      <c r="J52" s="30">
        <f>IFERROR(IF($I52="","",$I52*IFERROR($G52,0)/100),"")</f>
        <v/>
      </c>
      <c r="K52" s="30">
        <f>IFERROR(IF($J52="","",IF(ISNUMBER($H52),$J52*$H52/'Index Summary'!$C$7,"")),"")</f>
        <v/>
      </c>
      <c r="L52" s="30">
        <f>IFERROR(IF($K52="","",$J52-$K52),"")</f>
        <v/>
      </c>
      <c r="M52" s="31">
        <f>IF($C52="","",IF(NOT(ISNUMBER($G52)),"No dividend",IF($G52=0,"No dividend",IF(ISNUMBER($H52),"OK","Franking n/a"))))</f>
        <v/>
      </c>
    </row>
    <row r="53">
      <c r="A53" s="16" t="n"/>
      <c r="B53" s="16" t="n"/>
      <c r="C53" s="16">
        <f>IF($A53="","",$A53&amp;" Equity")</f>
        <v/>
      </c>
      <c r="D53" s="16">
        <f>IF($A53="","",BDP($C53,"NAME"))</f>
        <v/>
      </c>
      <c r="E53" s="32">
        <f>IF($A53="","",BDP($C53,"EQY_DVD_SH_12M"))</f>
        <v/>
      </c>
      <c r="F53" s="33">
        <f>IF($A53="","",BDP($C53,"EQY_DVD_YLD_12M"))</f>
        <v/>
      </c>
      <c r="G53" s="33">
        <f>IF($A53="","",BDP($C53,"EQY_DVD_YLD_IND"))</f>
        <v/>
      </c>
      <c r="H53" s="33">
        <f>IF($A53="","",BDP($C53,'Field Check'!$C$4))</f>
        <v/>
      </c>
      <c r="I53" s="34">
        <f>IFERROR(IF($B53="","",$B53/$B$3),"")</f>
        <v/>
      </c>
      <c r="J53" s="34">
        <f>IFERROR(IF($I53="","",$I53*IFERROR($G53,0)/100),"")</f>
        <v/>
      </c>
      <c r="K53" s="34">
        <f>IFERROR(IF($J53="","",IF(ISNUMBER($H53),$J53*$H53/'Index Summary'!$C$7,"")),"")</f>
        <v/>
      </c>
      <c r="L53" s="34">
        <f>IFERROR(IF($K53="","",$J53-$K53),"")</f>
        <v/>
      </c>
      <c r="M53" s="35">
        <f>IF($C53="","",IF(NOT(ISNUMBER($G53)),"No dividend",IF($G53=0,"No dividend",IF(ISNUMBER($H53),"OK","Franking n/a"))))</f>
        <v/>
      </c>
    </row>
    <row r="54">
      <c r="A54" s="27" t="n"/>
      <c r="B54" s="27" t="n"/>
      <c r="C54" s="27">
        <f>IF($A54="","",$A54&amp;" Equity")</f>
        <v/>
      </c>
      <c r="D54" s="27">
        <f>IF($A54="","",BDP($C54,"NAME"))</f>
        <v/>
      </c>
      <c r="E54" s="28">
        <f>IF($A54="","",BDP($C54,"EQY_DVD_SH_12M"))</f>
        <v/>
      </c>
      <c r="F54" s="29">
        <f>IF($A54="","",BDP($C54,"EQY_DVD_YLD_12M"))</f>
        <v/>
      </c>
      <c r="G54" s="29">
        <f>IF($A54="","",BDP($C54,"EQY_DVD_YLD_IND"))</f>
        <v/>
      </c>
      <c r="H54" s="29">
        <f>IF($A54="","",BDP($C54,'Field Check'!$C$4))</f>
        <v/>
      </c>
      <c r="I54" s="30">
        <f>IFERROR(IF($B54="","",$B54/$B$3),"")</f>
        <v/>
      </c>
      <c r="J54" s="30">
        <f>IFERROR(IF($I54="","",$I54*IFERROR($G54,0)/100),"")</f>
        <v/>
      </c>
      <c r="K54" s="30">
        <f>IFERROR(IF($J54="","",IF(ISNUMBER($H54),$J54*$H54/'Index Summary'!$C$7,"")),"")</f>
        <v/>
      </c>
      <c r="L54" s="30">
        <f>IFERROR(IF($K54="","",$J54-$K54),"")</f>
        <v/>
      </c>
      <c r="M54" s="31">
        <f>IF($C54="","",IF(NOT(ISNUMBER($G54)),"No dividend",IF($G54=0,"No dividend",IF(ISNUMBER($H54),"OK","Franking n/a"))))</f>
        <v/>
      </c>
    </row>
    <row r="55">
      <c r="A55" s="16" t="n"/>
      <c r="B55" s="16" t="n"/>
      <c r="C55" s="16">
        <f>IF($A55="","",$A55&amp;" Equity")</f>
        <v/>
      </c>
      <c r="D55" s="16">
        <f>IF($A55="","",BDP($C55,"NAME"))</f>
        <v/>
      </c>
      <c r="E55" s="32">
        <f>IF($A55="","",BDP($C55,"EQY_DVD_SH_12M"))</f>
        <v/>
      </c>
      <c r="F55" s="33">
        <f>IF($A55="","",BDP($C55,"EQY_DVD_YLD_12M"))</f>
        <v/>
      </c>
      <c r="G55" s="33">
        <f>IF($A55="","",BDP($C55,"EQY_DVD_YLD_IND"))</f>
        <v/>
      </c>
      <c r="H55" s="33">
        <f>IF($A55="","",BDP($C55,'Field Check'!$C$4))</f>
        <v/>
      </c>
      <c r="I55" s="34">
        <f>IFERROR(IF($B55="","",$B55/$B$3),"")</f>
        <v/>
      </c>
      <c r="J55" s="34">
        <f>IFERROR(IF($I55="","",$I55*IFERROR($G55,0)/100),"")</f>
        <v/>
      </c>
      <c r="K55" s="34">
        <f>IFERROR(IF($J55="","",IF(ISNUMBER($H55),$J55*$H55/'Index Summary'!$C$7,"")),"")</f>
        <v/>
      </c>
      <c r="L55" s="34">
        <f>IFERROR(IF($K55="","",$J55-$K55),"")</f>
        <v/>
      </c>
      <c r="M55" s="35">
        <f>IF($C55="","",IF(NOT(ISNUMBER($G55)),"No dividend",IF($G55=0,"No dividend",IF(ISNUMBER($H55),"OK","Franking n/a"))))</f>
        <v/>
      </c>
    </row>
    <row r="56">
      <c r="A56" s="27" t="n"/>
      <c r="B56" s="27" t="n"/>
      <c r="C56" s="27">
        <f>IF($A56="","",$A56&amp;" Equity")</f>
        <v/>
      </c>
      <c r="D56" s="27">
        <f>IF($A56="","",BDP($C56,"NAME"))</f>
        <v/>
      </c>
      <c r="E56" s="28">
        <f>IF($A56="","",BDP($C56,"EQY_DVD_SH_12M"))</f>
        <v/>
      </c>
      <c r="F56" s="29">
        <f>IF($A56="","",BDP($C56,"EQY_DVD_YLD_12M"))</f>
        <v/>
      </c>
      <c r="G56" s="29">
        <f>IF($A56="","",BDP($C56,"EQY_DVD_YLD_IND"))</f>
        <v/>
      </c>
      <c r="H56" s="29">
        <f>IF($A56="","",BDP($C56,'Field Check'!$C$4))</f>
        <v/>
      </c>
      <c r="I56" s="30">
        <f>IFERROR(IF($B56="","",$B56/$B$3),"")</f>
        <v/>
      </c>
      <c r="J56" s="30">
        <f>IFERROR(IF($I56="","",$I56*IFERROR($G56,0)/100),"")</f>
        <v/>
      </c>
      <c r="K56" s="30">
        <f>IFERROR(IF($J56="","",IF(ISNUMBER($H56),$J56*$H56/'Index Summary'!$C$7,"")),"")</f>
        <v/>
      </c>
      <c r="L56" s="30">
        <f>IFERROR(IF($K56="","",$J56-$K56),"")</f>
        <v/>
      </c>
      <c r="M56" s="31">
        <f>IF($C56="","",IF(NOT(ISNUMBER($G56)),"No dividend",IF($G56=0,"No dividend",IF(ISNUMBER($H56),"OK","Franking n/a"))))</f>
        <v/>
      </c>
    </row>
    <row r="57">
      <c r="A57" s="16" t="n"/>
      <c r="B57" s="16" t="n"/>
      <c r="C57" s="16">
        <f>IF($A57="","",$A57&amp;" Equity")</f>
        <v/>
      </c>
      <c r="D57" s="16">
        <f>IF($A57="","",BDP($C57,"NAME"))</f>
        <v/>
      </c>
      <c r="E57" s="32">
        <f>IF($A57="","",BDP($C57,"EQY_DVD_SH_12M"))</f>
        <v/>
      </c>
      <c r="F57" s="33">
        <f>IF($A57="","",BDP($C57,"EQY_DVD_YLD_12M"))</f>
        <v/>
      </c>
      <c r="G57" s="33">
        <f>IF($A57="","",BDP($C57,"EQY_DVD_YLD_IND"))</f>
        <v/>
      </c>
      <c r="H57" s="33">
        <f>IF($A57="","",BDP($C57,'Field Check'!$C$4))</f>
        <v/>
      </c>
      <c r="I57" s="34">
        <f>IFERROR(IF($B57="","",$B57/$B$3),"")</f>
        <v/>
      </c>
      <c r="J57" s="34">
        <f>IFERROR(IF($I57="","",$I57*IFERROR($G57,0)/100),"")</f>
        <v/>
      </c>
      <c r="K57" s="34">
        <f>IFERROR(IF($J57="","",IF(ISNUMBER($H57),$J57*$H57/'Index Summary'!$C$7,"")),"")</f>
        <v/>
      </c>
      <c r="L57" s="34">
        <f>IFERROR(IF($K57="","",$J57-$K57),"")</f>
        <v/>
      </c>
      <c r="M57" s="35">
        <f>IF($C57="","",IF(NOT(ISNUMBER($G57)),"No dividend",IF($G57=0,"No dividend",IF(ISNUMBER($H57),"OK","Franking n/a"))))</f>
        <v/>
      </c>
    </row>
    <row r="58">
      <c r="A58" s="27" t="n"/>
      <c r="B58" s="27" t="n"/>
      <c r="C58" s="27">
        <f>IF($A58="","",$A58&amp;" Equity")</f>
        <v/>
      </c>
      <c r="D58" s="27">
        <f>IF($A58="","",BDP($C58,"NAME"))</f>
        <v/>
      </c>
      <c r="E58" s="28">
        <f>IF($A58="","",BDP($C58,"EQY_DVD_SH_12M"))</f>
        <v/>
      </c>
      <c r="F58" s="29">
        <f>IF($A58="","",BDP($C58,"EQY_DVD_YLD_12M"))</f>
        <v/>
      </c>
      <c r="G58" s="29">
        <f>IF($A58="","",BDP($C58,"EQY_DVD_YLD_IND"))</f>
        <v/>
      </c>
      <c r="H58" s="29">
        <f>IF($A58="","",BDP($C58,'Field Check'!$C$4))</f>
        <v/>
      </c>
      <c r="I58" s="30">
        <f>IFERROR(IF($B58="","",$B58/$B$3),"")</f>
        <v/>
      </c>
      <c r="J58" s="30">
        <f>IFERROR(IF($I58="","",$I58*IFERROR($G58,0)/100),"")</f>
        <v/>
      </c>
      <c r="K58" s="30">
        <f>IFERROR(IF($J58="","",IF(ISNUMBER($H58),$J58*$H58/'Index Summary'!$C$7,"")),"")</f>
        <v/>
      </c>
      <c r="L58" s="30">
        <f>IFERROR(IF($K58="","",$J58-$K58),"")</f>
        <v/>
      </c>
      <c r="M58" s="31">
        <f>IF($C58="","",IF(NOT(ISNUMBER($G58)),"No dividend",IF($G58=0,"No dividend",IF(ISNUMBER($H58),"OK","Franking n/a"))))</f>
        <v/>
      </c>
    </row>
    <row r="59">
      <c r="A59" s="16" t="n"/>
      <c r="B59" s="16" t="n"/>
      <c r="C59" s="16">
        <f>IF($A59="","",$A59&amp;" Equity")</f>
        <v/>
      </c>
      <c r="D59" s="16">
        <f>IF($A59="","",BDP($C59,"NAME"))</f>
        <v/>
      </c>
      <c r="E59" s="32">
        <f>IF($A59="","",BDP($C59,"EQY_DVD_SH_12M"))</f>
        <v/>
      </c>
      <c r="F59" s="33">
        <f>IF($A59="","",BDP($C59,"EQY_DVD_YLD_12M"))</f>
        <v/>
      </c>
      <c r="G59" s="33">
        <f>IF($A59="","",BDP($C59,"EQY_DVD_YLD_IND"))</f>
        <v/>
      </c>
      <c r="H59" s="33">
        <f>IF($A59="","",BDP($C59,'Field Check'!$C$4))</f>
        <v/>
      </c>
      <c r="I59" s="34">
        <f>IFERROR(IF($B59="","",$B59/$B$3),"")</f>
        <v/>
      </c>
      <c r="J59" s="34">
        <f>IFERROR(IF($I59="","",$I59*IFERROR($G59,0)/100),"")</f>
        <v/>
      </c>
      <c r="K59" s="34">
        <f>IFERROR(IF($J59="","",IF(ISNUMBER($H59),$J59*$H59/'Index Summary'!$C$7,"")),"")</f>
        <v/>
      </c>
      <c r="L59" s="34">
        <f>IFERROR(IF($K59="","",$J59-$K59),"")</f>
        <v/>
      </c>
      <c r="M59" s="35">
        <f>IF($C59="","",IF(NOT(ISNUMBER($G59)),"No dividend",IF($G59=0,"No dividend",IF(ISNUMBER($H59),"OK","Franking n/a"))))</f>
        <v/>
      </c>
    </row>
    <row r="60">
      <c r="A60" s="27" t="n"/>
      <c r="B60" s="27" t="n"/>
      <c r="C60" s="27">
        <f>IF($A60="","",$A60&amp;" Equity")</f>
        <v/>
      </c>
      <c r="D60" s="27">
        <f>IF($A60="","",BDP($C60,"NAME"))</f>
        <v/>
      </c>
      <c r="E60" s="28">
        <f>IF($A60="","",BDP($C60,"EQY_DVD_SH_12M"))</f>
        <v/>
      </c>
      <c r="F60" s="29">
        <f>IF($A60="","",BDP($C60,"EQY_DVD_YLD_12M"))</f>
        <v/>
      </c>
      <c r="G60" s="29">
        <f>IF($A60="","",BDP($C60,"EQY_DVD_YLD_IND"))</f>
        <v/>
      </c>
      <c r="H60" s="29">
        <f>IF($A60="","",BDP($C60,'Field Check'!$C$4))</f>
        <v/>
      </c>
      <c r="I60" s="30">
        <f>IFERROR(IF($B60="","",$B60/$B$3),"")</f>
        <v/>
      </c>
      <c r="J60" s="30">
        <f>IFERROR(IF($I60="","",$I60*IFERROR($G60,0)/100),"")</f>
        <v/>
      </c>
      <c r="K60" s="30">
        <f>IFERROR(IF($J60="","",IF(ISNUMBER($H60),$J60*$H60/'Index Summary'!$C$7,"")),"")</f>
        <v/>
      </c>
      <c r="L60" s="30">
        <f>IFERROR(IF($K60="","",$J60-$K60),"")</f>
        <v/>
      </c>
      <c r="M60" s="31">
        <f>IF($C60="","",IF(NOT(ISNUMBER($G60)),"No dividend",IF($G60=0,"No dividend",IF(ISNUMBER($H60),"OK","Franking n/a"))))</f>
        <v/>
      </c>
    </row>
    <row r="61">
      <c r="A61" s="16" t="n"/>
      <c r="B61" s="16" t="n"/>
      <c r="C61" s="16">
        <f>IF($A61="","",$A61&amp;" Equity")</f>
        <v/>
      </c>
      <c r="D61" s="16">
        <f>IF($A61="","",BDP($C61,"NAME"))</f>
        <v/>
      </c>
      <c r="E61" s="32">
        <f>IF($A61="","",BDP($C61,"EQY_DVD_SH_12M"))</f>
        <v/>
      </c>
      <c r="F61" s="33">
        <f>IF($A61="","",BDP($C61,"EQY_DVD_YLD_12M"))</f>
        <v/>
      </c>
      <c r="G61" s="33">
        <f>IF($A61="","",BDP($C61,"EQY_DVD_YLD_IND"))</f>
        <v/>
      </c>
      <c r="H61" s="33">
        <f>IF($A61="","",BDP($C61,'Field Check'!$C$4))</f>
        <v/>
      </c>
      <c r="I61" s="34">
        <f>IFERROR(IF($B61="","",$B61/$B$3),"")</f>
        <v/>
      </c>
      <c r="J61" s="34">
        <f>IFERROR(IF($I61="","",$I61*IFERROR($G61,0)/100),"")</f>
        <v/>
      </c>
      <c r="K61" s="34">
        <f>IFERROR(IF($J61="","",IF(ISNUMBER($H61),$J61*$H61/'Index Summary'!$C$7,"")),"")</f>
        <v/>
      </c>
      <c r="L61" s="34">
        <f>IFERROR(IF($K61="","",$J61-$K61),"")</f>
        <v/>
      </c>
      <c r="M61" s="35">
        <f>IF($C61="","",IF(NOT(ISNUMBER($G61)),"No dividend",IF($G61=0,"No dividend",IF(ISNUMBER($H61),"OK","Franking n/a"))))</f>
        <v/>
      </c>
    </row>
    <row r="62">
      <c r="A62" s="27" t="n"/>
      <c r="B62" s="27" t="n"/>
      <c r="C62" s="27">
        <f>IF($A62="","",$A62&amp;" Equity")</f>
        <v/>
      </c>
      <c r="D62" s="27">
        <f>IF($A62="","",BDP($C62,"NAME"))</f>
        <v/>
      </c>
      <c r="E62" s="28">
        <f>IF($A62="","",BDP($C62,"EQY_DVD_SH_12M"))</f>
        <v/>
      </c>
      <c r="F62" s="29">
        <f>IF($A62="","",BDP($C62,"EQY_DVD_YLD_12M"))</f>
        <v/>
      </c>
      <c r="G62" s="29">
        <f>IF($A62="","",BDP($C62,"EQY_DVD_YLD_IND"))</f>
        <v/>
      </c>
      <c r="H62" s="29">
        <f>IF($A62="","",BDP($C62,'Field Check'!$C$4))</f>
        <v/>
      </c>
      <c r="I62" s="30">
        <f>IFERROR(IF($B62="","",$B62/$B$3),"")</f>
        <v/>
      </c>
      <c r="J62" s="30">
        <f>IFERROR(IF($I62="","",$I62*IFERROR($G62,0)/100),"")</f>
        <v/>
      </c>
      <c r="K62" s="30">
        <f>IFERROR(IF($J62="","",IF(ISNUMBER($H62),$J62*$H62/'Index Summary'!$C$7,"")),"")</f>
        <v/>
      </c>
      <c r="L62" s="30">
        <f>IFERROR(IF($K62="","",$J62-$K62),"")</f>
        <v/>
      </c>
      <c r="M62" s="31">
        <f>IF($C62="","",IF(NOT(ISNUMBER($G62)),"No dividend",IF($G62=0,"No dividend",IF(ISNUMBER($H62),"OK","Franking n/a"))))</f>
        <v/>
      </c>
    </row>
    <row r="63">
      <c r="A63" s="16" t="n"/>
      <c r="B63" s="16" t="n"/>
      <c r="C63" s="16">
        <f>IF($A63="","",$A63&amp;" Equity")</f>
        <v/>
      </c>
      <c r="D63" s="16">
        <f>IF($A63="","",BDP($C63,"NAME"))</f>
        <v/>
      </c>
      <c r="E63" s="32">
        <f>IF($A63="","",BDP($C63,"EQY_DVD_SH_12M"))</f>
        <v/>
      </c>
      <c r="F63" s="33">
        <f>IF($A63="","",BDP($C63,"EQY_DVD_YLD_12M"))</f>
        <v/>
      </c>
      <c r="G63" s="33">
        <f>IF($A63="","",BDP($C63,"EQY_DVD_YLD_IND"))</f>
        <v/>
      </c>
      <c r="H63" s="33">
        <f>IF($A63="","",BDP($C63,'Field Check'!$C$4))</f>
        <v/>
      </c>
      <c r="I63" s="34">
        <f>IFERROR(IF($B63="","",$B63/$B$3),"")</f>
        <v/>
      </c>
      <c r="J63" s="34">
        <f>IFERROR(IF($I63="","",$I63*IFERROR($G63,0)/100),"")</f>
        <v/>
      </c>
      <c r="K63" s="34">
        <f>IFERROR(IF($J63="","",IF(ISNUMBER($H63),$J63*$H63/'Index Summary'!$C$7,"")),"")</f>
        <v/>
      </c>
      <c r="L63" s="34">
        <f>IFERROR(IF($K63="","",$J63-$K63),"")</f>
        <v/>
      </c>
      <c r="M63" s="35">
        <f>IF($C63="","",IF(NOT(ISNUMBER($G63)),"No dividend",IF($G63=0,"No dividend",IF(ISNUMBER($H63),"OK","Franking n/a"))))</f>
        <v/>
      </c>
    </row>
    <row r="64">
      <c r="A64" s="27" t="n"/>
      <c r="B64" s="27" t="n"/>
      <c r="C64" s="27">
        <f>IF($A64="","",$A64&amp;" Equity")</f>
        <v/>
      </c>
      <c r="D64" s="27">
        <f>IF($A64="","",BDP($C64,"NAME"))</f>
        <v/>
      </c>
      <c r="E64" s="28">
        <f>IF($A64="","",BDP($C64,"EQY_DVD_SH_12M"))</f>
        <v/>
      </c>
      <c r="F64" s="29">
        <f>IF($A64="","",BDP($C64,"EQY_DVD_YLD_12M"))</f>
        <v/>
      </c>
      <c r="G64" s="29">
        <f>IF($A64="","",BDP($C64,"EQY_DVD_YLD_IND"))</f>
        <v/>
      </c>
      <c r="H64" s="29">
        <f>IF($A64="","",BDP($C64,'Field Check'!$C$4))</f>
        <v/>
      </c>
      <c r="I64" s="30">
        <f>IFERROR(IF($B64="","",$B64/$B$3),"")</f>
        <v/>
      </c>
      <c r="J64" s="30">
        <f>IFERROR(IF($I64="","",$I64*IFERROR($G64,0)/100),"")</f>
        <v/>
      </c>
      <c r="K64" s="30">
        <f>IFERROR(IF($J64="","",IF(ISNUMBER($H64),$J64*$H64/'Index Summary'!$C$7,"")),"")</f>
        <v/>
      </c>
      <c r="L64" s="30">
        <f>IFERROR(IF($K64="","",$J64-$K64),"")</f>
        <v/>
      </c>
      <c r="M64" s="31">
        <f>IF($C64="","",IF(NOT(ISNUMBER($G64)),"No dividend",IF($G64=0,"No dividend",IF(ISNUMBER($H64),"OK","Franking n/a"))))</f>
        <v/>
      </c>
    </row>
    <row r="65">
      <c r="A65" s="16" t="n"/>
      <c r="B65" s="16" t="n"/>
      <c r="C65" s="16">
        <f>IF($A65="","",$A65&amp;" Equity")</f>
        <v/>
      </c>
      <c r="D65" s="16">
        <f>IF($A65="","",BDP($C65,"NAME"))</f>
        <v/>
      </c>
      <c r="E65" s="32">
        <f>IF($A65="","",BDP($C65,"EQY_DVD_SH_12M"))</f>
        <v/>
      </c>
      <c r="F65" s="33">
        <f>IF($A65="","",BDP($C65,"EQY_DVD_YLD_12M"))</f>
        <v/>
      </c>
      <c r="G65" s="33">
        <f>IF($A65="","",BDP($C65,"EQY_DVD_YLD_IND"))</f>
        <v/>
      </c>
      <c r="H65" s="33">
        <f>IF($A65="","",BDP($C65,'Field Check'!$C$4))</f>
        <v/>
      </c>
      <c r="I65" s="34">
        <f>IFERROR(IF($B65="","",$B65/$B$3),"")</f>
        <v/>
      </c>
      <c r="J65" s="34">
        <f>IFERROR(IF($I65="","",$I65*IFERROR($G65,0)/100),"")</f>
        <v/>
      </c>
      <c r="K65" s="34">
        <f>IFERROR(IF($J65="","",IF(ISNUMBER($H65),$J65*$H65/'Index Summary'!$C$7,"")),"")</f>
        <v/>
      </c>
      <c r="L65" s="34">
        <f>IFERROR(IF($K65="","",$J65-$K65),"")</f>
        <v/>
      </c>
      <c r="M65" s="35">
        <f>IF($C65="","",IF(NOT(ISNUMBER($G65)),"No dividend",IF($G65=0,"No dividend",IF(ISNUMBER($H65),"OK","Franking n/a"))))</f>
        <v/>
      </c>
    </row>
    <row r="66">
      <c r="A66" s="27" t="n"/>
      <c r="B66" s="27" t="n"/>
      <c r="C66" s="27">
        <f>IF($A66="","",$A66&amp;" Equity")</f>
        <v/>
      </c>
      <c r="D66" s="27">
        <f>IF($A66="","",BDP($C66,"NAME"))</f>
        <v/>
      </c>
      <c r="E66" s="28">
        <f>IF($A66="","",BDP($C66,"EQY_DVD_SH_12M"))</f>
        <v/>
      </c>
      <c r="F66" s="29">
        <f>IF($A66="","",BDP($C66,"EQY_DVD_YLD_12M"))</f>
        <v/>
      </c>
      <c r="G66" s="29">
        <f>IF($A66="","",BDP($C66,"EQY_DVD_YLD_IND"))</f>
        <v/>
      </c>
      <c r="H66" s="29">
        <f>IF($A66="","",BDP($C66,'Field Check'!$C$4))</f>
        <v/>
      </c>
      <c r="I66" s="30">
        <f>IFERROR(IF($B66="","",$B66/$B$3),"")</f>
        <v/>
      </c>
      <c r="J66" s="30">
        <f>IFERROR(IF($I66="","",$I66*IFERROR($G66,0)/100),"")</f>
        <v/>
      </c>
      <c r="K66" s="30">
        <f>IFERROR(IF($J66="","",IF(ISNUMBER($H66),$J66*$H66/'Index Summary'!$C$7,"")),"")</f>
        <v/>
      </c>
      <c r="L66" s="30">
        <f>IFERROR(IF($K66="","",$J66-$K66),"")</f>
        <v/>
      </c>
      <c r="M66" s="31">
        <f>IF($C66="","",IF(NOT(ISNUMBER($G66)),"No dividend",IF($G66=0,"No dividend",IF(ISNUMBER($H66),"OK","Franking n/a"))))</f>
        <v/>
      </c>
    </row>
    <row r="67">
      <c r="A67" s="16" t="n"/>
      <c r="B67" s="16" t="n"/>
      <c r="C67" s="16">
        <f>IF($A67="","",$A67&amp;" Equity")</f>
        <v/>
      </c>
      <c r="D67" s="16">
        <f>IF($A67="","",BDP($C67,"NAME"))</f>
        <v/>
      </c>
      <c r="E67" s="32">
        <f>IF($A67="","",BDP($C67,"EQY_DVD_SH_12M"))</f>
        <v/>
      </c>
      <c r="F67" s="33">
        <f>IF($A67="","",BDP($C67,"EQY_DVD_YLD_12M"))</f>
        <v/>
      </c>
      <c r="G67" s="33">
        <f>IF($A67="","",BDP($C67,"EQY_DVD_YLD_IND"))</f>
        <v/>
      </c>
      <c r="H67" s="33">
        <f>IF($A67="","",BDP($C67,'Field Check'!$C$4))</f>
        <v/>
      </c>
      <c r="I67" s="34">
        <f>IFERROR(IF($B67="","",$B67/$B$3),"")</f>
        <v/>
      </c>
      <c r="J67" s="34">
        <f>IFERROR(IF($I67="","",$I67*IFERROR($G67,0)/100),"")</f>
        <v/>
      </c>
      <c r="K67" s="34">
        <f>IFERROR(IF($J67="","",IF(ISNUMBER($H67),$J67*$H67/'Index Summary'!$C$7,"")),"")</f>
        <v/>
      </c>
      <c r="L67" s="34">
        <f>IFERROR(IF($K67="","",$J67-$K67),"")</f>
        <v/>
      </c>
      <c r="M67" s="35">
        <f>IF($C67="","",IF(NOT(ISNUMBER($G67)),"No dividend",IF($G67=0,"No dividend",IF(ISNUMBER($H67),"OK","Franking n/a"))))</f>
        <v/>
      </c>
    </row>
    <row r="68">
      <c r="A68" s="27" t="n"/>
      <c r="B68" s="27" t="n"/>
      <c r="C68" s="27">
        <f>IF($A68="","",$A68&amp;" Equity")</f>
        <v/>
      </c>
      <c r="D68" s="27">
        <f>IF($A68="","",BDP($C68,"NAME"))</f>
        <v/>
      </c>
      <c r="E68" s="28">
        <f>IF($A68="","",BDP($C68,"EQY_DVD_SH_12M"))</f>
        <v/>
      </c>
      <c r="F68" s="29">
        <f>IF($A68="","",BDP($C68,"EQY_DVD_YLD_12M"))</f>
        <v/>
      </c>
      <c r="G68" s="29">
        <f>IF($A68="","",BDP($C68,"EQY_DVD_YLD_IND"))</f>
        <v/>
      </c>
      <c r="H68" s="29">
        <f>IF($A68="","",BDP($C68,'Field Check'!$C$4))</f>
        <v/>
      </c>
      <c r="I68" s="30">
        <f>IFERROR(IF($B68="","",$B68/$B$3),"")</f>
        <v/>
      </c>
      <c r="J68" s="30">
        <f>IFERROR(IF($I68="","",$I68*IFERROR($G68,0)/100),"")</f>
        <v/>
      </c>
      <c r="K68" s="30">
        <f>IFERROR(IF($J68="","",IF(ISNUMBER($H68),$J68*$H68/'Index Summary'!$C$7,"")),"")</f>
        <v/>
      </c>
      <c r="L68" s="30">
        <f>IFERROR(IF($K68="","",$J68-$K68),"")</f>
        <v/>
      </c>
      <c r="M68" s="31">
        <f>IF($C68="","",IF(NOT(ISNUMBER($G68)),"No dividend",IF($G68=0,"No dividend",IF(ISNUMBER($H68),"OK","Franking n/a"))))</f>
        <v/>
      </c>
    </row>
    <row r="69">
      <c r="A69" s="16" t="n"/>
      <c r="B69" s="16" t="n"/>
      <c r="C69" s="16">
        <f>IF($A69="","",$A69&amp;" Equity")</f>
        <v/>
      </c>
      <c r="D69" s="16">
        <f>IF($A69="","",BDP($C69,"NAME"))</f>
        <v/>
      </c>
      <c r="E69" s="32">
        <f>IF($A69="","",BDP($C69,"EQY_DVD_SH_12M"))</f>
        <v/>
      </c>
      <c r="F69" s="33">
        <f>IF($A69="","",BDP($C69,"EQY_DVD_YLD_12M"))</f>
        <v/>
      </c>
      <c r="G69" s="33">
        <f>IF($A69="","",BDP($C69,"EQY_DVD_YLD_IND"))</f>
        <v/>
      </c>
      <c r="H69" s="33">
        <f>IF($A69="","",BDP($C69,'Field Check'!$C$4))</f>
        <v/>
      </c>
      <c r="I69" s="34">
        <f>IFERROR(IF($B69="","",$B69/$B$3),"")</f>
        <v/>
      </c>
      <c r="J69" s="34">
        <f>IFERROR(IF($I69="","",$I69*IFERROR($G69,0)/100),"")</f>
        <v/>
      </c>
      <c r="K69" s="34">
        <f>IFERROR(IF($J69="","",IF(ISNUMBER($H69),$J69*$H69/'Index Summary'!$C$7,"")),"")</f>
        <v/>
      </c>
      <c r="L69" s="34">
        <f>IFERROR(IF($K69="","",$J69-$K69),"")</f>
        <v/>
      </c>
      <c r="M69" s="35">
        <f>IF($C69="","",IF(NOT(ISNUMBER($G69)),"No dividend",IF($G69=0,"No dividend",IF(ISNUMBER($H69),"OK","Franking n/a"))))</f>
        <v/>
      </c>
    </row>
    <row r="70">
      <c r="A70" s="27" t="n"/>
      <c r="B70" s="27" t="n"/>
      <c r="C70" s="27">
        <f>IF($A70="","",$A70&amp;" Equity")</f>
        <v/>
      </c>
      <c r="D70" s="27">
        <f>IF($A70="","",BDP($C70,"NAME"))</f>
        <v/>
      </c>
      <c r="E70" s="28">
        <f>IF($A70="","",BDP($C70,"EQY_DVD_SH_12M"))</f>
        <v/>
      </c>
      <c r="F70" s="29">
        <f>IF($A70="","",BDP($C70,"EQY_DVD_YLD_12M"))</f>
        <v/>
      </c>
      <c r="G70" s="29">
        <f>IF($A70="","",BDP($C70,"EQY_DVD_YLD_IND"))</f>
        <v/>
      </c>
      <c r="H70" s="29">
        <f>IF($A70="","",BDP($C70,'Field Check'!$C$4))</f>
        <v/>
      </c>
      <c r="I70" s="30">
        <f>IFERROR(IF($B70="","",$B70/$B$3),"")</f>
        <v/>
      </c>
      <c r="J70" s="30">
        <f>IFERROR(IF($I70="","",$I70*IFERROR($G70,0)/100),"")</f>
        <v/>
      </c>
      <c r="K70" s="30">
        <f>IFERROR(IF($J70="","",IF(ISNUMBER($H70),$J70*$H70/'Index Summary'!$C$7,"")),"")</f>
        <v/>
      </c>
      <c r="L70" s="30">
        <f>IFERROR(IF($K70="","",$J70-$K70),"")</f>
        <v/>
      </c>
      <c r="M70" s="31">
        <f>IF($C70="","",IF(NOT(ISNUMBER($G70)),"No dividend",IF($G70=0,"No dividend",IF(ISNUMBER($H70),"OK","Franking n/a"))))</f>
        <v/>
      </c>
    </row>
    <row r="71">
      <c r="A71" s="16" t="n"/>
      <c r="B71" s="16" t="n"/>
      <c r="C71" s="16">
        <f>IF($A71="","",$A71&amp;" Equity")</f>
        <v/>
      </c>
      <c r="D71" s="16">
        <f>IF($A71="","",BDP($C71,"NAME"))</f>
        <v/>
      </c>
      <c r="E71" s="32">
        <f>IF($A71="","",BDP($C71,"EQY_DVD_SH_12M"))</f>
        <v/>
      </c>
      <c r="F71" s="33">
        <f>IF($A71="","",BDP($C71,"EQY_DVD_YLD_12M"))</f>
        <v/>
      </c>
      <c r="G71" s="33">
        <f>IF($A71="","",BDP($C71,"EQY_DVD_YLD_IND"))</f>
        <v/>
      </c>
      <c r="H71" s="33">
        <f>IF($A71="","",BDP($C71,'Field Check'!$C$4))</f>
        <v/>
      </c>
      <c r="I71" s="34">
        <f>IFERROR(IF($B71="","",$B71/$B$3),"")</f>
        <v/>
      </c>
      <c r="J71" s="34">
        <f>IFERROR(IF($I71="","",$I71*IFERROR($G71,0)/100),"")</f>
        <v/>
      </c>
      <c r="K71" s="34">
        <f>IFERROR(IF($J71="","",IF(ISNUMBER($H71),$J71*$H71/'Index Summary'!$C$7,"")),"")</f>
        <v/>
      </c>
      <c r="L71" s="34">
        <f>IFERROR(IF($K71="","",$J71-$K71),"")</f>
        <v/>
      </c>
      <c r="M71" s="35">
        <f>IF($C71="","",IF(NOT(ISNUMBER($G71)),"No dividend",IF($G71=0,"No dividend",IF(ISNUMBER($H71),"OK","Franking n/a"))))</f>
        <v/>
      </c>
    </row>
    <row r="72">
      <c r="A72" s="27" t="n"/>
      <c r="B72" s="27" t="n"/>
      <c r="C72" s="27">
        <f>IF($A72="","",$A72&amp;" Equity")</f>
        <v/>
      </c>
      <c r="D72" s="27">
        <f>IF($A72="","",BDP($C72,"NAME"))</f>
        <v/>
      </c>
      <c r="E72" s="28">
        <f>IF($A72="","",BDP($C72,"EQY_DVD_SH_12M"))</f>
        <v/>
      </c>
      <c r="F72" s="29">
        <f>IF($A72="","",BDP($C72,"EQY_DVD_YLD_12M"))</f>
        <v/>
      </c>
      <c r="G72" s="29">
        <f>IF($A72="","",BDP($C72,"EQY_DVD_YLD_IND"))</f>
        <v/>
      </c>
      <c r="H72" s="29">
        <f>IF($A72="","",BDP($C72,'Field Check'!$C$4))</f>
        <v/>
      </c>
      <c r="I72" s="30">
        <f>IFERROR(IF($B72="","",$B72/$B$3),"")</f>
        <v/>
      </c>
      <c r="J72" s="30">
        <f>IFERROR(IF($I72="","",$I72*IFERROR($G72,0)/100),"")</f>
        <v/>
      </c>
      <c r="K72" s="30">
        <f>IFERROR(IF($J72="","",IF(ISNUMBER($H72),$J72*$H72/'Index Summary'!$C$7,"")),"")</f>
        <v/>
      </c>
      <c r="L72" s="30">
        <f>IFERROR(IF($K72="","",$J72-$K72),"")</f>
        <v/>
      </c>
      <c r="M72" s="31">
        <f>IF($C72="","",IF(NOT(ISNUMBER($G72)),"No dividend",IF($G72=0,"No dividend",IF(ISNUMBER($H72),"OK","Franking n/a"))))</f>
        <v/>
      </c>
    </row>
    <row r="73">
      <c r="A73" s="16" t="n"/>
      <c r="B73" s="16" t="n"/>
      <c r="C73" s="16">
        <f>IF($A73="","",$A73&amp;" Equity")</f>
        <v/>
      </c>
      <c r="D73" s="16">
        <f>IF($A73="","",BDP($C73,"NAME"))</f>
        <v/>
      </c>
      <c r="E73" s="32">
        <f>IF($A73="","",BDP($C73,"EQY_DVD_SH_12M"))</f>
        <v/>
      </c>
      <c r="F73" s="33">
        <f>IF($A73="","",BDP($C73,"EQY_DVD_YLD_12M"))</f>
        <v/>
      </c>
      <c r="G73" s="33">
        <f>IF($A73="","",BDP($C73,"EQY_DVD_YLD_IND"))</f>
        <v/>
      </c>
      <c r="H73" s="33">
        <f>IF($A73="","",BDP($C73,'Field Check'!$C$4))</f>
        <v/>
      </c>
      <c r="I73" s="34">
        <f>IFERROR(IF($B73="","",$B73/$B$3),"")</f>
        <v/>
      </c>
      <c r="J73" s="34">
        <f>IFERROR(IF($I73="","",$I73*IFERROR($G73,0)/100),"")</f>
        <v/>
      </c>
      <c r="K73" s="34">
        <f>IFERROR(IF($J73="","",IF(ISNUMBER($H73),$J73*$H73/'Index Summary'!$C$7,"")),"")</f>
        <v/>
      </c>
      <c r="L73" s="34">
        <f>IFERROR(IF($K73="","",$J73-$K73),"")</f>
        <v/>
      </c>
      <c r="M73" s="35">
        <f>IF($C73="","",IF(NOT(ISNUMBER($G73)),"No dividend",IF($G73=0,"No dividend",IF(ISNUMBER($H73),"OK","Franking n/a"))))</f>
        <v/>
      </c>
    </row>
    <row r="74">
      <c r="A74" s="27" t="n"/>
      <c r="B74" s="27" t="n"/>
      <c r="C74" s="27">
        <f>IF($A74="","",$A74&amp;" Equity")</f>
        <v/>
      </c>
      <c r="D74" s="27">
        <f>IF($A74="","",BDP($C74,"NAME"))</f>
        <v/>
      </c>
      <c r="E74" s="28">
        <f>IF($A74="","",BDP($C74,"EQY_DVD_SH_12M"))</f>
        <v/>
      </c>
      <c r="F74" s="29">
        <f>IF($A74="","",BDP($C74,"EQY_DVD_YLD_12M"))</f>
        <v/>
      </c>
      <c r="G74" s="29">
        <f>IF($A74="","",BDP($C74,"EQY_DVD_YLD_IND"))</f>
        <v/>
      </c>
      <c r="H74" s="29">
        <f>IF($A74="","",BDP($C74,'Field Check'!$C$4))</f>
        <v/>
      </c>
      <c r="I74" s="30">
        <f>IFERROR(IF($B74="","",$B74/$B$3),"")</f>
        <v/>
      </c>
      <c r="J74" s="30">
        <f>IFERROR(IF($I74="","",$I74*IFERROR($G74,0)/100),"")</f>
        <v/>
      </c>
      <c r="K74" s="30">
        <f>IFERROR(IF($J74="","",IF(ISNUMBER($H74),$J74*$H74/'Index Summary'!$C$7,"")),"")</f>
        <v/>
      </c>
      <c r="L74" s="30">
        <f>IFERROR(IF($K74="","",$J74-$K74),"")</f>
        <v/>
      </c>
      <c r="M74" s="31">
        <f>IF($C74="","",IF(NOT(ISNUMBER($G74)),"No dividend",IF($G74=0,"No dividend",IF(ISNUMBER($H74),"OK","Franking n/a"))))</f>
        <v/>
      </c>
    </row>
    <row r="75">
      <c r="A75" s="16" t="n"/>
      <c r="B75" s="16" t="n"/>
      <c r="C75" s="16">
        <f>IF($A75="","",$A75&amp;" Equity")</f>
        <v/>
      </c>
      <c r="D75" s="16">
        <f>IF($A75="","",BDP($C75,"NAME"))</f>
        <v/>
      </c>
      <c r="E75" s="32">
        <f>IF($A75="","",BDP($C75,"EQY_DVD_SH_12M"))</f>
        <v/>
      </c>
      <c r="F75" s="33">
        <f>IF($A75="","",BDP($C75,"EQY_DVD_YLD_12M"))</f>
        <v/>
      </c>
      <c r="G75" s="33">
        <f>IF($A75="","",BDP($C75,"EQY_DVD_YLD_IND"))</f>
        <v/>
      </c>
      <c r="H75" s="33">
        <f>IF($A75="","",BDP($C75,'Field Check'!$C$4))</f>
        <v/>
      </c>
      <c r="I75" s="34">
        <f>IFERROR(IF($B75="","",$B75/$B$3),"")</f>
        <v/>
      </c>
      <c r="J75" s="34">
        <f>IFERROR(IF($I75="","",$I75*IFERROR($G75,0)/100),"")</f>
        <v/>
      </c>
      <c r="K75" s="34">
        <f>IFERROR(IF($J75="","",IF(ISNUMBER($H75),$J75*$H75/'Index Summary'!$C$7,"")),"")</f>
        <v/>
      </c>
      <c r="L75" s="34">
        <f>IFERROR(IF($K75="","",$J75-$K75),"")</f>
        <v/>
      </c>
      <c r="M75" s="35">
        <f>IF($C75="","",IF(NOT(ISNUMBER($G75)),"No dividend",IF($G75=0,"No dividend",IF(ISNUMBER($H75),"OK","Franking n/a"))))</f>
        <v/>
      </c>
    </row>
    <row r="76">
      <c r="A76" s="27" t="n"/>
      <c r="B76" s="27" t="n"/>
      <c r="C76" s="27">
        <f>IF($A76="","",$A76&amp;" Equity")</f>
        <v/>
      </c>
      <c r="D76" s="27">
        <f>IF($A76="","",BDP($C76,"NAME"))</f>
        <v/>
      </c>
      <c r="E76" s="28">
        <f>IF($A76="","",BDP($C76,"EQY_DVD_SH_12M"))</f>
        <v/>
      </c>
      <c r="F76" s="29">
        <f>IF($A76="","",BDP($C76,"EQY_DVD_YLD_12M"))</f>
        <v/>
      </c>
      <c r="G76" s="29">
        <f>IF($A76="","",BDP($C76,"EQY_DVD_YLD_IND"))</f>
        <v/>
      </c>
      <c r="H76" s="29">
        <f>IF($A76="","",BDP($C76,'Field Check'!$C$4))</f>
        <v/>
      </c>
      <c r="I76" s="30">
        <f>IFERROR(IF($B76="","",$B76/$B$3),"")</f>
        <v/>
      </c>
      <c r="J76" s="30">
        <f>IFERROR(IF($I76="","",$I76*IFERROR($G76,0)/100),"")</f>
        <v/>
      </c>
      <c r="K76" s="30">
        <f>IFERROR(IF($J76="","",IF(ISNUMBER($H76),$J76*$H76/'Index Summary'!$C$7,"")),"")</f>
        <v/>
      </c>
      <c r="L76" s="30">
        <f>IFERROR(IF($K76="","",$J76-$K76),"")</f>
        <v/>
      </c>
      <c r="M76" s="31">
        <f>IF($C76="","",IF(NOT(ISNUMBER($G76)),"No dividend",IF($G76=0,"No dividend",IF(ISNUMBER($H76),"OK","Franking n/a"))))</f>
        <v/>
      </c>
    </row>
    <row r="77">
      <c r="A77" s="16" t="n"/>
      <c r="B77" s="16" t="n"/>
      <c r="C77" s="16">
        <f>IF($A77="","",$A77&amp;" Equity")</f>
        <v/>
      </c>
      <c r="D77" s="16">
        <f>IF($A77="","",BDP($C77,"NAME"))</f>
        <v/>
      </c>
      <c r="E77" s="32">
        <f>IF($A77="","",BDP($C77,"EQY_DVD_SH_12M"))</f>
        <v/>
      </c>
      <c r="F77" s="33">
        <f>IF($A77="","",BDP($C77,"EQY_DVD_YLD_12M"))</f>
        <v/>
      </c>
      <c r="G77" s="33">
        <f>IF($A77="","",BDP($C77,"EQY_DVD_YLD_IND"))</f>
        <v/>
      </c>
      <c r="H77" s="33">
        <f>IF($A77="","",BDP($C77,'Field Check'!$C$4))</f>
        <v/>
      </c>
      <c r="I77" s="34">
        <f>IFERROR(IF($B77="","",$B77/$B$3),"")</f>
        <v/>
      </c>
      <c r="J77" s="34">
        <f>IFERROR(IF($I77="","",$I77*IFERROR($G77,0)/100),"")</f>
        <v/>
      </c>
      <c r="K77" s="34">
        <f>IFERROR(IF($J77="","",IF(ISNUMBER($H77),$J77*$H77/'Index Summary'!$C$7,"")),"")</f>
        <v/>
      </c>
      <c r="L77" s="34">
        <f>IFERROR(IF($K77="","",$J77-$K77),"")</f>
        <v/>
      </c>
      <c r="M77" s="35">
        <f>IF($C77="","",IF(NOT(ISNUMBER($G77)),"No dividend",IF($G77=0,"No dividend",IF(ISNUMBER($H77),"OK","Franking n/a"))))</f>
        <v/>
      </c>
    </row>
    <row r="78">
      <c r="A78" s="27" t="n"/>
      <c r="B78" s="27" t="n"/>
      <c r="C78" s="27">
        <f>IF($A78="","",$A78&amp;" Equity")</f>
        <v/>
      </c>
      <c r="D78" s="27">
        <f>IF($A78="","",BDP($C78,"NAME"))</f>
        <v/>
      </c>
      <c r="E78" s="28">
        <f>IF($A78="","",BDP($C78,"EQY_DVD_SH_12M"))</f>
        <v/>
      </c>
      <c r="F78" s="29">
        <f>IF($A78="","",BDP($C78,"EQY_DVD_YLD_12M"))</f>
        <v/>
      </c>
      <c r="G78" s="29">
        <f>IF($A78="","",BDP($C78,"EQY_DVD_YLD_IND"))</f>
        <v/>
      </c>
      <c r="H78" s="29">
        <f>IF($A78="","",BDP($C78,'Field Check'!$C$4))</f>
        <v/>
      </c>
      <c r="I78" s="30">
        <f>IFERROR(IF($B78="","",$B78/$B$3),"")</f>
        <v/>
      </c>
      <c r="J78" s="30">
        <f>IFERROR(IF($I78="","",$I78*IFERROR($G78,0)/100),"")</f>
        <v/>
      </c>
      <c r="K78" s="30">
        <f>IFERROR(IF($J78="","",IF(ISNUMBER($H78),$J78*$H78/'Index Summary'!$C$7,"")),"")</f>
        <v/>
      </c>
      <c r="L78" s="30">
        <f>IFERROR(IF($K78="","",$J78-$K78),"")</f>
        <v/>
      </c>
      <c r="M78" s="31">
        <f>IF($C78="","",IF(NOT(ISNUMBER($G78)),"No dividend",IF($G78=0,"No dividend",IF(ISNUMBER($H78),"OK","Franking n/a"))))</f>
        <v/>
      </c>
    </row>
    <row r="79">
      <c r="A79" s="16" t="n"/>
      <c r="B79" s="16" t="n"/>
      <c r="C79" s="16">
        <f>IF($A79="","",$A79&amp;" Equity")</f>
        <v/>
      </c>
      <c r="D79" s="16">
        <f>IF($A79="","",BDP($C79,"NAME"))</f>
        <v/>
      </c>
      <c r="E79" s="32">
        <f>IF($A79="","",BDP($C79,"EQY_DVD_SH_12M"))</f>
        <v/>
      </c>
      <c r="F79" s="33">
        <f>IF($A79="","",BDP($C79,"EQY_DVD_YLD_12M"))</f>
        <v/>
      </c>
      <c r="G79" s="33">
        <f>IF($A79="","",BDP($C79,"EQY_DVD_YLD_IND"))</f>
        <v/>
      </c>
      <c r="H79" s="33">
        <f>IF($A79="","",BDP($C79,'Field Check'!$C$4))</f>
        <v/>
      </c>
      <c r="I79" s="34">
        <f>IFERROR(IF($B79="","",$B79/$B$3),"")</f>
        <v/>
      </c>
      <c r="J79" s="34">
        <f>IFERROR(IF($I79="","",$I79*IFERROR($G79,0)/100),"")</f>
        <v/>
      </c>
      <c r="K79" s="34">
        <f>IFERROR(IF($J79="","",IF(ISNUMBER($H79),$J79*$H79/'Index Summary'!$C$7,"")),"")</f>
        <v/>
      </c>
      <c r="L79" s="34">
        <f>IFERROR(IF($K79="","",$J79-$K79),"")</f>
        <v/>
      </c>
      <c r="M79" s="35">
        <f>IF($C79="","",IF(NOT(ISNUMBER($G79)),"No dividend",IF($G79=0,"No dividend",IF(ISNUMBER($H79),"OK","Franking n/a"))))</f>
        <v/>
      </c>
    </row>
    <row r="80">
      <c r="A80" s="27" t="n"/>
      <c r="B80" s="27" t="n"/>
      <c r="C80" s="27">
        <f>IF($A80="","",$A80&amp;" Equity")</f>
        <v/>
      </c>
      <c r="D80" s="27">
        <f>IF($A80="","",BDP($C80,"NAME"))</f>
        <v/>
      </c>
      <c r="E80" s="28">
        <f>IF($A80="","",BDP($C80,"EQY_DVD_SH_12M"))</f>
        <v/>
      </c>
      <c r="F80" s="29">
        <f>IF($A80="","",BDP($C80,"EQY_DVD_YLD_12M"))</f>
        <v/>
      </c>
      <c r="G80" s="29">
        <f>IF($A80="","",BDP($C80,"EQY_DVD_YLD_IND"))</f>
        <v/>
      </c>
      <c r="H80" s="29">
        <f>IF($A80="","",BDP($C80,'Field Check'!$C$4))</f>
        <v/>
      </c>
      <c r="I80" s="30">
        <f>IFERROR(IF($B80="","",$B80/$B$3),"")</f>
        <v/>
      </c>
      <c r="J80" s="30">
        <f>IFERROR(IF($I80="","",$I80*IFERROR($G80,0)/100),"")</f>
        <v/>
      </c>
      <c r="K80" s="30">
        <f>IFERROR(IF($J80="","",IF(ISNUMBER($H80),$J80*$H80/'Index Summary'!$C$7,"")),"")</f>
        <v/>
      </c>
      <c r="L80" s="30">
        <f>IFERROR(IF($K80="","",$J80-$K80),"")</f>
        <v/>
      </c>
      <c r="M80" s="31">
        <f>IF($C80="","",IF(NOT(ISNUMBER($G80)),"No dividend",IF($G80=0,"No dividend",IF(ISNUMBER($H80),"OK","Franking n/a"))))</f>
        <v/>
      </c>
    </row>
    <row r="81">
      <c r="A81" s="16" t="n"/>
      <c r="B81" s="16" t="n"/>
      <c r="C81" s="16">
        <f>IF($A81="","",$A81&amp;" Equity")</f>
        <v/>
      </c>
      <c r="D81" s="16">
        <f>IF($A81="","",BDP($C81,"NAME"))</f>
        <v/>
      </c>
      <c r="E81" s="32">
        <f>IF($A81="","",BDP($C81,"EQY_DVD_SH_12M"))</f>
        <v/>
      </c>
      <c r="F81" s="33">
        <f>IF($A81="","",BDP($C81,"EQY_DVD_YLD_12M"))</f>
        <v/>
      </c>
      <c r="G81" s="33">
        <f>IF($A81="","",BDP($C81,"EQY_DVD_YLD_IND"))</f>
        <v/>
      </c>
      <c r="H81" s="33">
        <f>IF($A81="","",BDP($C81,'Field Check'!$C$4))</f>
        <v/>
      </c>
      <c r="I81" s="34">
        <f>IFERROR(IF($B81="","",$B81/$B$3),"")</f>
        <v/>
      </c>
      <c r="J81" s="34">
        <f>IFERROR(IF($I81="","",$I81*IFERROR($G81,0)/100),"")</f>
        <v/>
      </c>
      <c r="K81" s="34">
        <f>IFERROR(IF($J81="","",IF(ISNUMBER($H81),$J81*$H81/'Index Summary'!$C$7,"")),"")</f>
        <v/>
      </c>
      <c r="L81" s="34">
        <f>IFERROR(IF($K81="","",$J81-$K81),"")</f>
        <v/>
      </c>
      <c r="M81" s="35">
        <f>IF($C81="","",IF(NOT(ISNUMBER($G81)),"No dividend",IF($G81=0,"No dividend",IF(ISNUMBER($H81),"OK","Franking n/a"))))</f>
        <v/>
      </c>
    </row>
    <row r="82">
      <c r="A82" s="27" t="n"/>
      <c r="B82" s="27" t="n"/>
      <c r="C82" s="27">
        <f>IF($A82="","",$A82&amp;" Equity")</f>
        <v/>
      </c>
      <c r="D82" s="27">
        <f>IF($A82="","",BDP($C82,"NAME"))</f>
        <v/>
      </c>
      <c r="E82" s="28">
        <f>IF($A82="","",BDP($C82,"EQY_DVD_SH_12M"))</f>
        <v/>
      </c>
      <c r="F82" s="29">
        <f>IF($A82="","",BDP($C82,"EQY_DVD_YLD_12M"))</f>
        <v/>
      </c>
      <c r="G82" s="29">
        <f>IF($A82="","",BDP($C82,"EQY_DVD_YLD_IND"))</f>
        <v/>
      </c>
      <c r="H82" s="29">
        <f>IF($A82="","",BDP($C82,'Field Check'!$C$4))</f>
        <v/>
      </c>
      <c r="I82" s="30">
        <f>IFERROR(IF($B82="","",$B82/$B$3),"")</f>
        <v/>
      </c>
      <c r="J82" s="30">
        <f>IFERROR(IF($I82="","",$I82*IFERROR($G82,0)/100),"")</f>
        <v/>
      </c>
      <c r="K82" s="30">
        <f>IFERROR(IF($J82="","",IF(ISNUMBER($H82),$J82*$H82/'Index Summary'!$C$7,"")),"")</f>
        <v/>
      </c>
      <c r="L82" s="30">
        <f>IFERROR(IF($K82="","",$J82-$K82),"")</f>
        <v/>
      </c>
      <c r="M82" s="31">
        <f>IF($C82="","",IF(NOT(ISNUMBER($G82)),"No dividend",IF($G82=0,"No dividend",IF(ISNUMBER($H82),"OK","Franking n/a"))))</f>
        <v/>
      </c>
    </row>
    <row r="83">
      <c r="A83" s="16" t="n"/>
      <c r="B83" s="16" t="n"/>
      <c r="C83" s="16">
        <f>IF($A83="","",$A83&amp;" Equity")</f>
        <v/>
      </c>
      <c r="D83" s="16">
        <f>IF($A83="","",BDP($C83,"NAME"))</f>
        <v/>
      </c>
      <c r="E83" s="32">
        <f>IF($A83="","",BDP($C83,"EQY_DVD_SH_12M"))</f>
        <v/>
      </c>
      <c r="F83" s="33">
        <f>IF($A83="","",BDP($C83,"EQY_DVD_YLD_12M"))</f>
        <v/>
      </c>
      <c r="G83" s="33">
        <f>IF($A83="","",BDP($C83,"EQY_DVD_YLD_IND"))</f>
        <v/>
      </c>
      <c r="H83" s="33">
        <f>IF($A83="","",BDP($C83,'Field Check'!$C$4))</f>
        <v/>
      </c>
      <c r="I83" s="34">
        <f>IFERROR(IF($B83="","",$B83/$B$3),"")</f>
        <v/>
      </c>
      <c r="J83" s="34">
        <f>IFERROR(IF($I83="","",$I83*IFERROR($G83,0)/100),"")</f>
        <v/>
      </c>
      <c r="K83" s="34">
        <f>IFERROR(IF($J83="","",IF(ISNUMBER($H83),$J83*$H83/'Index Summary'!$C$7,"")),"")</f>
        <v/>
      </c>
      <c r="L83" s="34">
        <f>IFERROR(IF($K83="","",$J83-$K83),"")</f>
        <v/>
      </c>
      <c r="M83" s="35">
        <f>IF($C83="","",IF(NOT(ISNUMBER($G83)),"No dividend",IF($G83=0,"No dividend",IF(ISNUMBER($H83),"OK","Franking n/a"))))</f>
        <v/>
      </c>
    </row>
    <row r="84">
      <c r="A84" s="27" t="n"/>
      <c r="B84" s="27" t="n"/>
      <c r="C84" s="27">
        <f>IF($A84="","",$A84&amp;" Equity")</f>
        <v/>
      </c>
      <c r="D84" s="27">
        <f>IF($A84="","",BDP($C84,"NAME"))</f>
        <v/>
      </c>
      <c r="E84" s="28">
        <f>IF($A84="","",BDP($C84,"EQY_DVD_SH_12M"))</f>
        <v/>
      </c>
      <c r="F84" s="29">
        <f>IF($A84="","",BDP($C84,"EQY_DVD_YLD_12M"))</f>
        <v/>
      </c>
      <c r="G84" s="29">
        <f>IF($A84="","",BDP($C84,"EQY_DVD_YLD_IND"))</f>
        <v/>
      </c>
      <c r="H84" s="29">
        <f>IF($A84="","",BDP($C84,'Field Check'!$C$4))</f>
        <v/>
      </c>
      <c r="I84" s="30">
        <f>IFERROR(IF($B84="","",$B84/$B$3),"")</f>
        <v/>
      </c>
      <c r="J84" s="30">
        <f>IFERROR(IF($I84="","",$I84*IFERROR($G84,0)/100),"")</f>
        <v/>
      </c>
      <c r="K84" s="30">
        <f>IFERROR(IF($J84="","",IF(ISNUMBER($H84),$J84*$H84/'Index Summary'!$C$7,"")),"")</f>
        <v/>
      </c>
      <c r="L84" s="30">
        <f>IFERROR(IF($K84="","",$J84-$K84),"")</f>
        <v/>
      </c>
      <c r="M84" s="31">
        <f>IF($C84="","",IF(NOT(ISNUMBER($G84)),"No dividend",IF($G84=0,"No dividend",IF(ISNUMBER($H84),"OK","Franking n/a"))))</f>
        <v/>
      </c>
    </row>
    <row r="85">
      <c r="A85" s="16" t="n"/>
      <c r="B85" s="16" t="n"/>
      <c r="C85" s="16">
        <f>IF($A85="","",$A85&amp;" Equity")</f>
        <v/>
      </c>
      <c r="D85" s="16">
        <f>IF($A85="","",BDP($C85,"NAME"))</f>
        <v/>
      </c>
      <c r="E85" s="32">
        <f>IF($A85="","",BDP($C85,"EQY_DVD_SH_12M"))</f>
        <v/>
      </c>
      <c r="F85" s="33">
        <f>IF($A85="","",BDP($C85,"EQY_DVD_YLD_12M"))</f>
        <v/>
      </c>
      <c r="G85" s="33">
        <f>IF($A85="","",BDP($C85,"EQY_DVD_YLD_IND"))</f>
        <v/>
      </c>
      <c r="H85" s="33">
        <f>IF($A85="","",BDP($C85,'Field Check'!$C$4))</f>
        <v/>
      </c>
      <c r="I85" s="34">
        <f>IFERROR(IF($B85="","",$B85/$B$3),"")</f>
        <v/>
      </c>
      <c r="J85" s="34">
        <f>IFERROR(IF($I85="","",$I85*IFERROR($G85,0)/100),"")</f>
        <v/>
      </c>
      <c r="K85" s="34">
        <f>IFERROR(IF($J85="","",IF(ISNUMBER($H85),$J85*$H85/'Index Summary'!$C$7,"")),"")</f>
        <v/>
      </c>
      <c r="L85" s="34">
        <f>IFERROR(IF($K85="","",$J85-$K85),"")</f>
        <v/>
      </c>
      <c r="M85" s="35">
        <f>IF($C85="","",IF(NOT(ISNUMBER($G85)),"No dividend",IF($G85=0,"No dividend",IF(ISNUMBER($H85),"OK","Franking n/a"))))</f>
        <v/>
      </c>
    </row>
    <row r="86">
      <c r="A86" s="27" t="n"/>
      <c r="B86" s="27" t="n"/>
      <c r="C86" s="27">
        <f>IF($A86="","",$A86&amp;" Equity")</f>
        <v/>
      </c>
      <c r="D86" s="27">
        <f>IF($A86="","",BDP($C86,"NAME"))</f>
        <v/>
      </c>
      <c r="E86" s="28">
        <f>IF($A86="","",BDP($C86,"EQY_DVD_SH_12M"))</f>
        <v/>
      </c>
      <c r="F86" s="29">
        <f>IF($A86="","",BDP($C86,"EQY_DVD_YLD_12M"))</f>
        <v/>
      </c>
      <c r="G86" s="29">
        <f>IF($A86="","",BDP($C86,"EQY_DVD_YLD_IND"))</f>
        <v/>
      </c>
      <c r="H86" s="29">
        <f>IF($A86="","",BDP($C86,'Field Check'!$C$4))</f>
        <v/>
      </c>
      <c r="I86" s="30">
        <f>IFERROR(IF($B86="","",$B86/$B$3),"")</f>
        <v/>
      </c>
      <c r="J86" s="30">
        <f>IFERROR(IF($I86="","",$I86*IFERROR($G86,0)/100),"")</f>
        <v/>
      </c>
      <c r="K86" s="30">
        <f>IFERROR(IF($J86="","",IF(ISNUMBER($H86),$J86*$H86/'Index Summary'!$C$7,"")),"")</f>
        <v/>
      </c>
      <c r="L86" s="30">
        <f>IFERROR(IF($K86="","",$J86-$K86),"")</f>
        <v/>
      </c>
      <c r="M86" s="31">
        <f>IF($C86="","",IF(NOT(ISNUMBER($G86)),"No dividend",IF($G86=0,"No dividend",IF(ISNUMBER($H86),"OK","Franking n/a"))))</f>
        <v/>
      </c>
    </row>
    <row r="87">
      <c r="A87" s="16" t="n"/>
      <c r="B87" s="16" t="n"/>
      <c r="C87" s="16">
        <f>IF($A87="","",$A87&amp;" Equity")</f>
        <v/>
      </c>
      <c r="D87" s="16">
        <f>IF($A87="","",BDP($C87,"NAME"))</f>
        <v/>
      </c>
      <c r="E87" s="32">
        <f>IF($A87="","",BDP($C87,"EQY_DVD_SH_12M"))</f>
        <v/>
      </c>
      <c r="F87" s="33">
        <f>IF($A87="","",BDP($C87,"EQY_DVD_YLD_12M"))</f>
        <v/>
      </c>
      <c r="G87" s="33">
        <f>IF($A87="","",BDP($C87,"EQY_DVD_YLD_IND"))</f>
        <v/>
      </c>
      <c r="H87" s="33">
        <f>IF($A87="","",BDP($C87,'Field Check'!$C$4))</f>
        <v/>
      </c>
      <c r="I87" s="34">
        <f>IFERROR(IF($B87="","",$B87/$B$3),"")</f>
        <v/>
      </c>
      <c r="J87" s="34">
        <f>IFERROR(IF($I87="","",$I87*IFERROR($G87,0)/100),"")</f>
        <v/>
      </c>
      <c r="K87" s="34">
        <f>IFERROR(IF($J87="","",IF(ISNUMBER($H87),$J87*$H87/'Index Summary'!$C$7,"")),"")</f>
        <v/>
      </c>
      <c r="L87" s="34">
        <f>IFERROR(IF($K87="","",$J87-$K87),"")</f>
        <v/>
      </c>
      <c r="M87" s="35">
        <f>IF($C87="","",IF(NOT(ISNUMBER($G87)),"No dividend",IF($G87=0,"No dividend",IF(ISNUMBER($H87),"OK","Franking n/a"))))</f>
        <v/>
      </c>
    </row>
    <row r="88">
      <c r="A88" s="27" t="n"/>
      <c r="B88" s="27" t="n"/>
      <c r="C88" s="27">
        <f>IF($A88="","",$A88&amp;" Equity")</f>
        <v/>
      </c>
      <c r="D88" s="27">
        <f>IF($A88="","",BDP($C88,"NAME"))</f>
        <v/>
      </c>
      <c r="E88" s="28">
        <f>IF($A88="","",BDP($C88,"EQY_DVD_SH_12M"))</f>
        <v/>
      </c>
      <c r="F88" s="29">
        <f>IF($A88="","",BDP($C88,"EQY_DVD_YLD_12M"))</f>
        <v/>
      </c>
      <c r="G88" s="29">
        <f>IF($A88="","",BDP($C88,"EQY_DVD_YLD_IND"))</f>
        <v/>
      </c>
      <c r="H88" s="29">
        <f>IF($A88="","",BDP($C88,'Field Check'!$C$4))</f>
        <v/>
      </c>
      <c r="I88" s="30">
        <f>IFERROR(IF($B88="","",$B88/$B$3),"")</f>
        <v/>
      </c>
      <c r="J88" s="30">
        <f>IFERROR(IF($I88="","",$I88*IFERROR($G88,0)/100),"")</f>
        <v/>
      </c>
      <c r="K88" s="30">
        <f>IFERROR(IF($J88="","",IF(ISNUMBER($H88),$J88*$H88/'Index Summary'!$C$7,"")),"")</f>
        <v/>
      </c>
      <c r="L88" s="30">
        <f>IFERROR(IF($K88="","",$J88-$K88),"")</f>
        <v/>
      </c>
      <c r="M88" s="31">
        <f>IF($C88="","",IF(NOT(ISNUMBER($G88)),"No dividend",IF($G88=0,"No dividend",IF(ISNUMBER($H88),"OK","Franking n/a"))))</f>
        <v/>
      </c>
    </row>
    <row r="89">
      <c r="A89" s="16" t="n"/>
      <c r="B89" s="16" t="n"/>
      <c r="C89" s="16">
        <f>IF($A89="","",$A89&amp;" Equity")</f>
        <v/>
      </c>
      <c r="D89" s="16">
        <f>IF($A89="","",BDP($C89,"NAME"))</f>
        <v/>
      </c>
      <c r="E89" s="32">
        <f>IF($A89="","",BDP($C89,"EQY_DVD_SH_12M"))</f>
        <v/>
      </c>
      <c r="F89" s="33">
        <f>IF($A89="","",BDP($C89,"EQY_DVD_YLD_12M"))</f>
        <v/>
      </c>
      <c r="G89" s="33">
        <f>IF($A89="","",BDP($C89,"EQY_DVD_YLD_IND"))</f>
        <v/>
      </c>
      <c r="H89" s="33">
        <f>IF($A89="","",BDP($C89,'Field Check'!$C$4))</f>
        <v/>
      </c>
      <c r="I89" s="34">
        <f>IFERROR(IF($B89="","",$B89/$B$3),"")</f>
        <v/>
      </c>
      <c r="J89" s="34">
        <f>IFERROR(IF($I89="","",$I89*IFERROR($G89,0)/100),"")</f>
        <v/>
      </c>
      <c r="K89" s="34">
        <f>IFERROR(IF($J89="","",IF(ISNUMBER($H89),$J89*$H89/'Index Summary'!$C$7,"")),"")</f>
        <v/>
      </c>
      <c r="L89" s="34">
        <f>IFERROR(IF($K89="","",$J89-$K89),"")</f>
        <v/>
      </c>
      <c r="M89" s="35">
        <f>IF($C89="","",IF(NOT(ISNUMBER($G89)),"No dividend",IF($G89=0,"No dividend",IF(ISNUMBER($H89),"OK","Franking n/a"))))</f>
        <v/>
      </c>
    </row>
    <row r="90">
      <c r="A90" s="27" t="n"/>
      <c r="B90" s="27" t="n"/>
      <c r="C90" s="27">
        <f>IF($A90="","",$A90&amp;" Equity")</f>
        <v/>
      </c>
      <c r="D90" s="27">
        <f>IF($A90="","",BDP($C90,"NAME"))</f>
        <v/>
      </c>
      <c r="E90" s="28">
        <f>IF($A90="","",BDP($C90,"EQY_DVD_SH_12M"))</f>
        <v/>
      </c>
      <c r="F90" s="29">
        <f>IF($A90="","",BDP($C90,"EQY_DVD_YLD_12M"))</f>
        <v/>
      </c>
      <c r="G90" s="29">
        <f>IF($A90="","",BDP($C90,"EQY_DVD_YLD_IND"))</f>
        <v/>
      </c>
      <c r="H90" s="29">
        <f>IF($A90="","",BDP($C90,'Field Check'!$C$4))</f>
        <v/>
      </c>
      <c r="I90" s="30">
        <f>IFERROR(IF($B90="","",$B90/$B$3),"")</f>
        <v/>
      </c>
      <c r="J90" s="30">
        <f>IFERROR(IF($I90="","",$I90*IFERROR($G90,0)/100),"")</f>
        <v/>
      </c>
      <c r="K90" s="30">
        <f>IFERROR(IF($J90="","",IF(ISNUMBER($H90),$J90*$H90/'Index Summary'!$C$7,"")),"")</f>
        <v/>
      </c>
      <c r="L90" s="30">
        <f>IFERROR(IF($K90="","",$J90-$K90),"")</f>
        <v/>
      </c>
      <c r="M90" s="31">
        <f>IF($C90="","",IF(NOT(ISNUMBER($G90)),"No dividend",IF($G90=0,"No dividend",IF(ISNUMBER($H90),"OK","Franking n/a"))))</f>
        <v/>
      </c>
    </row>
    <row r="91">
      <c r="A91" s="16" t="n"/>
      <c r="B91" s="16" t="n"/>
      <c r="C91" s="16">
        <f>IF($A91="","",$A91&amp;" Equity")</f>
        <v/>
      </c>
      <c r="D91" s="16">
        <f>IF($A91="","",BDP($C91,"NAME"))</f>
        <v/>
      </c>
      <c r="E91" s="32">
        <f>IF($A91="","",BDP($C91,"EQY_DVD_SH_12M"))</f>
        <v/>
      </c>
      <c r="F91" s="33">
        <f>IF($A91="","",BDP($C91,"EQY_DVD_YLD_12M"))</f>
        <v/>
      </c>
      <c r="G91" s="33">
        <f>IF($A91="","",BDP($C91,"EQY_DVD_YLD_IND"))</f>
        <v/>
      </c>
      <c r="H91" s="33">
        <f>IF($A91="","",BDP($C91,'Field Check'!$C$4))</f>
        <v/>
      </c>
      <c r="I91" s="34">
        <f>IFERROR(IF($B91="","",$B91/$B$3),"")</f>
        <v/>
      </c>
      <c r="J91" s="34">
        <f>IFERROR(IF($I91="","",$I91*IFERROR($G91,0)/100),"")</f>
        <v/>
      </c>
      <c r="K91" s="34">
        <f>IFERROR(IF($J91="","",IF(ISNUMBER($H91),$J91*$H91/'Index Summary'!$C$7,"")),"")</f>
        <v/>
      </c>
      <c r="L91" s="34">
        <f>IFERROR(IF($K91="","",$J91-$K91),"")</f>
        <v/>
      </c>
      <c r="M91" s="35">
        <f>IF($C91="","",IF(NOT(ISNUMBER($G91)),"No dividend",IF($G91=0,"No dividend",IF(ISNUMBER($H91),"OK","Franking n/a"))))</f>
        <v/>
      </c>
    </row>
    <row r="92">
      <c r="A92" s="27" t="n"/>
      <c r="B92" s="27" t="n"/>
      <c r="C92" s="27">
        <f>IF($A92="","",$A92&amp;" Equity")</f>
        <v/>
      </c>
      <c r="D92" s="27">
        <f>IF($A92="","",BDP($C92,"NAME"))</f>
        <v/>
      </c>
      <c r="E92" s="28">
        <f>IF($A92="","",BDP($C92,"EQY_DVD_SH_12M"))</f>
        <v/>
      </c>
      <c r="F92" s="29">
        <f>IF($A92="","",BDP($C92,"EQY_DVD_YLD_12M"))</f>
        <v/>
      </c>
      <c r="G92" s="29">
        <f>IF($A92="","",BDP($C92,"EQY_DVD_YLD_IND"))</f>
        <v/>
      </c>
      <c r="H92" s="29">
        <f>IF($A92="","",BDP($C92,'Field Check'!$C$4))</f>
        <v/>
      </c>
      <c r="I92" s="30">
        <f>IFERROR(IF($B92="","",$B92/$B$3),"")</f>
        <v/>
      </c>
      <c r="J92" s="30">
        <f>IFERROR(IF($I92="","",$I92*IFERROR($G92,0)/100),"")</f>
        <v/>
      </c>
      <c r="K92" s="30">
        <f>IFERROR(IF($J92="","",IF(ISNUMBER($H92),$J92*$H92/'Index Summary'!$C$7,"")),"")</f>
        <v/>
      </c>
      <c r="L92" s="30">
        <f>IFERROR(IF($K92="","",$J92-$K92),"")</f>
        <v/>
      </c>
      <c r="M92" s="31">
        <f>IF($C92="","",IF(NOT(ISNUMBER($G92)),"No dividend",IF($G92=0,"No dividend",IF(ISNUMBER($H92),"OK","Franking n/a"))))</f>
        <v/>
      </c>
    </row>
    <row r="93">
      <c r="A93" s="16" t="n"/>
      <c r="B93" s="16" t="n"/>
      <c r="C93" s="16">
        <f>IF($A93="","",$A93&amp;" Equity")</f>
        <v/>
      </c>
      <c r="D93" s="16">
        <f>IF($A93="","",BDP($C93,"NAME"))</f>
        <v/>
      </c>
      <c r="E93" s="32">
        <f>IF($A93="","",BDP($C93,"EQY_DVD_SH_12M"))</f>
        <v/>
      </c>
      <c r="F93" s="33">
        <f>IF($A93="","",BDP($C93,"EQY_DVD_YLD_12M"))</f>
        <v/>
      </c>
      <c r="G93" s="33">
        <f>IF($A93="","",BDP($C93,"EQY_DVD_YLD_IND"))</f>
        <v/>
      </c>
      <c r="H93" s="33">
        <f>IF($A93="","",BDP($C93,'Field Check'!$C$4))</f>
        <v/>
      </c>
      <c r="I93" s="34">
        <f>IFERROR(IF($B93="","",$B93/$B$3),"")</f>
        <v/>
      </c>
      <c r="J93" s="34">
        <f>IFERROR(IF($I93="","",$I93*IFERROR($G93,0)/100),"")</f>
        <v/>
      </c>
      <c r="K93" s="34">
        <f>IFERROR(IF($J93="","",IF(ISNUMBER($H93),$J93*$H93/'Index Summary'!$C$7,"")),"")</f>
        <v/>
      </c>
      <c r="L93" s="34">
        <f>IFERROR(IF($K93="","",$J93-$K93),"")</f>
        <v/>
      </c>
      <c r="M93" s="35">
        <f>IF($C93="","",IF(NOT(ISNUMBER($G93)),"No dividend",IF($G93=0,"No dividend",IF(ISNUMBER($H93),"OK","Franking n/a"))))</f>
        <v/>
      </c>
    </row>
    <row r="94">
      <c r="A94" s="27" t="n"/>
      <c r="B94" s="27" t="n"/>
      <c r="C94" s="27">
        <f>IF($A94="","",$A94&amp;" Equity")</f>
        <v/>
      </c>
      <c r="D94" s="27">
        <f>IF($A94="","",BDP($C94,"NAME"))</f>
        <v/>
      </c>
      <c r="E94" s="28">
        <f>IF($A94="","",BDP($C94,"EQY_DVD_SH_12M"))</f>
        <v/>
      </c>
      <c r="F94" s="29">
        <f>IF($A94="","",BDP($C94,"EQY_DVD_YLD_12M"))</f>
        <v/>
      </c>
      <c r="G94" s="29">
        <f>IF($A94="","",BDP($C94,"EQY_DVD_YLD_IND"))</f>
        <v/>
      </c>
      <c r="H94" s="29">
        <f>IF($A94="","",BDP($C94,'Field Check'!$C$4))</f>
        <v/>
      </c>
      <c r="I94" s="30">
        <f>IFERROR(IF($B94="","",$B94/$B$3),"")</f>
        <v/>
      </c>
      <c r="J94" s="30">
        <f>IFERROR(IF($I94="","",$I94*IFERROR($G94,0)/100),"")</f>
        <v/>
      </c>
      <c r="K94" s="30">
        <f>IFERROR(IF($J94="","",IF(ISNUMBER($H94),$J94*$H94/'Index Summary'!$C$7,"")),"")</f>
        <v/>
      </c>
      <c r="L94" s="30">
        <f>IFERROR(IF($K94="","",$J94-$K94),"")</f>
        <v/>
      </c>
      <c r="M94" s="31">
        <f>IF($C94="","",IF(NOT(ISNUMBER($G94)),"No dividend",IF($G94=0,"No dividend",IF(ISNUMBER($H94),"OK","Franking n/a"))))</f>
        <v/>
      </c>
    </row>
    <row r="95">
      <c r="A95" s="16" t="n"/>
      <c r="B95" s="16" t="n"/>
      <c r="C95" s="16">
        <f>IF($A95="","",$A95&amp;" Equity")</f>
        <v/>
      </c>
      <c r="D95" s="16">
        <f>IF($A95="","",BDP($C95,"NAME"))</f>
        <v/>
      </c>
      <c r="E95" s="32">
        <f>IF($A95="","",BDP($C95,"EQY_DVD_SH_12M"))</f>
        <v/>
      </c>
      <c r="F95" s="33">
        <f>IF($A95="","",BDP($C95,"EQY_DVD_YLD_12M"))</f>
        <v/>
      </c>
      <c r="G95" s="33">
        <f>IF($A95="","",BDP($C95,"EQY_DVD_YLD_IND"))</f>
        <v/>
      </c>
      <c r="H95" s="33">
        <f>IF($A95="","",BDP($C95,'Field Check'!$C$4))</f>
        <v/>
      </c>
      <c r="I95" s="34">
        <f>IFERROR(IF($B95="","",$B95/$B$3),"")</f>
        <v/>
      </c>
      <c r="J95" s="34">
        <f>IFERROR(IF($I95="","",$I95*IFERROR($G95,0)/100),"")</f>
        <v/>
      </c>
      <c r="K95" s="34">
        <f>IFERROR(IF($J95="","",IF(ISNUMBER($H95),$J95*$H95/'Index Summary'!$C$7,"")),"")</f>
        <v/>
      </c>
      <c r="L95" s="34">
        <f>IFERROR(IF($K95="","",$J95-$K95),"")</f>
        <v/>
      </c>
      <c r="M95" s="35">
        <f>IF($C95="","",IF(NOT(ISNUMBER($G95)),"No dividend",IF($G95=0,"No dividend",IF(ISNUMBER($H95),"OK","Franking n/a"))))</f>
        <v/>
      </c>
    </row>
    <row r="96">
      <c r="A96" s="27" t="n"/>
      <c r="B96" s="27" t="n"/>
      <c r="C96" s="27">
        <f>IF($A96="","",$A96&amp;" Equity")</f>
        <v/>
      </c>
      <c r="D96" s="27">
        <f>IF($A96="","",BDP($C96,"NAME"))</f>
        <v/>
      </c>
      <c r="E96" s="28">
        <f>IF($A96="","",BDP($C96,"EQY_DVD_SH_12M"))</f>
        <v/>
      </c>
      <c r="F96" s="29">
        <f>IF($A96="","",BDP($C96,"EQY_DVD_YLD_12M"))</f>
        <v/>
      </c>
      <c r="G96" s="29">
        <f>IF($A96="","",BDP($C96,"EQY_DVD_YLD_IND"))</f>
        <v/>
      </c>
      <c r="H96" s="29">
        <f>IF($A96="","",BDP($C96,'Field Check'!$C$4))</f>
        <v/>
      </c>
      <c r="I96" s="30">
        <f>IFERROR(IF($B96="","",$B96/$B$3),"")</f>
        <v/>
      </c>
      <c r="J96" s="30">
        <f>IFERROR(IF($I96="","",$I96*IFERROR($G96,0)/100),"")</f>
        <v/>
      </c>
      <c r="K96" s="30">
        <f>IFERROR(IF($J96="","",IF(ISNUMBER($H96),$J96*$H96/'Index Summary'!$C$7,"")),"")</f>
        <v/>
      </c>
      <c r="L96" s="30">
        <f>IFERROR(IF($K96="","",$J96-$K96),"")</f>
        <v/>
      </c>
      <c r="M96" s="31">
        <f>IF($C96="","",IF(NOT(ISNUMBER($G96)),"No dividend",IF($G96=0,"No dividend",IF(ISNUMBER($H96),"OK","Franking n/a"))))</f>
        <v/>
      </c>
    </row>
    <row r="97">
      <c r="A97" s="16" t="n"/>
      <c r="B97" s="16" t="n"/>
      <c r="C97" s="16">
        <f>IF($A97="","",$A97&amp;" Equity")</f>
        <v/>
      </c>
      <c r="D97" s="16">
        <f>IF($A97="","",BDP($C97,"NAME"))</f>
        <v/>
      </c>
      <c r="E97" s="32">
        <f>IF($A97="","",BDP($C97,"EQY_DVD_SH_12M"))</f>
        <v/>
      </c>
      <c r="F97" s="33">
        <f>IF($A97="","",BDP($C97,"EQY_DVD_YLD_12M"))</f>
        <v/>
      </c>
      <c r="G97" s="33">
        <f>IF($A97="","",BDP($C97,"EQY_DVD_YLD_IND"))</f>
        <v/>
      </c>
      <c r="H97" s="33">
        <f>IF($A97="","",BDP($C97,'Field Check'!$C$4))</f>
        <v/>
      </c>
      <c r="I97" s="34">
        <f>IFERROR(IF($B97="","",$B97/$B$3),"")</f>
        <v/>
      </c>
      <c r="J97" s="34">
        <f>IFERROR(IF($I97="","",$I97*IFERROR($G97,0)/100),"")</f>
        <v/>
      </c>
      <c r="K97" s="34">
        <f>IFERROR(IF($J97="","",IF(ISNUMBER($H97),$J97*$H97/'Index Summary'!$C$7,"")),"")</f>
        <v/>
      </c>
      <c r="L97" s="34">
        <f>IFERROR(IF($K97="","",$J97-$K97),"")</f>
        <v/>
      </c>
      <c r="M97" s="35">
        <f>IF($C97="","",IF(NOT(ISNUMBER($G97)),"No dividend",IF($G97=0,"No dividend",IF(ISNUMBER($H97),"OK","Franking n/a"))))</f>
        <v/>
      </c>
    </row>
    <row r="98">
      <c r="A98" s="27" t="n"/>
      <c r="B98" s="27" t="n"/>
      <c r="C98" s="27">
        <f>IF($A98="","",$A98&amp;" Equity")</f>
        <v/>
      </c>
      <c r="D98" s="27">
        <f>IF($A98="","",BDP($C98,"NAME"))</f>
        <v/>
      </c>
      <c r="E98" s="28">
        <f>IF($A98="","",BDP($C98,"EQY_DVD_SH_12M"))</f>
        <v/>
      </c>
      <c r="F98" s="29">
        <f>IF($A98="","",BDP($C98,"EQY_DVD_YLD_12M"))</f>
        <v/>
      </c>
      <c r="G98" s="29">
        <f>IF($A98="","",BDP($C98,"EQY_DVD_YLD_IND"))</f>
        <v/>
      </c>
      <c r="H98" s="29">
        <f>IF($A98="","",BDP($C98,'Field Check'!$C$4))</f>
        <v/>
      </c>
      <c r="I98" s="30">
        <f>IFERROR(IF($B98="","",$B98/$B$3),"")</f>
        <v/>
      </c>
      <c r="J98" s="30">
        <f>IFERROR(IF($I98="","",$I98*IFERROR($G98,0)/100),"")</f>
        <v/>
      </c>
      <c r="K98" s="30">
        <f>IFERROR(IF($J98="","",IF(ISNUMBER($H98),$J98*$H98/'Index Summary'!$C$7,"")),"")</f>
        <v/>
      </c>
      <c r="L98" s="30">
        <f>IFERROR(IF($K98="","",$J98-$K98),"")</f>
        <v/>
      </c>
      <c r="M98" s="31">
        <f>IF($C98="","",IF(NOT(ISNUMBER($G98)),"No dividend",IF($G98=0,"No dividend",IF(ISNUMBER($H98),"OK","Franking n/a"))))</f>
        <v/>
      </c>
    </row>
    <row r="99">
      <c r="A99" s="16" t="n"/>
      <c r="B99" s="16" t="n"/>
      <c r="C99" s="16">
        <f>IF($A99="","",$A99&amp;" Equity")</f>
        <v/>
      </c>
      <c r="D99" s="16">
        <f>IF($A99="","",BDP($C99,"NAME"))</f>
        <v/>
      </c>
      <c r="E99" s="32">
        <f>IF($A99="","",BDP($C99,"EQY_DVD_SH_12M"))</f>
        <v/>
      </c>
      <c r="F99" s="33">
        <f>IF($A99="","",BDP($C99,"EQY_DVD_YLD_12M"))</f>
        <v/>
      </c>
      <c r="G99" s="33">
        <f>IF($A99="","",BDP($C99,"EQY_DVD_YLD_IND"))</f>
        <v/>
      </c>
      <c r="H99" s="33">
        <f>IF($A99="","",BDP($C99,'Field Check'!$C$4))</f>
        <v/>
      </c>
      <c r="I99" s="34">
        <f>IFERROR(IF($B99="","",$B99/$B$3),"")</f>
        <v/>
      </c>
      <c r="J99" s="34">
        <f>IFERROR(IF($I99="","",$I99*IFERROR($G99,0)/100),"")</f>
        <v/>
      </c>
      <c r="K99" s="34">
        <f>IFERROR(IF($J99="","",IF(ISNUMBER($H99),$J99*$H99/'Index Summary'!$C$7,"")),"")</f>
        <v/>
      </c>
      <c r="L99" s="34">
        <f>IFERROR(IF($K99="","",$J99-$K99),"")</f>
        <v/>
      </c>
      <c r="M99" s="35">
        <f>IF($C99="","",IF(NOT(ISNUMBER($G99)),"No dividend",IF($G99=0,"No dividend",IF(ISNUMBER($H99),"OK","Franking n/a"))))</f>
        <v/>
      </c>
    </row>
    <row r="100">
      <c r="A100" s="27" t="n"/>
      <c r="B100" s="27" t="n"/>
      <c r="C100" s="27">
        <f>IF($A100="","",$A100&amp;" Equity")</f>
        <v/>
      </c>
      <c r="D100" s="27">
        <f>IF($A100="","",BDP($C100,"NAME"))</f>
        <v/>
      </c>
      <c r="E100" s="28">
        <f>IF($A100="","",BDP($C100,"EQY_DVD_SH_12M"))</f>
        <v/>
      </c>
      <c r="F100" s="29">
        <f>IF($A100="","",BDP($C100,"EQY_DVD_YLD_12M"))</f>
        <v/>
      </c>
      <c r="G100" s="29">
        <f>IF($A100="","",BDP($C100,"EQY_DVD_YLD_IND"))</f>
        <v/>
      </c>
      <c r="H100" s="29">
        <f>IF($A100="","",BDP($C100,'Field Check'!$C$4))</f>
        <v/>
      </c>
      <c r="I100" s="30">
        <f>IFERROR(IF($B100="","",$B100/$B$3),"")</f>
        <v/>
      </c>
      <c r="J100" s="30">
        <f>IFERROR(IF($I100="","",$I100*IFERROR($G100,0)/100),"")</f>
        <v/>
      </c>
      <c r="K100" s="30">
        <f>IFERROR(IF($J100="","",IF(ISNUMBER($H100),$J100*$H100/'Index Summary'!$C$7,"")),"")</f>
        <v/>
      </c>
      <c r="L100" s="30">
        <f>IFERROR(IF($K100="","",$J100-$K100),"")</f>
        <v/>
      </c>
      <c r="M100" s="31">
        <f>IF($C100="","",IF(NOT(ISNUMBER($G100)),"No dividend",IF($G100=0,"No dividend",IF(ISNUMBER($H100),"OK","Franking n/a"))))</f>
        <v/>
      </c>
    </row>
    <row r="101">
      <c r="A101" s="16" t="n"/>
      <c r="B101" s="16" t="n"/>
      <c r="C101" s="16">
        <f>IF($A101="","",$A101&amp;" Equity")</f>
        <v/>
      </c>
      <c r="D101" s="16">
        <f>IF($A101="","",BDP($C101,"NAME"))</f>
        <v/>
      </c>
      <c r="E101" s="32">
        <f>IF($A101="","",BDP($C101,"EQY_DVD_SH_12M"))</f>
        <v/>
      </c>
      <c r="F101" s="33">
        <f>IF($A101="","",BDP($C101,"EQY_DVD_YLD_12M"))</f>
        <v/>
      </c>
      <c r="G101" s="33">
        <f>IF($A101="","",BDP($C101,"EQY_DVD_YLD_IND"))</f>
        <v/>
      </c>
      <c r="H101" s="33">
        <f>IF($A101="","",BDP($C101,'Field Check'!$C$4))</f>
        <v/>
      </c>
      <c r="I101" s="34">
        <f>IFERROR(IF($B101="","",$B101/$B$3),"")</f>
        <v/>
      </c>
      <c r="J101" s="34">
        <f>IFERROR(IF($I101="","",$I101*IFERROR($G101,0)/100),"")</f>
        <v/>
      </c>
      <c r="K101" s="34">
        <f>IFERROR(IF($J101="","",IF(ISNUMBER($H101),$J101*$H101/'Index Summary'!$C$7,"")),"")</f>
        <v/>
      </c>
      <c r="L101" s="34">
        <f>IFERROR(IF($K101="","",$J101-$K101),"")</f>
        <v/>
      </c>
      <c r="M101" s="35">
        <f>IF($C101="","",IF(NOT(ISNUMBER($G101)),"No dividend",IF($G101=0,"No dividend",IF(ISNUMBER($H101),"OK","Franking n/a"))))</f>
        <v/>
      </c>
    </row>
    <row r="102">
      <c r="A102" s="27" t="n"/>
      <c r="B102" s="27" t="n"/>
      <c r="C102" s="27">
        <f>IF($A102="","",$A102&amp;" Equity")</f>
        <v/>
      </c>
      <c r="D102" s="27">
        <f>IF($A102="","",BDP($C102,"NAME"))</f>
        <v/>
      </c>
      <c r="E102" s="28">
        <f>IF($A102="","",BDP($C102,"EQY_DVD_SH_12M"))</f>
        <v/>
      </c>
      <c r="F102" s="29">
        <f>IF($A102="","",BDP($C102,"EQY_DVD_YLD_12M"))</f>
        <v/>
      </c>
      <c r="G102" s="29">
        <f>IF($A102="","",BDP($C102,"EQY_DVD_YLD_IND"))</f>
        <v/>
      </c>
      <c r="H102" s="29">
        <f>IF($A102="","",BDP($C102,'Field Check'!$C$4))</f>
        <v/>
      </c>
      <c r="I102" s="30">
        <f>IFERROR(IF($B102="","",$B102/$B$3),"")</f>
        <v/>
      </c>
      <c r="J102" s="30">
        <f>IFERROR(IF($I102="","",$I102*IFERROR($G102,0)/100),"")</f>
        <v/>
      </c>
      <c r="K102" s="30">
        <f>IFERROR(IF($J102="","",IF(ISNUMBER($H102),$J102*$H102/'Index Summary'!$C$7,"")),"")</f>
        <v/>
      </c>
      <c r="L102" s="30">
        <f>IFERROR(IF($K102="","",$J102-$K102),"")</f>
        <v/>
      </c>
      <c r="M102" s="31">
        <f>IF($C102="","",IF(NOT(ISNUMBER($G102)),"No dividend",IF($G102=0,"No dividend",IF(ISNUMBER($H102),"OK","Franking n/a"))))</f>
        <v/>
      </c>
    </row>
    <row r="103">
      <c r="A103" s="16" t="n"/>
      <c r="B103" s="16" t="n"/>
      <c r="C103" s="16">
        <f>IF($A103="","",$A103&amp;" Equity")</f>
        <v/>
      </c>
      <c r="D103" s="16">
        <f>IF($A103="","",BDP($C103,"NAME"))</f>
        <v/>
      </c>
      <c r="E103" s="32">
        <f>IF($A103="","",BDP($C103,"EQY_DVD_SH_12M"))</f>
        <v/>
      </c>
      <c r="F103" s="33">
        <f>IF($A103="","",BDP($C103,"EQY_DVD_YLD_12M"))</f>
        <v/>
      </c>
      <c r="G103" s="33">
        <f>IF($A103="","",BDP($C103,"EQY_DVD_YLD_IND"))</f>
        <v/>
      </c>
      <c r="H103" s="33">
        <f>IF($A103="","",BDP($C103,'Field Check'!$C$4))</f>
        <v/>
      </c>
      <c r="I103" s="34">
        <f>IFERROR(IF($B103="","",$B103/$B$3),"")</f>
        <v/>
      </c>
      <c r="J103" s="34">
        <f>IFERROR(IF($I103="","",$I103*IFERROR($G103,0)/100),"")</f>
        <v/>
      </c>
      <c r="K103" s="34">
        <f>IFERROR(IF($J103="","",IF(ISNUMBER($H103),$J103*$H103/'Index Summary'!$C$7,"")),"")</f>
        <v/>
      </c>
      <c r="L103" s="34">
        <f>IFERROR(IF($K103="","",$J103-$K103),"")</f>
        <v/>
      </c>
      <c r="M103" s="35">
        <f>IF($C103="","",IF(NOT(ISNUMBER($G103)),"No dividend",IF($G103=0,"No dividend",IF(ISNUMBER($H103),"OK","Franking n/a"))))</f>
        <v/>
      </c>
    </row>
    <row r="104">
      <c r="A104" s="27" t="n"/>
      <c r="B104" s="27" t="n"/>
      <c r="C104" s="27">
        <f>IF($A104="","",$A104&amp;" Equity")</f>
        <v/>
      </c>
      <c r="D104" s="27">
        <f>IF($A104="","",BDP($C104,"NAME"))</f>
        <v/>
      </c>
      <c r="E104" s="28">
        <f>IF($A104="","",BDP($C104,"EQY_DVD_SH_12M"))</f>
        <v/>
      </c>
      <c r="F104" s="29">
        <f>IF($A104="","",BDP($C104,"EQY_DVD_YLD_12M"))</f>
        <v/>
      </c>
      <c r="G104" s="29">
        <f>IF($A104="","",BDP($C104,"EQY_DVD_YLD_IND"))</f>
        <v/>
      </c>
      <c r="H104" s="29">
        <f>IF($A104="","",BDP($C104,'Field Check'!$C$4))</f>
        <v/>
      </c>
      <c r="I104" s="30">
        <f>IFERROR(IF($B104="","",$B104/$B$3),"")</f>
        <v/>
      </c>
      <c r="J104" s="30">
        <f>IFERROR(IF($I104="","",$I104*IFERROR($G104,0)/100),"")</f>
        <v/>
      </c>
      <c r="K104" s="30">
        <f>IFERROR(IF($J104="","",IF(ISNUMBER($H104),$J104*$H104/'Index Summary'!$C$7,"")),"")</f>
        <v/>
      </c>
      <c r="L104" s="30">
        <f>IFERROR(IF($K104="","",$J104-$K104),"")</f>
        <v/>
      </c>
      <c r="M104" s="31">
        <f>IF($C104="","",IF(NOT(ISNUMBER($G104)),"No dividend",IF($G104=0,"No dividend",IF(ISNUMBER($H104),"OK","Franking n/a"))))</f>
        <v/>
      </c>
    </row>
    <row r="105">
      <c r="A105" s="16" t="n"/>
      <c r="B105" s="16" t="n"/>
      <c r="C105" s="16">
        <f>IF($A105="","",$A105&amp;" Equity")</f>
        <v/>
      </c>
      <c r="D105" s="16">
        <f>IF($A105="","",BDP($C105,"NAME"))</f>
        <v/>
      </c>
      <c r="E105" s="32">
        <f>IF($A105="","",BDP($C105,"EQY_DVD_SH_12M"))</f>
        <v/>
      </c>
      <c r="F105" s="33">
        <f>IF($A105="","",BDP($C105,"EQY_DVD_YLD_12M"))</f>
        <v/>
      </c>
      <c r="G105" s="33">
        <f>IF($A105="","",BDP($C105,"EQY_DVD_YLD_IND"))</f>
        <v/>
      </c>
      <c r="H105" s="33">
        <f>IF($A105="","",BDP($C105,'Field Check'!$C$4))</f>
        <v/>
      </c>
      <c r="I105" s="34">
        <f>IFERROR(IF($B105="","",$B105/$B$3),"")</f>
        <v/>
      </c>
      <c r="J105" s="34">
        <f>IFERROR(IF($I105="","",$I105*IFERROR($G105,0)/100),"")</f>
        <v/>
      </c>
      <c r="K105" s="34">
        <f>IFERROR(IF($J105="","",IF(ISNUMBER($H105),$J105*$H105/'Index Summary'!$C$7,"")),"")</f>
        <v/>
      </c>
      <c r="L105" s="34">
        <f>IFERROR(IF($K105="","",$J105-$K105),"")</f>
        <v/>
      </c>
      <c r="M105" s="35">
        <f>IF($C105="","",IF(NOT(ISNUMBER($G105)),"No dividend",IF($G105=0,"No dividend",IF(ISNUMBER($H105),"OK","Franking n/a"))))</f>
        <v/>
      </c>
    </row>
    <row r="106">
      <c r="A106" s="27" t="n"/>
      <c r="B106" s="27" t="n"/>
      <c r="C106" s="27">
        <f>IF($A106="","",$A106&amp;" Equity")</f>
        <v/>
      </c>
      <c r="D106" s="27">
        <f>IF($A106="","",BDP($C106,"NAME"))</f>
        <v/>
      </c>
      <c r="E106" s="28">
        <f>IF($A106="","",BDP($C106,"EQY_DVD_SH_12M"))</f>
        <v/>
      </c>
      <c r="F106" s="29">
        <f>IF($A106="","",BDP($C106,"EQY_DVD_YLD_12M"))</f>
        <v/>
      </c>
      <c r="G106" s="29">
        <f>IF($A106="","",BDP($C106,"EQY_DVD_YLD_IND"))</f>
        <v/>
      </c>
      <c r="H106" s="29">
        <f>IF($A106="","",BDP($C106,'Field Check'!$C$4))</f>
        <v/>
      </c>
      <c r="I106" s="30">
        <f>IFERROR(IF($B106="","",$B106/$B$3),"")</f>
        <v/>
      </c>
      <c r="J106" s="30">
        <f>IFERROR(IF($I106="","",$I106*IFERROR($G106,0)/100),"")</f>
        <v/>
      </c>
      <c r="K106" s="30">
        <f>IFERROR(IF($J106="","",IF(ISNUMBER($H106),$J106*$H106/'Index Summary'!$C$7,"")),"")</f>
        <v/>
      </c>
      <c r="L106" s="30">
        <f>IFERROR(IF($K106="","",$J106-$K106),"")</f>
        <v/>
      </c>
      <c r="M106" s="31">
        <f>IF($C106="","",IF(NOT(ISNUMBER($G106)),"No dividend",IF($G106=0,"No dividend",IF(ISNUMBER($H106),"OK","Franking n/a"))))</f>
        <v/>
      </c>
    </row>
    <row r="107">
      <c r="A107" s="16" t="n"/>
      <c r="B107" s="16" t="n"/>
      <c r="C107" s="16">
        <f>IF($A107="","",$A107&amp;" Equity")</f>
        <v/>
      </c>
      <c r="D107" s="16">
        <f>IF($A107="","",BDP($C107,"NAME"))</f>
        <v/>
      </c>
      <c r="E107" s="32">
        <f>IF($A107="","",BDP($C107,"EQY_DVD_SH_12M"))</f>
        <v/>
      </c>
      <c r="F107" s="33">
        <f>IF($A107="","",BDP($C107,"EQY_DVD_YLD_12M"))</f>
        <v/>
      </c>
      <c r="G107" s="33">
        <f>IF($A107="","",BDP($C107,"EQY_DVD_YLD_IND"))</f>
        <v/>
      </c>
      <c r="H107" s="33">
        <f>IF($A107="","",BDP($C107,'Field Check'!$C$4))</f>
        <v/>
      </c>
      <c r="I107" s="34">
        <f>IFERROR(IF($B107="","",$B107/$B$3),"")</f>
        <v/>
      </c>
      <c r="J107" s="34">
        <f>IFERROR(IF($I107="","",$I107*IFERROR($G107,0)/100),"")</f>
        <v/>
      </c>
      <c r="K107" s="34">
        <f>IFERROR(IF($J107="","",IF(ISNUMBER($H107),$J107*$H107/'Index Summary'!$C$7,"")),"")</f>
        <v/>
      </c>
      <c r="L107" s="34">
        <f>IFERROR(IF($K107="","",$J107-$K107),"")</f>
        <v/>
      </c>
      <c r="M107" s="35">
        <f>IF($C107="","",IF(NOT(ISNUMBER($G107)),"No dividend",IF($G107=0,"No dividend",IF(ISNUMBER($H107),"OK","Franking n/a"))))</f>
        <v/>
      </c>
    </row>
    <row r="108">
      <c r="A108" s="27" t="n"/>
      <c r="B108" s="27" t="n"/>
      <c r="C108" s="27">
        <f>IF($A108="","",$A108&amp;" Equity")</f>
        <v/>
      </c>
      <c r="D108" s="27">
        <f>IF($A108="","",BDP($C108,"NAME"))</f>
        <v/>
      </c>
      <c r="E108" s="28">
        <f>IF($A108="","",BDP($C108,"EQY_DVD_SH_12M"))</f>
        <v/>
      </c>
      <c r="F108" s="29">
        <f>IF($A108="","",BDP($C108,"EQY_DVD_YLD_12M"))</f>
        <v/>
      </c>
      <c r="G108" s="29">
        <f>IF($A108="","",BDP($C108,"EQY_DVD_YLD_IND"))</f>
        <v/>
      </c>
      <c r="H108" s="29">
        <f>IF($A108="","",BDP($C108,'Field Check'!$C$4))</f>
        <v/>
      </c>
      <c r="I108" s="30">
        <f>IFERROR(IF($B108="","",$B108/$B$3),"")</f>
        <v/>
      </c>
      <c r="J108" s="30">
        <f>IFERROR(IF($I108="","",$I108*IFERROR($G108,0)/100),"")</f>
        <v/>
      </c>
      <c r="K108" s="30">
        <f>IFERROR(IF($J108="","",IF(ISNUMBER($H108),$J108*$H108/'Index Summary'!$C$7,"")),"")</f>
        <v/>
      </c>
      <c r="L108" s="30">
        <f>IFERROR(IF($K108="","",$J108-$K108),"")</f>
        <v/>
      </c>
      <c r="M108" s="31">
        <f>IF($C108="","",IF(NOT(ISNUMBER($G108)),"No dividend",IF($G108=0,"No dividend",IF(ISNUMBER($H108),"OK","Franking n/a"))))</f>
        <v/>
      </c>
    </row>
    <row r="109">
      <c r="A109" s="16" t="n"/>
      <c r="B109" s="16" t="n"/>
      <c r="C109" s="16">
        <f>IF($A109="","",$A109&amp;" Equity")</f>
        <v/>
      </c>
      <c r="D109" s="16">
        <f>IF($A109="","",BDP($C109,"NAME"))</f>
        <v/>
      </c>
      <c r="E109" s="32">
        <f>IF($A109="","",BDP($C109,"EQY_DVD_SH_12M"))</f>
        <v/>
      </c>
      <c r="F109" s="33">
        <f>IF($A109="","",BDP($C109,"EQY_DVD_YLD_12M"))</f>
        <v/>
      </c>
      <c r="G109" s="33">
        <f>IF($A109="","",BDP($C109,"EQY_DVD_YLD_IND"))</f>
        <v/>
      </c>
      <c r="H109" s="33">
        <f>IF($A109="","",BDP($C109,'Field Check'!$C$4))</f>
        <v/>
      </c>
      <c r="I109" s="34">
        <f>IFERROR(IF($B109="","",$B109/$B$3),"")</f>
        <v/>
      </c>
      <c r="J109" s="34">
        <f>IFERROR(IF($I109="","",$I109*IFERROR($G109,0)/100),"")</f>
        <v/>
      </c>
      <c r="K109" s="34">
        <f>IFERROR(IF($J109="","",IF(ISNUMBER($H109),$J109*$H109/'Index Summary'!$C$7,"")),"")</f>
        <v/>
      </c>
      <c r="L109" s="34">
        <f>IFERROR(IF($K109="","",$J109-$K109),"")</f>
        <v/>
      </c>
      <c r="M109" s="35">
        <f>IF($C109="","",IF(NOT(ISNUMBER($G109)),"No dividend",IF($G109=0,"No dividend",IF(ISNUMBER($H109),"OK","Franking n/a"))))</f>
        <v/>
      </c>
    </row>
    <row r="110">
      <c r="A110" s="27" t="n"/>
      <c r="B110" s="27" t="n"/>
      <c r="C110" s="27">
        <f>IF($A110="","",$A110&amp;" Equity")</f>
        <v/>
      </c>
      <c r="D110" s="27">
        <f>IF($A110="","",BDP($C110,"NAME"))</f>
        <v/>
      </c>
      <c r="E110" s="28">
        <f>IF($A110="","",BDP($C110,"EQY_DVD_SH_12M"))</f>
        <v/>
      </c>
      <c r="F110" s="29">
        <f>IF($A110="","",BDP($C110,"EQY_DVD_YLD_12M"))</f>
        <v/>
      </c>
      <c r="G110" s="29">
        <f>IF($A110="","",BDP($C110,"EQY_DVD_YLD_IND"))</f>
        <v/>
      </c>
      <c r="H110" s="29">
        <f>IF($A110="","",BDP($C110,'Field Check'!$C$4))</f>
        <v/>
      </c>
      <c r="I110" s="30">
        <f>IFERROR(IF($B110="","",$B110/$B$3),"")</f>
        <v/>
      </c>
      <c r="J110" s="30">
        <f>IFERROR(IF($I110="","",$I110*IFERROR($G110,0)/100),"")</f>
        <v/>
      </c>
      <c r="K110" s="30">
        <f>IFERROR(IF($J110="","",IF(ISNUMBER($H110),$J110*$H110/'Index Summary'!$C$7,"")),"")</f>
        <v/>
      </c>
      <c r="L110" s="30">
        <f>IFERROR(IF($K110="","",$J110-$K110),"")</f>
        <v/>
      </c>
      <c r="M110" s="31">
        <f>IF($C110="","",IF(NOT(ISNUMBER($G110)),"No dividend",IF($G110=0,"No dividend",IF(ISNUMBER($H110),"OK","Franking n/a"))))</f>
        <v/>
      </c>
    </row>
    <row r="111">
      <c r="A111" s="16" t="n"/>
      <c r="B111" s="16" t="n"/>
      <c r="C111" s="16">
        <f>IF($A111="","",$A111&amp;" Equity")</f>
        <v/>
      </c>
      <c r="D111" s="16">
        <f>IF($A111="","",BDP($C111,"NAME"))</f>
        <v/>
      </c>
      <c r="E111" s="32">
        <f>IF($A111="","",BDP($C111,"EQY_DVD_SH_12M"))</f>
        <v/>
      </c>
      <c r="F111" s="33">
        <f>IF($A111="","",BDP($C111,"EQY_DVD_YLD_12M"))</f>
        <v/>
      </c>
      <c r="G111" s="33">
        <f>IF($A111="","",BDP($C111,"EQY_DVD_YLD_IND"))</f>
        <v/>
      </c>
      <c r="H111" s="33">
        <f>IF($A111="","",BDP($C111,'Field Check'!$C$4))</f>
        <v/>
      </c>
      <c r="I111" s="34">
        <f>IFERROR(IF($B111="","",$B111/$B$3),"")</f>
        <v/>
      </c>
      <c r="J111" s="34">
        <f>IFERROR(IF($I111="","",$I111*IFERROR($G111,0)/100),"")</f>
        <v/>
      </c>
      <c r="K111" s="34">
        <f>IFERROR(IF($J111="","",IF(ISNUMBER($H111),$J111*$H111/'Index Summary'!$C$7,"")),"")</f>
        <v/>
      </c>
      <c r="L111" s="34">
        <f>IFERROR(IF($K111="","",$J111-$K111),"")</f>
        <v/>
      </c>
      <c r="M111" s="35">
        <f>IF($C111="","",IF(NOT(ISNUMBER($G111)),"No dividend",IF($G111=0,"No dividend",IF(ISNUMBER($H111),"OK","Franking n/a"))))</f>
        <v/>
      </c>
    </row>
    <row r="112">
      <c r="A112" s="27" t="n"/>
      <c r="B112" s="27" t="n"/>
      <c r="C112" s="27">
        <f>IF($A112="","",$A112&amp;" Equity")</f>
        <v/>
      </c>
      <c r="D112" s="27">
        <f>IF($A112="","",BDP($C112,"NAME"))</f>
        <v/>
      </c>
      <c r="E112" s="28">
        <f>IF($A112="","",BDP($C112,"EQY_DVD_SH_12M"))</f>
        <v/>
      </c>
      <c r="F112" s="29">
        <f>IF($A112="","",BDP($C112,"EQY_DVD_YLD_12M"))</f>
        <v/>
      </c>
      <c r="G112" s="29">
        <f>IF($A112="","",BDP($C112,"EQY_DVD_YLD_IND"))</f>
        <v/>
      </c>
      <c r="H112" s="29">
        <f>IF($A112="","",BDP($C112,'Field Check'!$C$4))</f>
        <v/>
      </c>
      <c r="I112" s="30">
        <f>IFERROR(IF($B112="","",$B112/$B$3),"")</f>
        <v/>
      </c>
      <c r="J112" s="30">
        <f>IFERROR(IF($I112="","",$I112*IFERROR($G112,0)/100),"")</f>
        <v/>
      </c>
      <c r="K112" s="30">
        <f>IFERROR(IF($J112="","",IF(ISNUMBER($H112),$J112*$H112/'Index Summary'!$C$7,"")),"")</f>
        <v/>
      </c>
      <c r="L112" s="30">
        <f>IFERROR(IF($K112="","",$J112-$K112),"")</f>
        <v/>
      </c>
      <c r="M112" s="31">
        <f>IF($C112="","",IF(NOT(ISNUMBER($G112)),"No dividend",IF($G112=0,"No dividend",IF(ISNUMBER($H112),"OK","Franking n/a"))))</f>
        <v/>
      </c>
    </row>
    <row r="113">
      <c r="A113" s="16" t="n"/>
      <c r="B113" s="16" t="n"/>
      <c r="C113" s="16">
        <f>IF($A113="","",$A113&amp;" Equity")</f>
        <v/>
      </c>
      <c r="D113" s="16">
        <f>IF($A113="","",BDP($C113,"NAME"))</f>
        <v/>
      </c>
      <c r="E113" s="32">
        <f>IF($A113="","",BDP($C113,"EQY_DVD_SH_12M"))</f>
        <v/>
      </c>
      <c r="F113" s="33">
        <f>IF($A113="","",BDP($C113,"EQY_DVD_YLD_12M"))</f>
        <v/>
      </c>
      <c r="G113" s="33">
        <f>IF($A113="","",BDP($C113,"EQY_DVD_YLD_IND"))</f>
        <v/>
      </c>
      <c r="H113" s="33">
        <f>IF($A113="","",BDP($C113,'Field Check'!$C$4))</f>
        <v/>
      </c>
      <c r="I113" s="34">
        <f>IFERROR(IF($B113="","",$B113/$B$3),"")</f>
        <v/>
      </c>
      <c r="J113" s="34">
        <f>IFERROR(IF($I113="","",$I113*IFERROR($G113,0)/100),"")</f>
        <v/>
      </c>
      <c r="K113" s="34">
        <f>IFERROR(IF($J113="","",IF(ISNUMBER($H113),$J113*$H113/'Index Summary'!$C$7,"")),"")</f>
        <v/>
      </c>
      <c r="L113" s="34">
        <f>IFERROR(IF($K113="","",$J113-$K113),"")</f>
        <v/>
      </c>
      <c r="M113" s="35">
        <f>IF($C113="","",IF(NOT(ISNUMBER($G113)),"No dividend",IF($G113=0,"No dividend",IF(ISNUMBER($H113),"OK","Franking n/a"))))</f>
        <v/>
      </c>
    </row>
    <row r="114">
      <c r="A114" s="27" t="n"/>
      <c r="B114" s="27" t="n"/>
      <c r="C114" s="27">
        <f>IF($A114="","",$A114&amp;" Equity")</f>
        <v/>
      </c>
      <c r="D114" s="27">
        <f>IF($A114="","",BDP($C114,"NAME"))</f>
        <v/>
      </c>
      <c r="E114" s="28">
        <f>IF($A114="","",BDP($C114,"EQY_DVD_SH_12M"))</f>
        <v/>
      </c>
      <c r="F114" s="29">
        <f>IF($A114="","",BDP($C114,"EQY_DVD_YLD_12M"))</f>
        <v/>
      </c>
      <c r="G114" s="29">
        <f>IF($A114="","",BDP($C114,"EQY_DVD_YLD_IND"))</f>
        <v/>
      </c>
      <c r="H114" s="29">
        <f>IF($A114="","",BDP($C114,'Field Check'!$C$4))</f>
        <v/>
      </c>
      <c r="I114" s="30">
        <f>IFERROR(IF($B114="","",$B114/$B$3),"")</f>
        <v/>
      </c>
      <c r="J114" s="30">
        <f>IFERROR(IF($I114="","",$I114*IFERROR($G114,0)/100),"")</f>
        <v/>
      </c>
      <c r="K114" s="30">
        <f>IFERROR(IF($J114="","",IF(ISNUMBER($H114),$J114*$H114/'Index Summary'!$C$7,"")),"")</f>
        <v/>
      </c>
      <c r="L114" s="30">
        <f>IFERROR(IF($K114="","",$J114-$K114),"")</f>
        <v/>
      </c>
      <c r="M114" s="31">
        <f>IF($C114="","",IF(NOT(ISNUMBER($G114)),"No dividend",IF($G114=0,"No dividend",IF(ISNUMBER($H114),"OK","Franking n/a"))))</f>
        <v/>
      </c>
    </row>
    <row r="115">
      <c r="A115" s="16" t="n"/>
      <c r="B115" s="16" t="n"/>
      <c r="C115" s="16">
        <f>IF($A115="","",$A115&amp;" Equity")</f>
        <v/>
      </c>
      <c r="D115" s="16">
        <f>IF($A115="","",BDP($C115,"NAME"))</f>
        <v/>
      </c>
      <c r="E115" s="32">
        <f>IF($A115="","",BDP($C115,"EQY_DVD_SH_12M"))</f>
        <v/>
      </c>
      <c r="F115" s="33">
        <f>IF($A115="","",BDP($C115,"EQY_DVD_YLD_12M"))</f>
        <v/>
      </c>
      <c r="G115" s="33">
        <f>IF($A115="","",BDP($C115,"EQY_DVD_YLD_IND"))</f>
        <v/>
      </c>
      <c r="H115" s="33">
        <f>IF($A115="","",BDP($C115,'Field Check'!$C$4))</f>
        <v/>
      </c>
      <c r="I115" s="34">
        <f>IFERROR(IF($B115="","",$B115/$B$3),"")</f>
        <v/>
      </c>
      <c r="J115" s="34">
        <f>IFERROR(IF($I115="","",$I115*IFERROR($G115,0)/100),"")</f>
        <v/>
      </c>
      <c r="K115" s="34">
        <f>IFERROR(IF($J115="","",IF(ISNUMBER($H115),$J115*$H115/'Index Summary'!$C$7,"")),"")</f>
        <v/>
      </c>
      <c r="L115" s="34">
        <f>IFERROR(IF($K115="","",$J115-$K115),"")</f>
        <v/>
      </c>
      <c r="M115" s="35">
        <f>IF($C115="","",IF(NOT(ISNUMBER($G115)),"No dividend",IF($G115=0,"No dividend",IF(ISNUMBER($H115),"OK","Franking n/a"))))</f>
        <v/>
      </c>
    </row>
    <row r="116">
      <c r="A116" s="27" t="n"/>
      <c r="B116" s="27" t="n"/>
      <c r="C116" s="27">
        <f>IF($A116="","",$A116&amp;" Equity")</f>
        <v/>
      </c>
      <c r="D116" s="27">
        <f>IF($A116="","",BDP($C116,"NAME"))</f>
        <v/>
      </c>
      <c r="E116" s="28">
        <f>IF($A116="","",BDP($C116,"EQY_DVD_SH_12M"))</f>
        <v/>
      </c>
      <c r="F116" s="29">
        <f>IF($A116="","",BDP($C116,"EQY_DVD_YLD_12M"))</f>
        <v/>
      </c>
      <c r="G116" s="29">
        <f>IF($A116="","",BDP($C116,"EQY_DVD_YLD_IND"))</f>
        <v/>
      </c>
      <c r="H116" s="29">
        <f>IF($A116="","",BDP($C116,'Field Check'!$C$4))</f>
        <v/>
      </c>
      <c r="I116" s="30">
        <f>IFERROR(IF($B116="","",$B116/$B$3),"")</f>
        <v/>
      </c>
      <c r="J116" s="30">
        <f>IFERROR(IF($I116="","",$I116*IFERROR($G116,0)/100),"")</f>
        <v/>
      </c>
      <c r="K116" s="30">
        <f>IFERROR(IF($J116="","",IF(ISNUMBER($H116),$J116*$H116/'Index Summary'!$C$7,"")),"")</f>
        <v/>
      </c>
      <c r="L116" s="30">
        <f>IFERROR(IF($K116="","",$J116-$K116),"")</f>
        <v/>
      </c>
      <c r="M116" s="31">
        <f>IF($C116="","",IF(NOT(ISNUMBER($G116)),"No dividend",IF($G116=0,"No dividend",IF(ISNUMBER($H116),"OK","Franking n/a"))))</f>
        <v/>
      </c>
    </row>
    <row r="117">
      <c r="A117" s="16" t="n"/>
      <c r="B117" s="16" t="n"/>
      <c r="C117" s="16">
        <f>IF($A117="","",$A117&amp;" Equity")</f>
        <v/>
      </c>
      <c r="D117" s="16">
        <f>IF($A117="","",BDP($C117,"NAME"))</f>
        <v/>
      </c>
      <c r="E117" s="32">
        <f>IF($A117="","",BDP($C117,"EQY_DVD_SH_12M"))</f>
        <v/>
      </c>
      <c r="F117" s="33">
        <f>IF($A117="","",BDP($C117,"EQY_DVD_YLD_12M"))</f>
        <v/>
      </c>
      <c r="G117" s="33">
        <f>IF($A117="","",BDP($C117,"EQY_DVD_YLD_IND"))</f>
        <v/>
      </c>
      <c r="H117" s="33">
        <f>IF($A117="","",BDP($C117,'Field Check'!$C$4))</f>
        <v/>
      </c>
      <c r="I117" s="34">
        <f>IFERROR(IF($B117="","",$B117/$B$3),"")</f>
        <v/>
      </c>
      <c r="J117" s="34">
        <f>IFERROR(IF($I117="","",$I117*IFERROR($G117,0)/100),"")</f>
        <v/>
      </c>
      <c r="K117" s="34">
        <f>IFERROR(IF($J117="","",IF(ISNUMBER($H117),$J117*$H117/'Index Summary'!$C$7,"")),"")</f>
        <v/>
      </c>
      <c r="L117" s="34">
        <f>IFERROR(IF($K117="","",$J117-$K117),"")</f>
        <v/>
      </c>
      <c r="M117" s="35">
        <f>IF($C117="","",IF(NOT(ISNUMBER($G117)),"No dividend",IF($G117=0,"No dividend",IF(ISNUMBER($H117),"OK","Franking n/a"))))</f>
        <v/>
      </c>
    </row>
    <row r="118">
      <c r="A118" s="27" t="n"/>
      <c r="B118" s="27" t="n"/>
      <c r="C118" s="27">
        <f>IF($A118="","",$A118&amp;" Equity")</f>
        <v/>
      </c>
      <c r="D118" s="27">
        <f>IF($A118="","",BDP($C118,"NAME"))</f>
        <v/>
      </c>
      <c r="E118" s="28">
        <f>IF($A118="","",BDP($C118,"EQY_DVD_SH_12M"))</f>
        <v/>
      </c>
      <c r="F118" s="29">
        <f>IF($A118="","",BDP($C118,"EQY_DVD_YLD_12M"))</f>
        <v/>
      </c>
      <c r="G118" s="29">
        <f>IF($A118="","",BDP($C118,"EQY_DVD_YLD_IND"))</f>
        <v/>
      </c>
      <c r="H118" s="29">
        <f>IF($A118="","",BDP($C118,'Field Check'!$C$4))</f>
        <v/>
      </c>
      <c r="I118" s="30">
        <f>IFERROR(IF($B118="","",$B118/$B$3),"")</f>
        <v/>
      </c>
      <c r="J118" s="30">
        <f>IFERROR(IF($I118="","",$I118*IFERROR($G118,0)/100),"")</f>
        <v/>
      </c>
      <c r="K118" s="30">
        <f>IFERROR(IF($J118="","",IF(ISNUMBER($H118),$J118*$H118/'Index Summary'!$C$7,"")),"")</f>
        <v/>
      </c>
      <c r="L118" s="30">
        <f>IFERROR(IF($K118="","",$J118-$K118),"")</f>
        <v/>
      </c>
      <c r="M118" s="31">
        <f>IF($C118="","",IF(NOT(ISNUMBER($G118)),"No dividend",IF($G118=0,"No dividend",IF(ISNUMBER($H118),"OK","Franking n/a"))))</f>
        <v/>
      </c>
    </row>
    <row r="119">
      <c r="A119" s="16" t="n"/>
      <c r="B119" s="16" t="n"/>
      <c r="C119" s="16">
        <f>IF($A119="","",$A119&amp;" Equity")</f>
        <v/>
      </c>
      <c r="D119" s="16">
        <f>IF($A119="","",BDP($C119,"NAME"))</f>
        <v/>
      </c>
      <c r="E119" s="32">
        <f>IF($A119="","",BDP($C119,"EQY_DVD_SH_12M"))</f>
        <v/>
      </c>
      <c r="F119" s="33">
        <f>IF($A119="","",BDP($C119,"EQY_DVD_YLD_12M"))</f>
        <v/>
      </c>
      <c r="G119" s="33">
        <f>IF($A119="","",BDP($C119,"EQY_DVD_YLD_IND"))</f>
        <v/>
      </c>
      <c r="H119" s="33">
        <f>IF($A119="","",BDP($C119,'Field Check'!$C$4))</f>
        <v/>
      </c>
      <c r="I119" s="34">
        <f>IFERROR(IF($B119="","",$B119/$B$3),"")</f>
        <v/>
      </c>
      <c r="J119" s="34">
        <f>IFERROR(IF($I119="","",$I119*IFERROR($G119,0)/100),"")</f>
        <v/>
      </c>
      <c r="K119" s="34">
        <f>IFERROR(IF($J119="","",IF(ISNUMBER($H119),$J119*$H119/'Index Summary'!$C$7,"")),"")</f>
        <v/>
      </c>
      <c r="L119" s="34">
        <f>IFERROR(IF($K119="","",$J119-$K119),"")</f>
        <v/>
      </c>
      <c r="M119" s="35">
        <f>IF($C119="","",IF(NOT(ISNUMBER($G119)),"No dividend",IF($G119=0,"No dividend",IF(ISNUMBER($H119),"OK","Franking n/a"))))</f>
        <v/>
      </c>
    </row>
    <row r="120">
      <c r="A120" s="27" t="n"/>
      <c r="B120" s="27" t="n"/>
      <c r="C120" s="27">
        <f>IF($A120="","",$A120&amp;" Equity")</f>
        <v/>
      </c>
      <c r="D120" s="27">
        <f>IF($A120="","",BDP($C120,"NAME"))</f>
        <v/>
      </c>
      <c r="E120" s="28">
        <f>IF($A120="","",BDP($C120,"EQY_DVD_SH_12M"))</f>
        <v/>
      </c>
      <c r="F120" s="29">
        <f>IF($A120="","",BDP($C120,"EQY_DVD_YLD_12M"))</f>
        <v/>
      </c>
      <c r="G120" s="29">
        <f>IF($A120="","",BDP($C120,"EQY_DVD_YLD_IND"))</f>
        <v/>
      </c>
      <c r="H120" s="29">
        <f>IF($A120="","",BDP($C120,'Field Check'!$C$4))</f>
        <v/>
      </c>
      <c r="I120" s="30">
        <f>IFERROR(IF($B120="","",$B120/$B$3),"")</f>
        <v/>
      </c>
      <c r="J120" s="30">
        <f>IFERROR(IF($I120="","",$I120*IFERROR($G120,0)/100),"")</f>
        <v/>
      </c>
      <c r="K120" s="30">
        <f>IFERROR(IF($J120="","",IF(ISNUMBER($H120),$J120*$H120/'Index Summary'!$C$7,"")),"")</f>
        <v/>
      </c>
      <c r="L120" s="30">
        <f>IFERROR(IF($K120="","",$J120-$K120),"")</f>
        <v/>
      </c>
      <c r="M120" s="31">
        <f>IF($C120="","",IF(NOT(ISNUMBER($G120)),"No dividend",IF($G120=0,"No dividend",IF(ISNUMBER($H120),"OK","Franking n/a"))))</f>
        <v/>
      </c>
    </row>
    <row r="121">
      <c r="A121" s="16" t="n"/>
      <c r="B121" s="16" t="n"/>
      <c r="C121" s="16">
        <f>IF($A121="","",$A121&amp;" Equity")</f>
        <v/>
      </c>
      <c r="D121" s="16">
        <f>IF($A121="","",BDP($C121,"NAME"))</f>
        <v/>
      </c>
      <c r="E121" s="32">
        <f>IF($A121="","",BDP($C121,"EQY_DVD_SH_12M"))</f>
        <v/>
      </c>
      <c r="F121" s="33">
        <f>IF($A121="","",BDP($C121,"EQY_DVD_YLD_12M"))</f>
        <v/>
      </c>
      <c r="G121" s="33">
        <f>IF($A121="","",BDP($C121,"EQY_DVD_YLD_IND"))</f>
        <v/>
      </c>
      <c r="H121" s="33">
        <f>IF($A121="","",BDP($C121,'Field Check'!$C$4))</f>
        <v/>
      </c>
      <c r="I121" s="34">
        <f>IFERROR(IF($B121="","",$B121/$B$3),"")</f>
        <v/>
      </c>
      <c r="J121" s="34">
        <f>IFERROR(IF($I121="","",$I121*IFERROR($G121,0)/100),"")</f>
        <v/>
      </c>
      <c r="K121" s="34">
        <f>IFERROR(IF($J121="","",IF(ISNUMBER($H121),$J121*$H121/'Index Summary'!$C$7,"")),"")</f>
        <v/>
      </c>
      <c r="L121" s="34">
        <f>IFERROR(IF($K121="","",$J121-$K121),"")</f>
        <v/>
      </c>
      <c r="M121" s="35">
        <f>IF($C121="","",IF(NOT(ISNUMBER($G121)),"No dividend",IF($G121=0,"No dividend",IF(ISNUMBER($H121),"OK","Franking n/a"))))</f>
        <v/>
      </c>
    </row>
    <row r="122">
      <c r="A122" s="27" t="n"/>
      <c r="B122" s="27" t="n"/>
      <c r="C122" s="27">
        <f>IF($A122="","",$A122&amp;" Equity")</f>
        <v/>
      </c>
      <c r="D122" s="27">
        <f>IF($A122="","",BDP($C122,"NAME"))</f>
        <v/>
      </c>
      <c r="E122" s="28">
        <f>IF($A122="","",BDP($C122,"EQY_DVD_SH_12M"))</f>
        <v/>
      </c>
      <c r="F122" s="29">
        <f>IF($A122="","",BDP($C122,"EQY_DVD_YLD_12M"))</f>
        <v/>
      </c>
      <c r="G122" s="29">
        <f>IF($A122="","",BDP($C122,"EQY_DVD_YLD_IND"))</f>
        <v/>
      </c>
      <c r="H122" s="29">
        <f>IF($A122="","",BDP($C122,'Field Check'!$C$4))</f>
        <v/>
      </c>
      <c r="I122" s="30">
        <f>IFERROR(IF($B122="","",$B122/$B$3),"")</f>
        <v/>
      </c>
      <c r="J122" s="30">
        <f>IFERROR(IF($I122="","",$I122*IFERROR($G122,0)/100),"")</f>
        <v/>
      </c>
      <c r="K122" s="30">
        <f>IFERROR(IF($J122="","",IF(ISNUMBER($H122),$J122*$H122/'Index Summary'!$C$7,"")),"")</f>
        <v/>
      </c>
      <c r="L122" s="30">
        <f>IFERROR(IF($K122="","",$J122-$K122),"")</f>
        <v/>
      </c>
      <c r="M122" s="31">
        <f>IF($C122="","",IF(NOT(ISNUMBER($G122)),"No dividend",IF($G122=0,"No dividend",IF(ISNUMBER($H122),"OK","Franking n/a"))))</f>
        <v/>
      </c>
    </row>
    <row r="123">
      <c r="A123" s="16" t="n"/>
      <c r="B123" s="16" t="n"/>
      <c r="C123" s="16">
        <f>IF($A123="","",$A123&amp;" Equity")</f>
        <v/>
      </c>
      <c r="D123" s="16">
        <f>IF($A123="","",BDP($C123,"NAME"))</f>
        <v/>
      </c>
      <c r="E123" s="32">
        <f>IF($A123="","",BDP($C123,"EQY_DVD_SH_12M"))</f>
        <v/>
      </c>
      <c r="F123" s="33">
        <f>IF($A123="","",BDP($C123,"EQY_DVD_YLD_12M"))</f>
        <v/>
      </c>
      <c r="G123" s="33">
        <f>IF($A123="","",BDP($C123,"EQY_DVD_YLD_IND"))</f>
        <v/>
      </c>
      <c r="H123" s="33">
        <f>IF($A123="","",BDP($C123,'Field Check'!$C$4))</f>
        <v/>
      </c>
      <c r="I123" s="34">
        <f>IFERROR(IF($B123="","",$B123/$B$3),"")</f>
        <v/>
      </c>
      <c r="J123" s="34">
        <f>IFERROR(IF($I123="","",$I123*IFERROR($G123,0)/100),"")</f>
        <v/>
      </c>
      <c r="K123" s="34">
        <f>IFERROR(IF($J123="","",IF(ISNUMBER($H123),$J123*$H123/'Index Summary'!$C$7,"")),"")</f>
        <v/>
      </c>
      <c r="L123" s="34">
        <f>IFERROR(IF($K123="","",$J123-$K123),"")</f>
        <v/>
      </c>
      <c r="M123" s="35">
        <f>IF($C123="","",IF(NOT(ISNUMBER($G123)),"No dividend",IF($G123=0,"No dividend",IF(ISNUMBER($H123),"OK","Franking n/a"))))</f>
        <v/>
      </c>
    </row>
    <row r="124">
      <c r="A124" s="27" t="n"/>
      <c r="B124" s="27" t="n"/>
      <c r="C124" s="27">
        <f>IF($A124="","",$A124&amp;" Equity")</f>
        <v/>
      </c>
      <c r="D124" s="27">
        <f>IF($A124="","",BDP($C124,"NAME"))</f>
        <v/>
      </c>
      <c r="E124" s="28">
        <f>IF($A124="","",BDP($C124,"EQY_DVD_SH_12M"))</f>
        <v/>
      </c>
      <c r="F124" s="29">
        <f>IF($A124="","",BDP($C124,"EQY_DVD_YLD_12M"))</f>
        <v/>
      </c>
      <c r="G124" s="29">
        <f>IF($A124="","",BDP($C124,"EQY_DVD_YLD_IND"))</f>
        <v/>
      </c>
      <c r="H124" s="29">
        <f>IF($A124="","",BDP($C124,'Field Check'!$C$4))</f>
        <v/>
      </c>
      <c r="I124" s="30">
        <f>IFERROR(IF($B124="","",$B124/$B$3),"")</f>
        <v/>
      </c>
      <c r="J124" s="30">
        <f>IFERROR(IF($I124="","",$I124*IFERROR($G124,0)/100),"")</f>
        <v/>
      </c>
      <c r="K124" s="30">
        <f>IFERROR(IF($J124="","",IF(ISNUMBER($H124),$J124*$H124/'Index Summary'!$C$7,"")),"")</f>
        <v/>
      </c>
      <c r="L124" s="30">
        <f>IFERROR(IF($K124="","",$J124-$K124),"")</f>
        <v/>
      </c>
      <c r="M124" s="31">
        <f>IF($C124="","",IF(NOT(ISNUMBER($G124)),"No dividend",IF($G124=0,"No dividend",IF(ISNUMBER($H124),"OK","Franking n/a"))))</f>
        <v/>
      </c>
    </row>
    <row r="125">
      <c r="A125" s="16" t="n"/>
      <c r="B125" s="16" t="n"/>
      <c r="C125" s="16">
        <f>IF($A125="","",$A125&amp;" Equity")</f>
        <v/>
      </c>
      <c r="D125" s="16">
        <f>IF($A125="","",BDP($C125,"NAME"))</f>
        <v/>
      </c>
      <c r="E125" s="32">
        <f>IF($A125="","",BDP($C125,"EQY_DVD_SH_12M"))</f>
        <v/>
      </c>
      <c r="F125" s="33">
        <f>IF($A125="","",BDP($C125,"EQY_DVD_YLD_12M"))</f>
        <v/>
      </c>
      <c r="G125" s="33">
        <f>IF($A125="","",BDP($C125,"EQY_DVD_YLD_IND"))</f>
        <v/>
      </c>
      <c r="H125" s="33">
        <f>IF($A125="","",BDP($C125,'Field Check'!$C$4))</f>
        <v/>
      </c>
      <c r="I125" s="34">
        <f>IFERROR(IF($B125="","",$B125/$B$3),"")</f>
        <v/>
      </c>
      <c r="J125" s="34">
        <f>IFERROR(IF($I125="","",$I125*IFERROR($G125,0)/100),"")</f>
        <v/>
      </c>
      <c r="K125" s="34">
        <f>IFERROR(IF($J125="","",IF(ISNUMBER($H125),$J125*$H125/'Index Summary'!$C$7,"")),"")</f>
        <v/>
      </c>
      <c r="L125" s="34">
        <f>IFERROR(IF($K125="","",$J125-$K125),"")</f>
        <v/>
      </c>
      <c r="M125" s="35">
        <f>IF($C125="","",IF(NOT(ISNUMBER($G125)),"No dividend",IF($G125=0,"No dividend",IF(ISNUMBER($H125),"OK","Franking n/a"))))</f>
        <v/>
      </c>
    </row>
    <row r="126">
      <c r="A126" s="27" t="n"/>
      <c r="B126" s="27" t="n"/>
      <c r="C126" s="27">
        <f>IF($A126="","",$A126&amp;" Equity")</f>
        <v/>
      </c>
      <c r="D126" s="27">
        <f>IF($A126="","",BDP($C126,"NAME"))</f>
        <v/>
      </c>
      <c r="E126" s="28">
        <f>IF($A126="","",BDP($C126,"EQY_DVD_SH_12M"))</f>
        <v/>
      </c>
      <c r="F126" s="29">
        <f>IF($A126="","",BDP($C126,"EQY_DVD_YLD_12M"))</f>
        <v/>
      </c>
      <c r="G126" s="29">
        <f>IF($A126="","",BDP($C126,"EQY_DVD_YLD_IND"))</f>
        <v/>
      </c>
      <c r="H126" s="29">
        <f>IF($A126="","",BDP($C126,'Field Check'!$C$4))</f>
        <v/>
      </c>
      <c r="I126" s="30">
        <f>IFERROR(IF($B126="","",$B126/$B$3),"")</f>
        <v/>
      </c>
      <c r="J126" s="30">
        <f>IFERROR(IF($I126="","",$I126*IFERROR($G126,0)/100),"")</f>
        <v/>
      </c>
      <c r="K126" s="30">
        <f>IFERROR(IF($J126="","",IF(ISNUMBER($H126),$J126*$H126/'Index Summary'!$C$7,"")),"")</f>
        <v/>
      </c>
      <c r="L126" s="30">
        <f>IFERROR(IF($K126="","",$J126-$K126),"")</f>
        <v/>
      </c>
      <c r="M126" s="31">
        <f>IF($C126="","",IF(NOT(ISNUMBER($G126)),"No dividend",IF($G126=0,"No dividend",IF(ISNUMBER($H126),"OK","Franking n/a"))))</f>
        <v/>
      </c>
    </row>
    <row r="127">
      <c r="A127" s="16" t="n"/>
      <c r="B127" s="16" t="n"/>
      <c r="C127" s="16">
        <f>IF($A127="","",$A127&amp;" Equity")</f>
        <v/>
      </c>
      <c r="D127" s="16">
        <f>IF($A127="","",BDP($C127,"NAME"))</f>
        <v/>
      </c>
      <c r="E127" s="32">
        <f>IF($A127="","",BDP($C127,"EQY_DVD_SH_12M"))</f>
        <v/>
      </c>
      <c r="F127" s="33">
        <f>IF($A127="","",BDP($C127,"EQY_DVD_YLD_12M"))</f>
        <v/>
      </c>
      <c r="G127" s="33">
        <f>IF($A127="","",BDP($C127,"EQY_DVD_YLD_IND"))</f>
        <v/>
      </c>
      <c r="H127" s="33">
        <f>IF($A127="","",BDP($C127,'Field Check'!$C$4))</f>
        <v/>
      </c>
      <c r="I127" s="34">
        <f>IFERROR(IF($B127="","",$B127/$B$3),"")</f>
        <v/>
      </c>
      <c r="J127" s="34">
        <f>IFERROR(IF($I127="","",$I127*IFERROR($G127,0)/100),"")</f>
        <v/>
      </c>
      <c r="K127" s="34">
        <f>IFERROR(IF($J127="","",IF(ISNUMBER($H127),$J127*$H127/'Index Summary'!$C$7,"")),"")</f>
        <v/>
      </c>
      <c r="L127" s="34">
        <f>IFERROR(IF($K127="","",$J127-$K127),"")</f>
        <v/>
      </c>
      <c r="M127" s="35">
        <f>IF($C127="","",IF(NOT(ISNUMBER($G127)),"No dividend",IF($G127=0,"No dividend",IF(ISNUMBER($H127),"OK","Franking n/a"))))</f>
        <v/>
      </c>
    </row>
    <row r="128">
      <c r="A128" s="27" t="n"/>
      <c r="B128" s="27" t="n"/>
      <c r="C128" s="27">
        <f>IF($A128="","",$A128&amp;" Equity")</f>
        <v/>
      </c>
      <c r="D128" s="27">
        <f>IF($A128="","",BDP($C128,"NAME"))</f>
        <v/>
      </c>
      <c r="E128" s="28">
        <f>IF($A128="","",BDP($C128,"EQY_DVD_SH_12M"))</f>
        <v/>
      </c>
      <c r="F128" s="29">
        <f>IF($A128="","",BDP($C128,"EQY_DVD_YLD_12M"))</f>
        <v/>
      </c>
      <c r="G128" s="29">
        <f>IF($A128="","",BDP($C128,"EQY_DVD_YLD_IND"))</f>
        <v/>
      </c>
      <c r="H128" s="29">
        <f>IF($A128="","",BDP($C128,'Field Check'!$C$4))</f>
        <v/>
      </c>
      <c r="I128" s="30">
        <f>IFERROR(IF($B128="","",$B128/$B$3),"")</f>
        <v/>
      </c>
      <c r="J128" s="30">
        <f>IFERROR(IF($I128="","",$I128*IFERROR($G128,0)/100),"")</f>
        <v/>
      </c>
      <c r="K128" s="30">
        <f>IFERROR(IF($J128="","",IF(ISNUMBER($H128),$J128*$H128/'Index Summary'!$C$7,"")),"")</f>
        <v/>
      </c>
      <c r="L128" s="30">
        <f>IFERROR(IF($K128="","",$J128-$K128),"")</f>
        <v/>
      </c>
      <c r="M128" s="31">
        <f>IF($C128="","",IF(NOT(ISNUMBER($G128)),"No dividend",IF($G128=0,"No dividend",IF(ISNUMBER($H128),"OK","Franking n/a"))))</f>
        <v/>
      </c>
    </row>
    <row r="129">
      <c r="A129" s="16" t="n"/>
      <c r="B129" s="16" t="n"/>
      <c r="C129" s="16">
        <f>IF($A129="","",$A129&amp;" Equity")</f>
        <v/>
      </c>
      <c r="D129" s="16">
        <f>IF($A129="","",BDP($C129,"NAME"))</f>
        <v/>
      </c>
      <c r="E129" s="32">
        <f>IF($A129="","",BDP($C129,"EQY_DVD_SH_12M"))</f>
        <v/>
      </c>
      <c r="F129" s="33">
        <f>IF($A129="","",BDP($C129,"EQY_DVD_YLD_12M"))</f>
        <v/>
      </c>
      <c r="G129" s="33">
        <f>IF($A129="","",BDP($C129,"EQY_DVD_YLD_IND"))</f>
        <v/>
      </c>
      <c r="H129" s="33">
        <f>IF($A129="","",BDP($C129,'Field Check'!$C$4))</f>
        <v/>
      </c>
      <c r="I129" s="34">
        <f>IFERROR(IF($B129="","",$B129/$B$3),"")</f>
        <v/>
      </c>
      <c r="J129" s="34">
        <f>IFERROR(IF($I129="","",$I129*IFERROR($G129,0)/100),"")</f>
        <v/>
      </c>
      <c r="K129" s="34">
        <f>IFERROR(IF($J129="","",IF(ISNUMBER($H129),$J129*$H129/'Index Summary'!$C$7,"")),"")</f>
        <v/>
      </c>
      <c r="L129" s="34">
        <f>IFERROR(IF($K129="","",$J129-$K129),"")</f>
        <v/>
      </c>
      <c r="M129" s="35">
        <f>IF($C129="","",IF(NOT(ISNUMBER($G129)),"No dividend",IF($G129=0,"No dividend",IF(ISNUMBER($H129),"OK","Franking n/a"))))</f>
        <v/>
      </c>
    </row>
    <row r="130">
      <c r="A130" s="27" t="n"/>
      <c r="B130" s="27" t="n"/>
      <c r="C130" s="27">
        <f>IF($A130="","",$A130&amp;" Equity")</f>
        <v/>
      </c>
      <c r="D130" s="27">
        <f>IF($A130="","",BDP($C130,"NAME"))</f>
        <v/>
      </c>
      <c r="E130" s="28">
        <f>IF($A130="","",BDP($C130,"EQY_DVD_SH_12M"))</f>
        <v/>
      </c>
      <c r="F130" s="29">
        <f>IF($A130="","",BDP($C130,"EQY_DVD_YLD_12M"))</f>
        <v/>
      </c>
      <c r="G130" s="29">
        <f>IF($A130="","",BDP($C130,"EQY_DVD_YLD_IND"))</f>
        <v/>
      </c>
      <c r="H130" s="29">
        <f>IF($A130="","",BDP($C130,'Field Check'!$C$4))</f>
        <v/>
      </c>
      <c r="I130" s="30">
        <f>IFERROR(IF($B130="","",$B130/$B$3),"")</f>
        <v/>
      </c>
      <c r="J130" s="30">
        <f>IFERROR(IF($I130="","",$I130*IFERROR($G130,0)/100),"")</f>
        <v/>
      </c>
      <c r="K130" s="30">
        <f>IFERROR(IF($J130="","",IF(ISNUMBER($H130),$J130*$H130/'Index Summary'!$C$7,"")),"")</f>
        <v/>
      </c>
      <c r="L130" s="30">
        <f>IFERROR(IF($K130="","",$J130-$K130),"")</f>
        <v/>
      </c>
      <c r="M130" s="31">
        <f>IF($C130="","",IF(NOT(ISNUMBER($G130)),"No dividend",IF($G130=0,"No dividend",IF(ISNUMBER($H130),"OK","Franking n/a"))))</f>
        <v/>
      </c>
    </row>
    <row r="131">
      <c r="A131" s="16" t="n"/>
      <c r="B131" s="16" t="n"/>
      <c r="C131" s="16">
        <f>IF($A131="","",$A131&amp;" Equity")</f>
        <v/>
      </c>
      <c r="D131" s="16">
        <f>IF($A131="","",BDP($C131,"NAME"))</f>
        <v/>
      </c>
      <c r="E131" s="32">
        <f>IF($A131="","",BDP($C131,"EQY_DVD_SH_12M"))</f>
        <v/>
      </c>
      <c r="F131" s="33">
        <f>IF($A131="","",BDP($C131,"EQY_DVD_YLD_12M"))</f>
        <v/>
      </c>
      <c r="G131" s="33">
        <f>IF($A131="","",BDP($C131,"EQY_DVD_YLD_IND"))</f>
        <v/>
      </c>
      <c r="H131" s="33">
        <f>IF($A131="","",BDP($C131,'Field Check'!$C$4))</f>
        <v/>
      </c>
      <c r="I131" s="34">
        <f>IFERROR(IF($B131="","",$B131/$B$3),"")</f>
        <v/>
      </c>
      <c r="J131" s="34">
        <f>IFERROR(IF($I131="","",$I131*IFERROR($G131,0)/100),"")</f>
        <v/>
      </c>
      <c r="K131" s="34">
        <f>IFERROR(IF($J131="","",IF(ISNUMBER($H131),$J131*$H131/'Index Summary'!$C$7,"")),"")</f>
        <v/>
      </c>
      <c r="L131" s="34">
        <f>IFERROR(IF($K131="","",$J131-$K131),"")</f>
        <v/>
      </c>
      <c r="M131" s="35">
        <f>IF($C131="","",IF(NOT(ISNUMBER($G131)),"No dividend",IF($G131=0,"No dividend",IF(ISNUMBER($H131),"OK","Franking n/a"))))</f>
        <v/>
      </c>
    </row>
    <row r="132">
      <c r="A132" s="27" t="n"/>
      <c r="B132" s="27" t="n"/>
      <c r="C132" s="27">
        <f>IF($A132="","",$A132&amp;" Equity")</f>
        <v/>
      </c>
      <c r="D132" s="27">
        <f>IF($A132="","",BDP($C132,"NAME"))</f>
        <v/>
      </c>
      <c r="E132" s="28">
        <f>IF($A132="","",BDP($C132,"EQY_DVD_SH_12M"))</f>
        <v/>
      </c>
      <c r="F132" s="29">
        <f>IF($A132="","",BDP($C132,"EQY_DVD_YLD_12M"))</f>
        <v/>
      </c>
      <c r="G132" s="29">
        <f>IF($A132="","",BDP($C132,"EQY_DVD_YLD_IND"))</f>
        <v/>
      </c>
      <c r="H132" s="29">
        <f>IF($A132="","",BDP($C132,'Field Check'!$C$4))</f>
        <v/>
      </c>
      <c r="I132" s="30">
        <f>IFERROR(IF($B132="","",$B132/$B$3),"")</f>
        <v/>
      </c>
      <c r="J132" s="30">
        <f>IFERROR(IF($I132="","",$I132*IFERROR($G132,0)/100),"")</f>
        <v/>
      </c>
      <c r="K132" s="30">
        <f>IFERROR(IF($J132="","",IF(ISNUMBER($H132),$J132*$H132/'Index Summary'!$C$7,"")),"")</f>
        <v/>
      </c>
      <c r="L132" s="30">
        <f>IFERROR(IF($K132="","",$J132-$K132),"")</f>
        <v/>
      </c>
      <c r="M132" s="31">
        <f>IF($C132="","",IF(NOT(ISNUMBER($G132)),"No dividend",IF($G132=0,"No dividend",IF(ISNUMBER($H132),"OK","Franking n/a"))))</f>
        <v/>
      </c>
    </row>
    <row r="133">
      <c r="A133" s="16" t="n"/>
      <c r="B133" s="16" t="n"/>
      <c r="C133" s="16">
        <f>IF($A133="","",$A133&amp;" Equity")</f>
        <v/>
      </c>
      <c r="D133" s="16">
        <f>IF($A133="","",BDP($C133,"NAME"))</f>
        <v/>
      </c>
      <c r="E133" s="32">
        <f>IF($A133="","",BDP($C133,"EQY_DVD_SH_12M"))</f>
        <v/>
      </c>
      <c r="F133" s="33">
        <f>IF($A133="","",BDP($C133,"EQY_DVD_YLD_12M"))</f>
        <v/>
      </c>
      <c r="G133" s="33">
        <f>IF($A133="","",BDP($C133,"EQY_DVD_YLD_IND"))</f>
        <v/>
      </c>
      <c r="H133" s="33">
        <f>IF($A133="","",BDP($C133,'Field Check'!$C$4))</f>
        <v/>
      </c>
      <c r="I133" s="34">
        <f>IFERROR(IF($B133="","",$B133/$B$3),"")</f>
        <v/>
      </c>
      <c r="J133" s="34">
        <f>IFERROR(IF($I133="","",$I133*IFERROR($G133,0)/100),"")</f>
        <v/>
      </c>
      <c r="K133" s="34">
        <f>IFERROR(IF($J133="","",IF(ISNUMBER($H133),$J133*$H133/'Index Summary'!$C$7,"")),"")</f>
        <v/>
      </c>
      <c r="L133" s="34">
        <f>IFERROR(IF($K133="","",$J133-$K133),"")</f>
        <v/>
      </c>
      <c r="M133" s="35">
        <f>IF($C133="","",IF(NOT(ISNUMBER($G133)),"No dividend",IF($G133=0,"No dividend",IF(ISNUMBER($H133),"OK","Franking n/a"))))</f>
        <v/>
      </c>
    </row>
    <row r="134">
      <c r="A134" s="27" t="n"/>
      <c r="B134" s="27" t="n"/>
      <c r="C134" s="27">
        <f>IF($A134="","",$A134&amp;" Equity")</f>
        <v/>
      </c>
      <c r="D134" s="27">
        <f>IF($A134="","",BDP($C134,"NAME"))</f>
        <v/>
      </c>
      <c r="E134" s="28">
        <f>IF($A134="","",BDP($C134,"EQY_DVD_SH_12M"))</f>
        <v/>
      </c>
      <c r="F134" s="29">
        <f>IF($A134="","",BDP($C134,"EQY_DVD_YLD_12M"))</f>
        <v/>
      </c>
      <c r="G134" s="29">
        <f>IF($A134="","",BDP($C134,"EQY_DVD_YLD_IND"))</f>
        <v/>
      </c>
      <c r="H134" s="29">
        <f>IF($A134="","",BDP($C134,'Field Check'!$C$4))</f>
        <v/>
      </c>
      <c r="I134" s="30">
        <f>IFERROR(IF($B134="","",$B134/$B$3),"")</f>
        <v/>
      </c>
      <c r="J134" s="30">
        <f>IFERROR(IF($I134="","",$I134*IFERROR($G134,0)/100),"")</f>
        <v/>
      </c>
      <c r="K134" s="30">
        <f>IFERROR(IF($J134="","",IF(ISNUMBER($H134),$J134*$H134/'Index Summary'!$C$7,"")),"")</f>
        <v/>
      </c>
      <c r="L134" s="30">
        <f>IFERROR(IF($K134="","",$J134-$K134),"")</f>
        <v/>
      </c>
      <c r="M134" s="31">
        <f>IF($C134="","",IF(NOT(ISNUMBER($G134)),"No dividend",IF($G134=0,"No dividend",IF(ISNUMBER($H134),"OK","Franking n/a"))))</f>
        <v/>
      </c>
    </row>
    <row r="135">
      <c r="A135" s="16" t="n"/>
      <c r="B135" s="16" t="n"/>
      <c r="C135" s="16">
        <f>IF($A135="","",$A135&amp;" Equity")</f>
        <v/>
      </c>
      <c r="D135" s="16">
        <f>IF($A135="","",BDP($C135,"NAME"))</f>
        <v/>
      </c>
      <c r="E135" s="32">
        <f>IF($A135="","",BDP($C135,"EQY_DVD_SH_12M"))</f>
        <v/>
      </c>
      <c r="F135" s="33">
        <f>IF($A135="","",BDP($C135,"EQY_DVD_YLD_12M"))</f>
        <v/>
      </c>
      <c r="G135" s="33">
        <f>IF($A135="","",BDP($C135,"EQY_DVD_YLD_IND"))</f>
        <v/>
      </c>
      <c r="H135" s="33">
        <f>IF($A135="","",BDP($C135,'Field Check'!$C$4))</f>
        <v/>
      </c>
      <c r="I135" s="34">
        <f>IFERROR(IF($B135="","",$B135/$B$3),"")</f>
        <v/>
      </c>
      <c r="J135" s="34">
        <f>IFERROR(IF($I135="","",$I135*IFERROR($G135,0)/100),"")</f>
        <v/>
      </c>
      <c r="K135" s="34">
        <f>IFERROR(IF($J135="","",IF(ISNUMBER($H135),$J135*$H135/'Index Summary'!$C$7,"")),"")</f>
        <v/>
      </c>
      <c r="L135" s="34">
        <f>IFERROR(IF($K135="","",$J135-$K135),"")</f>
        <v/>
      </c>
      <c r="M135" s="35">
        <f>IF($C135="","",IF(NOT(ISNUMBER($G135)),"No dividend",IF($G135=0,"No dividend",IF(ISNUMBER($H135),"OK","Franking n/a"))))</f>
        <v/>
      </c>
    </row>
    <row r="136">
      <c r="A136" s="27" t="n"/>
      <c r="B136" s="27" t="n"/>
      <c r="C136" s="27">
        <f>IF($A136="","",$A136&amp;" Equity")</f>
        <v/>
      </c>
      <c r="D136" s="27">
        <f>IF($A136="","",BDP($C136,"NAME"))</f>
        <v/>
      </c>
      <c r="E136" s="28">
        <f>IF($A136="","",BDP($C136,"EQY_DVD_SH_12M"))</f>
        <v/>
      </c>
      <c r="F136" s="29">
        <f>IF($A136="","",BDP($C136,"EQY_DVD_YLD_12M"))</f>
        <v/>
      </c>
      <c r="G136" s="29">
        <f>IF($A136="","",BDP($C136,"EQY_DVD_YLD_IND"))</f>
        <v/>
      </c>
      <c r="H136" s="29">
        <f>IF($A136="","",BDP($C136,'Field Check'!$C$4))</f>
        <v/>
      </c>
      <c r="I136" s="30">
        <f>IFERROR(IF($B136="","",$B136/$B$3),"")</f>
        <v/>
      </c>
      <c r="J136" s="30">
        <f>IFERROR(IF($I136="","",$I136*IFERROR($G136,0)/100),"")</f>
        <v/>
      </c>
      <c r="K136" s="30">
        <f>IFERROR(IF($J136="","",IF(ISNUMBER($H136),$J136*$H136/'Index Summary'!$C$7,"")),"")</f>
        <v/>
      </c>
      <c r="L136" s="30">
        <f>IFERROR(IF($K136="","",$J136-$K136),"")</f>
        <v/>
      </c>
      <c r="M136" s="31">
        <f>IF($C136="","",IF(NOT(ISNUMBER($G136)),"No dividend",IF($G136=0,"No dividend",IF(ISNUMBER($H136),"OK","Franking n/a"))))</f>
        <v/>
      </c>
    </row>
    <row r="137">
      <c r="A137" s="16" t="n"/>
      <c r="B137" s="16" t="n"/>
      <c r="C137" s="16">
        <f>IF($A137="","",$A137&amp;" Equity")</f>
        <v/>
      </c>
      <c r="D137" s="16">
        <f>IF($A137="","",BDP($C137,"NAME"))</f>
        <v/>
      </c>
      <c r="E137" s="32">
        <f>IF($A137="","",BDP($C137,"EQY_DVD_SH_12M"))</f>
        <v/>
      </c>
      <c r="F137" s="33">
        <f>IF($A137="","",BDP($C137,"EQY_DVD_YLD_12M"))</f>
        <v/>
      </c>
      <c r="G137" s="33">
        <f>IF($A137="","",BDP($C137,"EQY_DVD_YLD_IND"))</f>
        <v/>
      </c>
      <c r="H137" s="33">
        <f>IF($A137="","",BDP($C137,'Field Check'!$C$4))</f>
        <v/>
      </c>
      <c r="I137" s="34">
        <f>IFERROR(IF($B137="","",$B137/$B$3),"")</f>
        <v/>
      </c>
      <c r="J137" s="34">
        <f>IFERROR(IF($I137="","",$I137*IFERROR($G137,0)/100),"")</f>
        <v/>
      </c>
      <c r="K137" s="34">
        <f>IFERROR(IF($J137="","",IF(ISNUMBER($H137),$J137*$H137/'Index Summary'!$C$7,"")),"")</f>
        <v/>
      </c>
      <c r="L137" s="34">
        <f>IFERROR(IF($K137="","",$J137-$K137),"")</f>
        <v/>
      </c>
      <c r="M137" s="35">
        <f>IF($C137="","",IF(NOT(ISNUMBER($G137)),"No dividend",IF($G137=0,"No dividend",IF(ISNUMBER($H137),"OK","Franking n/a"))))</f>
        <v/>
      </c>
    </row>
    <row r="138">
      <c r="A138" s="27" t="n"/>
      <c r="B138" s="27" t="n"/>
      <c r="C138" s="27">
        <f>IF($A138="","",$A138&amp;" Equity")</f>
        <v/>
      </c>
      <c r="D138" s="27">
        <f>IF($A138="","",BDP($C138,"NAME"))</f>
        <v/>
      </c>
      <c r="E138" s="28">
        <f>IF($A138="","",BDP($C138,"EQY_DVD_SH_12M"))</f>
        <v/>
      </c>
      <c r="F138" s="29">
        <f>IF($A138="","",BDP($C138,"EQY_DVD_YLD_12M"))</f>
        <v/>
      </c>
      <c r="G138" s="29">
        <f>IF($A138="","",BDP($C138,"EQY_DVD_YLD_IND"))</f>
        <v/>
      </c>
      <c r="H138" s="29">
        <f>IF($A138="","",BDP($C138,'Field Check'!$C$4))</f>
        <v/>
      </c>
      <c r="I138" s="30">
        <f>IFERROR(IF($B138="","",$B138/$B$3),"")</f>
        <v/>
      </c>
      <c r="J138" s="30">
        <f>IFERROR(IF($I138="","",$I138*IFERROR($G138,0)/100),"")</f>
        <v/>
      </c>
      <c r="K138" s="30">
        <f>IFERROR(IF($J138="","",IF(ISNUMBER($H138),$J138*$H138/'Index Summary'!$C$7,"")),"")</f>
        <v/>
      </c>
      <c r="L138" s="30">
        <f>IFERROR(IF($K138="","",$J138-$K138),"")</f>
        <v/>
      </c>
      <c r="M138" s="31">
        <f>IF($C138="","",IF(NOT(ISNUMBER($G138)),"No dividend",IF($G138=0,"No dividend",IF(ISNUMBER($H138),"OK","Franking n/a"))))</f>
        <v/>
      </c>
    </row>
    <row r="139">
      <c r="A139" s="16" t="n"/>
      <c r="B139" s="16" t="n"/>
      <c r="C139" s="16">
        <f>IF($A139="","",$A139&amp;" Equity")</f>
        <v/>
      </c>
      <c r="D139" s="16">
        <f>IF($A139="","",BDP($C139,"NAME"))</f>
        <v/>
      </c>
      <c r="E139" s="32">
        <f>IF($A139="","",BDP($C139,"EQY_DVD_SH_12M"))</f>
        <v/>
      </c>
      <c r="F139" s="33">
        <f>IF($A139="","",BDP($C139,"EQY_DVD_YLD_12M"))</f>
        <v/>
      </c>
      <c r="G139" s="33">
        <f>IF($A139="","",BDP($C139,"EQY_DVD_YLD_IND"))</f>
        <v/>
      </c>
      <c r="H139" s="33">
        <f>IF($A139="","",BDP($C139,'Field Check'!$C$4))</f>
        <v/>
      </c>
      <c r="I139" s="34">
        <f>IFERROR(IF($B139="","",$B139/$B$3),"")</f>
        <v/>
      </c>
      <c r="J139" s="34">
        <f>IFERROR(IF($I139="","",$I139*IFERROR($G139,0)/100),"")</f>
        <v/>
      </c>
      <c r="K139" s="34">
        <f>IFERROR(IF($J139="","",IF(ISNUMBER($H139),$J139*$H139/'Index Summary'!$C$7,"")),"")</f>
        <v/>
      </c>
      <c r="L139" s="34">
        <f>IFERROR(IF($K139="","",$J139-$K139),"")</f>
        <v/>
      </c>
      <c r="M139" s="35">
        <f>IF($C139="","",IF(NOT(ISNUMBER($G139)),"No dividend",IF($G139=0,"No dividend",IF(ISNUMBER($H139),"OK","Franking n/a"))))</f>
        <v/>
      </c>
    </row>
    <row r="140">
      <c r="A140" s="27" t="n"/>
      <c r="B140" s="27" t="n"/>
      <c r="C140" s="27">
        <f>IF($A140="","",$A140&amp;" Equity")</f>
        <v/>
      </c>
      <c r="D140" s="27">
        <f>IF($A140="","",BDP($C140,"NAME"))</f>
        <v/>
      </c>
      <c r="E140" s="28">
        <f>IF($A140="","",BDP($C140,"EQY_DVD_SH_12M"))</f>
        <v/>
      </c>
      <c r="F140" s="29">
        <f>IF($A140="","",BDP($C140,"EQY_DVD_YLD_12M"))</f>
        <v/>
      </c>
      <c r="G140" s="29">
        <f>IF($A140="","",BDP($C140,"EQY_DVD_YLD_IND"))</f>
        <v/>
      </c>
      <c r="H140" s="29">
        <f>IF($A140="","",BDP($C140,'Field Check'!$C$4))</f>
        <v/>
      </c>
      <c r="I140" s="30">
        <f>IFERROR(IF($B140="","",$B140/$B$3),"")</f>
        <v/>
      </c>
      <c r="J140" s="30">
        <f>IFERROR(IF($I140="","",$I140*IFERROR($G140,0)/100),"")</f>
        <v/>
      </c>
      <c r="K140" s="30">
        <f>IFERROR(IF($J140="","",IF(ISNUMBER($H140),$J140*$H140/'Index Summary'!$C$7,"")),"")</f>
        <v/>
      </c>
      <c r="L140" s="30">
        <f>IFERROR(IF($K140="","",$J140-$K140),"")</f>
        <v/>
      </c>
      <c r="M140" s="31">
        <f>IF($C140="","",IF(NOT(ISNUMBER($G140)),"No dividend",IF($G140=0,"No dividend",IF(ISNUMBER($H140),"OK","Franking n/a"))))</f>
        <v/>
      </c>
    </row>
    <row r="141">
      <c r="A141" s="16" t="n"/>
      <c r="B141" s="16" t="n"/>
      <c r="C141" s="16">
        <f>IF($A141="","",$A141&amp;" Equity")</f>
        <v/>
      </c>
      <c r="D141" s="16">
        <f>IF($A141="","",BDP($C141,"NAME"))</f>
        <v/>
      </c>
      <c r="E141" s="32">
        <f>IF($A141="","",BDP($C141,"EQY_DVD_SH_12M"))</f>
        <v/>
      </c>
      <c r="F141" s="33">
        <f>IF($A141="","",BDP($C141,"EQY_DVD_YLD_12M"))</f>
        <v/>
      </c>
      <c r="G141" s="33">
        <f>IF($A141="","",BDP($C141,"EQY_DVD_YLD_IND"))</f>
        <v/>
      </c>
      <c r="H141" s="33">
        <f>IF($A141="","",BDP($C141,'Field Check'!$C$4))</f>
        <v/>
      </c>
      <c r="I141" s="34">
        <f>IFERROR(IF($B141="","",$B141/$B$3),"")</f>
        <v/>
      </c>
      <c r="J141" s="34">
        <f>IFERROR(IF($I141="","",$I141*IFERROR($G141,0)/100),"")</f>
        <v/>
      </c>
      <c r="K141" s="34">
        <f>IFERROR(IF($J141="","",IF(ISNUMBER($H141),$J141*$H141/'Index Summary'!$C$7,"")),"")</f>
        <v/>
      </c>
      <c r="L141" s="34">
        <f>IFERROR(IF($K141="","",$J141-$K141),"")</f>
        <v/>
      </c>
      <c r="M141" s="35">
        <f>IF($C141="","",IF(NOT(ISNUMBER($G141)),"No dividend",IF($G141=0,"No dividend",IF(ISNUMBER($H141),"OK","Franking n/a"))))</f>
        <v/>
      </c>
    </row>
    <row r="142">
      <c r="A142" s="27" t="n"/>
      <c r="B142" s="27" t="n"/>
      <c r="C142" s="27">
        <f>IF($A142="","",$A142&amp;" Equity")</f>
        <v/>
      </c>
      <c r="D142" s="27">
        <f>IF($A142="","",BDP($C142,"NAME"))</f>
        <v/>
      </c>
      <c r="E142" s="28">
        <f>IF($A142="","",BDP($C142,"EQY_DVD_SH_12M"))</f>
        <v/>
      </c>
      <c r="F142" s="29">
        <f>IF($A142="","",BDP($C142,"EQY_DVD_YLD_12M"))</f>
        <v/>
      </c>
      <c r="G142" s="29">
        <f>IF($A142="","",BDP($C142,"EQY_DVD_YLD_IND"))</f>
        <v/>
      </c>
      <c r="H142" s="29">
        <f>IF($A142="","",BDP($C142,'Field Check'!$C$4))</f>
        <v/>
      </c>
      <c r="I142" s="30">
        <f>IFERROR(IF($B142="","",$B142/$B$3),"")</f>
        <v/>
      </c>
      <c r="J142" s="30">
        <f>IFERROR(IF($I142="","",$I142*IFERROR($G142,0)/100),"")</f>
        <v/>
      </c>
      <c r="K142" s="30">
        <f>IFERROR(IF($J142="","",IF(ISNUMBER($H142),$J142*$H142/'Index Summary'!$C$7,"")),"")</f>
        <v/>
      </c>
      <c r="L142" s="30">
        <f>IFERROR(IF($K142="","",$J142-$K142),"")</f>
        <v/>
      </c>
      <c r="M142" s="31">
        <f>IF($C142="","",IF(NOT(ISNUMBER($G142)),"No dividend",IF($G142=0,"No dividend",IF(ISNUMBER($H142),"OK","Franking n/a"))))</f>
        <v/>
      </c>
    </row>
    <row r="143">
      <c r="A143" s="16" t="n"/>
      <c r="B143" s="16" t="n"/>
      <c r="C143" s="16">
        <f>IF($A143="","",$A143&amp;" Equity")</f>
        <v/>
      </c>
      <c r="D143" s="16">
        <f>IF($A143="","",BDP($C143,"NAME"))</f>
        <v/>
      </c>
      <c r="E143" s="32">
        <f>IF($A143="","",BDP($C143,"EQY_DVD_SH_12M"))</f>
        <v/>
      </c>
      <c r="F143" s="33">
        <f>IF($A143="","",BDP($C143,"EQY_DVD_YLD_12M"))</f>
        <v/>
      </c>
      <c r="G143" s="33">
        <f>IF($A143="","",BDP($C143,"EQY_DVD_YLD_IND"))</f>
        <v/>
      </c>
      <c r="H143" s="33">
        <f>IF($A143="","",BDP($C143,'Field Check'!$C$4))</f>
        <v/>
      </c>
      <c r="I143" s="34">
        <f>IFERROR(IF($B143="","",$B143/$B$3),"")</f>
        <v/>
      </c>
      <c r="J143" s="34">
        <f>IFERROR(IF($I143="","",$I143*IFERROR($G143,0)/100),"")</f>
        <v/>
      </c>
      <c r="K143" s="34">
        <f>IFERROR(IF($J143="","",IF(ISNUMBER($H143),$J143*$H143/'Index Summary'!$C$7,"")),"")</f>
        <v/>
      </c>
      <c r="L143" s="34">
        <f>IFERROR(IF($K143="","",$J143-$K143),"")</f>
        <v/>
      </c>
      <c r="M143" s="35">
        <f>IF($C143="","",IF(NOT(ISNUMBER($G143)),"No dividend",IF($G143=0,"No dividend",IF(ISNUMBER($H143),"OK","Franking n/a"))))</f>
        <v/>
      </c>
    </row>
    <row r="144">
      <c r="A144" s="27" t="n"/>
      <c r="B144" s="27" t="n"/>
      <c r="C144" s="27">
        <f>IF($A144="","",$A144&amp;" Equity")</f>
        <v/>
      </c>
      <c r="D144" s="27">
        <f>IF($A144="","",BDP($C144,"NAME"))</f>
        <v/>
      </c>
      <c r="E144" s="28">
        <f>IF($A144="","",BDP($C144,"EQY_DVD_SH_12M"))</f>
        <v/>
      </c>
      <c r="F144" s="29">
        <f>IF($A144="","",BDP($C144,"EQY_DVD_YLD_12M"))</f>
        <v/>
      </c>
      <c r="G144" s="29">
        <f>IF($A144="","",BDP($C144,"EQY_DVD_YLD_IND"))</f>
        <v/>
      </c>
      <c r="H144" s="29">
        <f>IF($A144="","",BDP($C144,'Field Check'!$C$4))</f>
        <v/>
      </c>
      <c r="I144" s="30">
        <f>IFERROR(IF($B144="","",$B144/$B$3),"")</f>
        <v/>
      </c>
      <c r="J144" s="30">
        <f>IFERROR(IF($I144="","",$I144*IFERROR($G144,0)/100),"")</f>
        <v/>
      </c>
      <c r="K144" s="30">
        <f>IFERROR(IF($J144="","",IF(ISNUMBER($H144),$J144*$H144/'Index Summary'!$C$7,"")),"")</f>
        <v/>
      </c>
      <c r="L144" s="30">
        <f>IFERROR(IF($K144="","",$J144-$K144),"")</f>
        <v/>
      </c>
      <c r="M144" s="31">
        <f>IF($C144="","",IF(NOT(ISNUMBER($G144)),"No dividend",IF($G144=0,"No dividend",IF(ISNUMBER($H144),"OK","Franking n/a"))))</f>
        <v/>
      </c>
    </row>
    <row r="145">
      <c r="A145" s="16" t="n"/>
      <c r="B145" s="16" t="n"/>
      <c r="C145" s="16">
        <f>IF($A145="","",$A145&amp;" Equity")</f>
        <v/>
      </c>
      <c r="D145" s="16">
        <f>IF($A145="","",BDP($C145,"NAME"))</f>
        <v/>
      </c>
      <c r="E145" s="32">
        <f>IF($A145="","",BDP($C145,"EQY_DVD_SH_12M"))</f>
        <v/>
      </c>
      <c r="F145" s="33">
        <f>IF($A145="","",BDP($C145,"EQY_DVD_YLD_12M"))</f>
        <v/>
      </c>
      <c r="G145" s="33">
        <f>IF($A145="","",BDP($C145,"EQY_DVD_YLD_IND"))</f>
        <v/>
      </c>
      <c r="H145" s="33">
        <f>IF($A145="","",BDP($C145,'Field Check'!$C$4))</f>
        <v/>
      </c>
      <c r="I145" s="34">
        <f>IFERROR(IF($B145="","",$B145/$B$3),"")</f>
        <v/>
      </c>
      <c r="J145" s="34">
        <f>IFERROR(IF($I145="","",$I145*IFERROR($G145,0)/100),"")</f>
        <v/>
      </c>
      <c r="K145" s="34">
        <f>IFERROR(IF($J145="","",IF(ISNUMBER($H145),$J145*$H145/'Index Summary'!$C$7,"")),"")</f>
        <v/>
      </c>
      <c r="L145" s="34">
        <f>IFERROR(IF($K145="","",$J145-$K145),"")</f>
        <v/>
      </c>
      <c r="M145" s="35">
        <f>IF($C145="","",IF(NOT(ISNUMBER($G145)),"No dividend",IF($G145=0,"No dividend",IF(ISNUMBER($H145),"OK","Franking n/a"))))</f>
        <v/>
      </c>
    </row>
    <row r="146">
      <c r="A146" s="27" t="n"/>
      <c r="B146" s="27" t="n"/>
      <c r="C146" s="27">
        <f>IF($A146="","",$A146&amp;" Equity")</f>
        <v/>
      </c>
      <c r="D146" s="27">
        <f>IF($A146="","",BDP($C146,"NAME"))</f>
        <v/>
      </c>
      <c r="E146" s="28">
        <f>IF($A146="","",BDP($C146,"EQY_DVD_SH_12M"))</f>
        <v/>
      </c>
      <c r="F146" s="29">
        <f>IF($A146="","",BDP($C146,"EQY_DVD_YLD_12M"))</f>
        <v/>
      </c>
      <c r="G146" s="29">
        <f>IF($A146="","",BDP($C146,"EQY_DVD_YLD_IND"))</f>
        <v/>
      </c>
      <c r="H146" s="29">
        <f>IF($A146="","",BDP($C146,'Field Check'!$C$4))</f>
        <v/>
      </c>
      <c r="I146" s="30">
        <f>IFERROR(IF($B146="","",$B146/$B$3),"")</f>
        <v/>
      </c>
      <c r="J146" s="30">
        <f>IFERROR(IF($I146="","",$I146*IFERROR($G146,0)/100),"")</f>
        <v/>
      </c>
      <c r="K146" s="30">
        <f>IFERROR(IF($J146="","",IF(ISNUMBER($H146),$J146*$H146/'Index Summary'!$C$7,"")),"")</f>
        <v/>
      </c>
      <c r="L146" s="30">
        <f>IFERROR(IF($K146="","",$J146-$K146),"")</f>
        <v/>
      </c>
      <c r="M146" s="31">
        <f>IF($C146="","",IF(NOT(ISNUMBER($G146)),"No dividend",IF($G146=0,"No dividend",IF(ISNUMBER($H146),"OK","Franking n/a"))))</f>
        <v/>
      </c>
    </row>
    <row r="147">
      <c r="A147" s="16" t="n"/>
      <c r="B147" s="16" t="n"/>
      <c r="C147" s="16">
        <f>IF($A147="","",$A147&amp;" Equity")</f>
        <v/>
      </c>
      <c r="D147" s="16">
        <f>IF($A147="","",BDP($C147,"NAME"))</f>
        <v/>
      </c>
      <c r="E147" s="32">
        <f>IF($A147="","",BDP($C147,"EQY_DVD_SH_12M"))</f>
        <v/>
      </c>
      <c r="F147" s="33">
        <f>IF($A147="","",BDP($C147,"EQY_DVD_YLD_12M"))</f>
        <v/>
      </c>
      <c r="G147" s="33">
        <f>IF($A147="","",BDP($C147,"EQY_DVD_YLD_IND"))</f>
        <v/>
      </c>
      <c r="H147" s="33">
        <f>IF($A147="","",BDP($C147,'Field Check'!$C$4))</f>
        <v/>
      </c>
      <c r="I147" s="34">
        <f>IFERROR(IF($B147="","",$B147/$B$3),"")</f>
        <v/>
      </c>
      <c r="J147" s="34">
        <f>IFERROR(IF($I147="","",$I147*IFERROR($G147,0)/100),"")</f>
        <v/>
      </c>
      <c r="K147" s="34">
        <f>IFERROR(IF($J147="","",IF(ISNUMBER($H147),$J147*$H147/'Index Summary'!$C$7,"")),"")</f>
        <v/>
      </c>
      <c r="L147" s="34">
        <f>IFERROR(IF($K147="","",$J147-$K147),"")</f>
        <v/>
      </c>
      <c r="M147" s="35">
        <f>IF($C147="","",IF(NOT(ISNUMBER($G147)),"No dividend",IF($G147=0,"No dividend",IF(ISNUMBER($H147),"OK","Franking n/a"))))</f>
        <v/>
      </c>
    </row>
    <row r="148">
      <c r="A148" s="27" t="n"/>
      <c r="B148" s="27" t="n"/>
      <c r="C148" s="27">
        <f>IF($A148="","",$A148&amp;" Equity")</f>
        <v/>
      </c>
      <c r="D148" s="27">
        <f>IF($A148="","",BDP($C148,"NAME"))</f>
        <v/>
      </c>
      <c r="E148" s="28">
        <f>IF($A148="","",BDP($C148,"EQY_DVD_SH_12M"))</f>
        <v/>
      </c>
      <c r="F148" s="29">
        <f>IF($A148="","",BDP($C148,"EQY_DVD_YLD_12M"))</f>
        <v/>
      </c>
      <c r="G148" s="29">
        <f>IF($A148="","",BDP($C148,"EQY_DVD_YLD_IND"))</f>
        <v/>
      </c>
      <c r="H148" s="29">
        <f>IF($A148="","",BDP($C148,'Field Check'!$C$4))</f>
        <v/>
      </c>
      <c r="I148" s="30">
        <f>IFERROR(IF($B148="","",$B148/$B$3),"")</f>
        <v/>
      </c>
      <c r="J148" s="30">
        <f>IFERROR(IF($I148="","",$I148*IFERROR($G148,0)/100),"")</f>
        <v/>
      </c>
      <c r="K148" s="30">
        <f>IFERROR(IF($J148="","",IF(ISNUMBER($H148),$J148*$H148/'Index Summary'!$C$7,"")),"")</f>
        <v/>
      </c>
      <c r="L148" s="30">
        <f>IFERROR(IF($K148="","",$J148-$K148),"")</f>
        <v/>
      </c>
      <c r="M148" s="31">
        <f>IF($C148="","",IF(NOT(ISNUMBER($G148)),"No dividend",IF($G148=0,"No dividend",IF(ISNUMBER($H148),"OK","Franking n/a"))))</f>
        <v/>
      </c>
    </row>
    <row r="149">
      <c r="A149" s="16" t="n"/>
      <c r="B149" s="16" t="n"/>
      <c r="C149" s="16">
        <f>IF($A149="","",$A149&amp;" Equity")</f>
        <v/>
      </c>
      <c r="D149" s="16">
        <f>IF($A149="","",BDP($C149,"NAME"))</f>
        <v/>
      </c>
      <c r="E149" s="32">
        <f>IF($A149="","",BDP($C149,"EQY_DVD_SH_12M"))</f>
        <v/>
      </c>
      <c r="F149" s="33">
        <f>IF($A149="","",BDP($C149,"EQY_DVD_YLD_12M"))</f>
        <v/>
      </c>
      <c r="G149" s="33">
        <f>IF($A149="","",BDP($C149,"EQY_DVD_YLD_IND"))</f>
        <v/>
      </c>
      <c r="H149" s="33">
        <f>IF($A149="","",BDP($C149,'Field Check'!$C$4))</f>
        <v/>
      </c>
      <c r="I149" s="34">
        <f>IFERROR(IF($B149="","",$B149/$B$3),"")</f>
        <v/>
      </c>
      <c r="J149" s="34">
        <f>IFERROR(IF($I149="","",$I149*IFERROR($G149,0)/100),"")</f>
        <v/>
      </c>
      <c r="K149" s="34">
        <f>IFERROR(IF($J149="","",IF(ISNUMBER($H149),$J149*$H149/'Index Summary'!$C$7,"")),"")</f>
        <v/>
      </c>
      <c r="L149" s="34">
        <f>IFERROR(IF($K149="","",$J149-$K149),"")</f>
        <v/>
      </c>
      <c r="M149" s="35">
        <f>IF($C149="","",IF(NOT(ISNUMBER($G149)),"No dividend",IF($G149=0,"No dividend",IF(ISNUMBER($H149),"OK","Franking n/a"))))</f>
        <v/>
      </c>
    </row>
    <row r="150">
      <c r="A150" s="27" t="n"/>
      <c r="B150" s="27" t="n"/>
      <c r="C150" s="27">
        <f>IF($A150="","",$A150&amp;" Equity")</f>
        <v/>
      </c>
      <c r="D150" s="27">
        <f>IF($A150="","",BDP($C150,"NAME"))</f>
        <v/>
      </c>
      <c r="E150" s="28">
        <f>IF($A150="","",BDP($C150,"EQY_DVD_SH_12M"))</f>
        <v/>
      </c>
      <c r="F150" s="29">
        <f>IF($A150="","",BDP($C150,"EQY_DVD_YLD_12M"))</f>
        <v/>
      </c>
      <c r="G150" s="29">
        <f>IF($A150="","",BDP($C150,"EQY_DVD_YLD_IND"))</f>
        <v/>
      </c>
      <c r="H150" s="29">
        <f>IF($A150="","",BDP($C150,'Field Check'!$C$4))</f>
        <v/>
      </c>
      <c r="I150" s="30">
        <f>IFERROR(IF($B150="","",$B150/$B$3),"")</f>
        <v/>
      </c>
      <c r="J150" s="30">
        <f>IFERROR(IF($I150="","",$I150*IFERROR($G150,0)/100),"")</f>
        <v/>
      </c>
      <c r="K150" s="30">
        <f>IFERROR(IF($J150="","",IF(ISNUMBER($H150),$J150*$H150/'Index Summary'!$C$7,"")),"")</f>
        <v/>
      </c>
      <c r="L150" s="30">
        <f>IFERROR(IF($K150="","",$J150-$K150),"")</f>
        <v/>
      </c>
      <c r="M150" s="31">
        <f>IF($C150="","",IF(NOT(ISNUMBER($G150)),"No dividend",IF($G150=0,"No dividend",IF(ISNUMBER($H150),"OK","Franking n/a"))))</f>
        <v/>
      </c>
    </row>
    <row r="151">
      <c r="A151" s="16" t="n"/>
      <c r="B151" s="16" t="n"/>
      <c r="C151" s="16">
        <f>IF($A151="","",$A151&amp;" Equity")</f>
        <v/>
      </c>
      <c r="D151" s="16">
        <f>IF($A151="","",BDP($C151,"NAME"))</f>
        <v/>
      </c>
      <c r="E151" s="32">
        <f>IF($A151="","",BDP($C151,"EQY_DVD_SH_12M"))</f>
        <v/>
      </c>
      <c r="F151" s="33">
        <f>IF($A151="","",BDP($C151,"EQY_DVD_YLD_12M"))</f>
        <v/>
      </c>
      <c r="G151" s="33">
        <f>IF($A151="","",BDP($C151,"EQY_DVD_YLD_IND"))</f>
        <v/>
      </c>
      <c r="H151" s="33">
        <f>IF($A151="","",BDP($C151,'Field Check'!$C$4))</f>
        <v/>
      </c>
      <c r="I151" s="34">
        <f>IFERROR(IF($B151="","",$B151/$B$3),"")</f>
        <v/>
      </c>
      <c r="J151" s="34">
        <f>IFERROR(IF($I151="","",$I151*IFERROR($G151,0)/100),"")</f>
        <v/>
      </c>
      <c r="K151" s="34">
        <f>IFERROR(IF($J151="","",IF(ISNUMBER($H151),$J151*$H151/'Index Summary'!$C$7,"")),"")</f>
        <v/>
      </c>
      <c r="L151" s="34">
        <f>IFERROR(IF($K151="","",$J151-$K151),"")</f>
        <v/>
      </c>
      <c r="M151" s="35">
        <f>IF($C151="","",IF(NOT(ISNUMBER($G151)),"No dividend",IF($G151=0,"No dividend",IF(ISNUMBER($H151),"OK","Franking n/a"))))</f>
        <v/>
      </c>
    </row>
    <row r="152">
      <c r="A152" s="27" t="n"/>
      <c r="B152" s="27" t="n"/>
      <c r="C152" s="27">
        <f>IF($A152="","",$A152&amp;" Equity")</f>
        <v/>
      </c>
      <c r="D152" s="27">
        <f>IF($A152="","",BDP($C152,"NAME"))</f>
        <v/>
      </c>
      <c r="E152" s="28">
        <f>IF($A152="","",BDP($C152,"EQY_DVD_SH_12M"))</f>
        <v/>
      </c>
      <c r="F152" s="29">
        <f>IF($A152="","",BDP($C152,"EQY_DVD_YLD_12M"))</f>
        <v/>
      </c>
      <c r="G152" s="29">
        <f>IF($A152="","",BDP($C152,"EQY_DVD_YLD_IND"))</f>
        <v/>
      </c>
      <c r="H152" s="29">
        <f>IF($A152="","",BDP($C152,'Field Check'!$C$4))</f>
        <v/>
      </c>
      <c r="I152" s="30">
        <f>IFERROR(IF($B152="","",$B152/$B$3),"")</f>
        <v/>
      </c>
      <c r="J152" s="30">
        <f>IFERROR(IF($I152="","",$I152*IFERROR($G152,0)/100),"")</f>
        <v/>
      </c>
      <c r="K152" s="30">
        <f>IFERROR(IF($J152="","",IF(ISNUMBER($H152),$J152*$H152/'Index Summary'!$C$7,"")),"")</f>
        <v/>
      </c>
      <c r="L152" s="30">
        <f>IFERROR(IF($K152="","",$J152-$K152),"")</f>
        <v/>
      </c>
      <c r="M152" s="31">
        <f>IF($C152="","",IF(NOT(ISNUMBER($G152)),"No dividend",IF($G152=0,"No dividend",IF(ISNUMBER($H152),"OK","Franking n/a"))))</f>
        <v/>
      </c>
    </row>
    <row r="153">
      <c r="A153" s="16" t="n"/>
      <c r="B153" s="16" t="n"/>
      <c r="C153" s="16">
        <f>IF($A153="","",$A153&amp;" Equity")</f>
        <v/>
      </c>
      <c r="D153" s="16">
        <f>IF($A153="","",BDP($C153,"NAME"))</f>
        <v/>
      </c>
      <c r="E153" s="32">
        <f>IF($A153="","",BDP($C153,"EQY_DVD_SH_12M"))</f>
        <v/>
      </c>
      <c r="F153" s="33">
        <f>IF($A153="","",BDP($C153,"EQY_DVD_YLD_12M"))</f>
        <v/>
      </c>
      <c r="G153" s="33">
        <f>IF($A153="","",BDP($C153,"EQY_DVD_YLD_IND"))</f>
        <v/>
      </c>
      <c r="H153" s="33">
        <f>IF($A153="","",BDP($C153,'Field Check'!$C$4))</f>
        <v/>
      </c>
      <c r="I153" s="34">
        <f>IFERROR(IF($B153="","",$B153/$B$3),"")</f>
        <v/>
      </c>
      <c r="J153" s="34">
        <f>IFERROR(IF($I153="","",$I153*IFERROR($G153,0)/100),"")</f>
        <v/>
      </c>
      <c r="K153" s="34">
        <f>IFERROR(IF($J153="","",IF(ISNUMBER($H153),$J153*$H153/'Index Summary'!$C$7,"")),"")</f>
        <v/>
      </c>
      <c r="L153" s="34">
        <f>IFERROR(IF($K153="","",$J153-$K153),"")</f>
        <v/>
      </c>
      <c r="M153" s="35">
        <f>IF($C153="","",IF(NOT(ISNUMBER($G153)),"No dividend",IF($G153=0,"No dividend",IF(ISNUMBER($H153),"OK","Franking n/a"))))</f>
        <v/>
      </c>
    </row>
    <row r="154">
      <c r="A154" s="27" t="n"/>
      <c r="B154" s="27" t="n"/>
      <c r="C154" s="27">
        <f>IF($A154="","",$A154&amp;" Equity")</f>
        <v/>
      </c>
      <c r="D154" s="27">
        <f>IF($A154="","",BDP($C154,"NAME"))</f>
        <v/>
      </c>
      <c r="E154" s="28">
        <f>IF($A154="","",BDP($C154,"EQY_DVD_SH_12M"))</f>
        <v/>
      </c>
      <c r="F154" s="29">
        <f>IF($A154="","",BDP($C154,"EQY_DVD_YLD_12M"))</f>
        <v/>
      </c>
      <c r="G154" s="29">
        <f>IF($A154="","",BDP($C154,"EQY_DVD_YLD_IND"))</f>
        <v/>
      </c>
      <c r="H154" s="29">
        <f>IF($A154="","",BDP($C154,'Field Check'!$C$4))</f>
        <v/>
      </c>
      <c r="I154" s="30">
        <f>IFERROR(IF($B154="","",$B154/$B$3),"")</f>
        <v/>
      </c>
      <c r="J154" s="30">
        <f>IFERROR(IF($I154="","",$I154*IFERROR($G154,0)/100),"")</f>
        <v/>
      </c>
      <c r="K154" s="30">
        <f>IFERROR(IF($J154="","",IF(ISNUMBER($H154),$J154*$H154/'Index Summary'!$C$7,"")),"")</f>
        <v/>
      </c>
      <c r="L154" s="30">
        <f>IFERROR(IF($K154="","",$J154-$K154),"")</f>
        <v/>
      </c>
      <c r="M154" s="31">
        <f>IF($C154="","",IF(NOT(ISNUMBER($G154)),"No dividend",IF($G154=0,"No dividend",IF(ISNUMBER($H154),"OK","Franking n/a"))))</f>
        <v/>
      </c>
    </row>
    <row r="155">
      <c r="A155" s="16" t="n"/>
      <c r="B155" s="16" t="n"/>
      <c r="C155" s="16">
        <f>IF($A155="","",$A155&amp;" Equity")</f>
        <v/>
      </c>
      <c r="D155" s="16">
        <f>IF($A155="","",BDP($C155,"NAME"))</f>
        <v/>
      </c>
      <c r="E155" s="32">
        <f>IF($A155="","",BDP($C155,"EQY_DVD_SH_12M"))</f>
        <v/>
      </c>
      <c r="F155" s="33">
        <f>IF($A155="","",BDP($C155,"EQY_DVD_YLD_12M"))</f>
        <v/>
      </c>
      <c r="G155" s="33">
        <f>IF($A155="","",BDP($C155,"EQY_DVD_YLD_IND"))</f>
        <v/>
      </c>
      <c r="H155" s="33">
        <f>IF($A155="","",BDP($C155,'Field Check'!$C$4))</f>
        <v/>
      </c>
      <c r="I155" s="34">
        <f>IFERROR(IF($B155="","",$B155/$B$3),"")</f>
        <v/>
      </c>
      <c r="J155" s="34">
        <f>IFERROR(IF($I155="","",$I155*IFERROR($G155,0)/100),"")</f>
        <v/>
      </c>
      <c r="K155" s="34">
        <f>IFERROR(IF($J155="","",IF(ISNUMBER($H155),$J155*$H155/'Index Summary'!$C$7,"")),"")</f>
        <v/>
      </c>
      <c r="L155" s="34">
        <f>IFERROR(IF($K155="","",$J155-$K155),"")</f>
        <v/>
      </c>
      <c r="M155" s="35">
        <f>IF($C155="","",IF(NOT(ISNUMBER($G155)),"No dividend",IF($G155=0,"No dividend",IF(ISNUMBER($H155),"OK","Franking n/a"))))</f>
        <v/>
      </c>
    </row>
    <row r="156">
      <c r="A156" s="27" t="n"/>
      <c r="B156" s="27" t="n"/>
      <c r="C156" s="27">
        <f>IF($A156="","",$A156&amp;" Equity")</f>
        <v/>
      </c>
      <c r="D156" s="27">
        <f>IF($A156="","",BDP($C156,"NAME"))</f>
        <v/>
      </c>
      <c r="E156" s="28">
        <f>IF($A156="","",BDP($C156,"EQY_DVD_SH_12M"))</f>
        <v/>
      </c>
      <c r="F156" s="29">
        <f>IF($A156="","",BDP($C156,"EQY_DVD_YLD_12M"))</f>
        <v/>
      </c>
      <c r="G156" s="29">
        <f>IF($A156="","",BDP($C156,"EQY_DVD_YLD_IND"))</f>
        <v/>
      </c>
      <c r="H156" s="29">
        <f>IF($A156="","",BDP($C156,'Field Check'!$C$4))</f>
        <v/>
      </c>
      <c r="I156" s="30">
        <f>IFERROR(IF($B156="","",$B156/$B$3),"")</f>
        <v/>
      </c>
      <c r="J156" s="30">
        <f>IFERROR(IF($I156="","",$I156*IFERROR($G156,0)/100),"")</f>
        <v/>
      </c>
      <c r="K156" s="30">
        <f>IFERROR(IF($J156="","",IF(ISNUMBER($H156),$J156*$H156/'Index Summary'!$C$7,"")),"")</f>
        <v/>
      </c>
      <c r="L156" s="30">
        <f>IFERROR(IF($K156="","",$J156-$K156),"")</f>
        <v/>
      </c>
      <c r="M156" s="31">
        <f>IF($C156="","",IF(NOT(ISNUMBER($G156)),"No dividend",IF($G156=0,"No dividend",IF(ISNUMBER($H156),"OK","Franking n/a"))))</f>
        <v/>
      </c>
    </row>
    <row r="157">
      <c r="A157" s="16" t="n"/>
      <c r="B157" s="16" t="n"/>
      <c r="C157" s="16">
        <f>IF($A157="","",$A157&amp;" Equity")</f>
        <v/>
      </c>
      <c r="D157" s="16">
        <f>IF($A157="","",BDP($C157,"NAME"))</f>
        <v/>
      </c>
      <c r="E157" s="32">
        <f>IF($A157="","",BDP($C157,"EQY_DVD_SH_12M"))</f>
        <v/>
      </c>
      <c r="F157" s="33">
        <f>IF($A157="","",BDP($C157,"EQY_DVD_YLD_12M"))</f>
        <v/>
      </c>
      <c r="G157" s="33">
        <f>IF($A157="","",BDP($C157,"EQY_DVD_YLD_IND"))</f>
        <v/>
      </c>
      <c r="H157" s="33">
        <f>IF($A157="","",BDP($C157,'Field Check'!$C$4))</f>
        <v/>
      </c>
      <c r="I157" s="34">
        <f>IFERROR(IF($B157="","",$B157/$B$3),"")</f>
        <v/>
      </c>
      <c r="J157" s="34">
        <f>IFERROR(IF($I157="","",$I157*IFERROR($G157,0)/100),"")</f>
        <v/>
      </c>
      <c r="K157" s="34">
        <f>IFERROR(IF($J157="","",IF(ISNUMBER($H157),$J157*$H157/'Index Summary'!$C$7,"")),"")</f>
        <v/>
      </c>
      <c r="L157" s="34">
        <f>IFERROR(IF($K157="","",$J157-$K157),"")</f>
        <v/>
      </c>
      <c r="M157" s="35">
        <f>IF($C157="","",IF(NOT(ISNUMBER($G157)),"No dividend",IF($G157=0,"No dividend",IF(ISNUMBER($H157),"OK","Franking n/a"))))</f>
        <v/>
      </c>
    </row>
    <row r="158">
      <c r="A158" s="27" t="n"/>
      <c r="B158" s="27" t="n"/>
      <c r="C158" s="27">
        <f>IF($A158="","",$A158&amp;" Equity")</f>
        <v/>
      </c>
      <c r="D158" s="27">
        <f>IF($A158="","",BDP($C158,"NAME"))</f>
        <v/>
      </c>
      <c r="E158" s="28">
        <f>IF($A158="","",BDP($C158,"EQY_DVD_SH_12M"))</f>
        <v/>
      </c>
      <c r="F158" s="29">
        <f>IF($A158="","",BDP($C158,"EQY_DVD_YLD_12M"))</f>
        <v/>
      </c>
      <c r="G158" s="29">
        <f>IF($A158="","",BDP($C158,"EQY_DVD_YLD_IND"))</f>
        <v/>
      </c>
      <c r="H158" s="29">
        <f>IF($A158="","",BDP($C158,'Field Check'!$C$4))</f>
        <v/>
      </c>
      <c r="I158" s="30">
        <f>IFERROR(IF($B158="","",$B158/$B$3),"")</f>
        <v/>
      </c>
      <c r="J158" s="30">
        <f>IFERROR(IF($I158="","",$I158*IFERROR($G158,0)/100),"")</f>
        <v/>
      </c>
      <c r="K158" s="30">
        <f>IFERROR(IF($J158="","",IF(ISNUMBER($H158),$J158*$H158/'Index Summary'!$C$7,"")),"")</f>
        <v/>
      </c>
      <c r="L158" s="30">
        <f>IFERROR(IF($K158="","",$J158-$K158),"")</f>
        <v/>
      </c>
      <c r="M158" s="31">
        <f>IF($C158="","",IF(NOT(ISNUMBER($G158)),"No dividend",IF($G158=0,"No dividend",IF(ISNUMBER($H158),"OK","Franking n/a"))))</f>
        <v/>
      </c>
    </row>
    <row r="159">
      <c r="A159" s="16" t="n"/>
      <c r="B159" s="16" t="n"/>
      <c r="C159" s="16">
        <f>IF($A159="","",$A159&amp;" Equity")</f>
        <v/>
      </c>
      <c r="D159" s="16">
        <f>IF($A159="","",BDP($C159,"NAME"))</f>
        <v/>
      </c>
      <c r="E159" s="32">
        <f>IF($A159="","",BDP($C159,"EQY_DVD_SH_12M"))</f>
        <v/>
      </c>
      <c r="F159" s="33">
        <f>IF($A159="","",BDP($C159,"EQY_DVD_YLD_12M"))</f>
        <v/>
      </c>
      <c r="G159" s="33">
        <f>IF($A159="","",BDP($C159,"EQY_DVD_YLD_IND"))</f>
        <v/>
      </c>
      <c r="H159" s="33">
        <f>IF($A159="","",BDP($C159,'Field Check'!$C$4))</f>
        <v/>
      </c>
      <c r="I159" s="34">
        <f>IFERROR(IF($B159="","",$B159/$B$3),"")</f>
        <v/>
      </c>
      <c r="J159" s="34">
        <f>IFERROR(IF($I159="","",$I159*IFERROR($G159,0)/100),"")</f>
        <v/>
      </c>
      <c r="K159" s="34">
        <f>IFERROR(IF($J159="","",IF(ISNUMBER($H159),$J159*$H159/'Index Summary'!$C$7,"")),"")</f>
        <v/>
      </c>
      <c r="L159" s="34">
        <f>IFERROR(IF($K159="","",$J159-$K159),"")</f>
        <v/>
      </c>
      <c r="M159" s="35">
        <f>IF($C159="","",IF(NOT(ISNUMBER($G159)),"No dividend",IF($G159=0,"No dividend",IF(ISNUMBER($H159),"OK","Franking n/a"))))</f>
        <v/>
      </c>
    </row>
    <row r="160">
      <c r="A160" s="27" t="n"/>
      <c r="B160" s="27" t="n"/>
      <c r="C160" s="27">
        <f>IF($A160="","",$A160&amp;" Equity")</f>
        <v/>
      </c>
      <c r="D160" s="27">
        <f>IF($A160="","",BDP($C160,"NAME"))</f>
        <v/>
      </c>
      <c r="E160" s="28">
        <f>IF($A160="","",BDP($C160,"EQY_DVD_SH_12M"))</f>
        <v/>
      </c>
      <c r="F160" s="29">
        <f>IF($A160="","",BDP($C160,"EQY_DVD_YLD_12M"))</f>
        <v/>
      </c>
      <c r="G160" s="29">
        <f>IF($A160="","",BDP($C160,"EQY_DVD_YLD_IND"))</f>
        <v/>
      </c>
      <c r="H160" s="29">
        <f>IF($A160="","",BDP($C160,'Field Check'!$C$4))</f>
        <v/>
      </c>
      <c r="I160" s="30">
        <f>IFERROR(IF($B160="","",$B160/$B$3),"")</f>
        <v/>
      </c>
      <c r="J160" s="30">
        <f>IFERROR(IF($I160="","",$I160*IFERROR($G160,0)/100),"")</f>
        <v/>
      </c>
      <c r="K160" s="30">
        <f>IFERROR(IF($J160="","",IF(ISNUMBER($H160),$J160*$H160/'Index Summary'!$C$7,"")),"")</f>
        <v/>
      </c>
      <c r="L160" s="30">
        <f>IFERROR(IF($K160="","",$J160-$K160),"")</f>
        <v/>
      </c>
      <c r="M160" s="31">
        <f>IF($C160="","",IF(NOT(ISNUMBER($G160)),"No dividend",IF($G160=0,"No dividend",IF(ISNUMBER($H160),"OK","Franking n/a"))))</f>
        <v/>
      </c>
    </row>
    <row r="161">
      <c r="A161" s="16" t="n"/>
      <c r="B161" s="16" t="n"/>
      <c r="C161" s="16">
        <f>IF($A161="","",$A161&amp;" Equity")</f>
        <v/>
      </c>
      <c r="D161" s="16">
        <f>IF($A161="","",BDP($C161,"NAME"))</f>
        <v/>
      </c>
      <c r="E161" s="32">
        <f>IF($A161="","",BDP($C161,"EQY_DVD_SH_12M"))</f>
        <v/>
      </c>
      <c r="F161" s="33">
        <f>IF($A161="","",BDP($C161,"EQY_DVD_YLD_12M"))</f>
        <v/>
      </c>
      <c r="G161" s="33">
        <f>IF($A161="","",BDP($C161,"EQY_DVD_YLD_IND"))</f>
        <v/>
      </c>
      <c r="H161" s="33">
        <f>IF($A161="","",BDP($C161,'Field Check'!$C$4))</f>
        <v/>
      </c>
      <c r="I161" s="34">
        <f>IFERROR(IF($B161="","",$B161/$B$3),"")</f>
        <v/>
      </c>
      <c r="J161" s="34">
        <f>IFERROR(IF($I161="","",$I161*IFERROR($G161,0)/100),"")</f>
        <v/>
      </c>
      <c r="K161" s="34">
        <f>IFERROR(IF($J161="","",IF(ISNUMBER($H161),$J161*$H161/'Index Summary'!$C$7,"")),"")</f>
        <v/>
      </c>
      <c r="L161" s="34">
        <f>IFERROR(IF($K161="","",$J161-$K161),"")</f>
        <v/>
      </c>
      <c r="M161" s="35">
        <f>IF($C161="","",IF(NOT(ISNUMBER($G161)),"No dividend",IF($G161=0,"No dividend",IF(ISNUMBER($H161),"OK","Franking n/a"))))</f>
        <v/>
      </c>
    </row>
    <row r="162">
      <c r="A162" s="27" t="n"/>
      <c r="B162" s="27" t="n"/>
      <c r="C162" s="27">
        <f>IF($A162="","",$A162&amp;" Equity")</f>
        <v/>
      </c>
      <c r="D162" s="27">
        <f>IF($A162="","",BDP($C162,"NAME"))</f>
        <v/>
      </c>
      <c r="E162" s="28">
        <f>IF($A162="","",BDP($C162,"EQY_DVD_SH_12M"))</f>
        <v/>
      </c>
      <c r="F162" s="29">
        <f>IF($A162="","",BDP($C162,"EQY_DVD_YLD_12M"))</f>
        <v/>
      </c>
      <c r="G162" s="29">
        <f>IF($A162="","",BDP($C162,"EQY_DVD_YLD_IND"))</f>
        <v/>
      </c>
      <c r="H162" s="29">
        <f>IF($A162="","",BDP($C162,'Field Check'!$C$4))</f>
        <v/>
      </c>
      <c r="I162" s="30">
        <f>IFERROR(IF($B162="","",$B162/$B$3),"")</f>
        <v/>
      </c>
      <c r="J162" s="30">
        <f>IFERROR(IF($I162="","",$I162*IFERROR($G162,0)/100),"")</f>
        <v/>
      </c>
      <c r="K162" s="30">
        <f>IFERROR(IF($J162="","",IF(ISNUMBER($H162),$J162*$H162/'Index Summary'!$C$7,"")),"")</f>
        <v/>
      </c>
      <c r="L162" s="30">
        <f>IFERROR(IF($K162="","",$J162-$K162),"")</f>
        <v/>
      </c>
      <c r="M162" s="31">
        <f>IF($C162="","",IF(NOT(ISNUMBER($G162)),"No dividend",IF($G162=0,"No dividend",IF(ISNUMBER($H162),"OK","Franking n/a"))))</f>
        <v/>
      </c>
    </row>
    <row r="163">
      <c r="A163" s="16" t="n"/>
      <c r="B163" s="16" t="n"/>
      <c r="C163" s="16">
        <f>IF($A163="","",$A163&amp;" Equity")</f>
        <v/>
      </c>
      <c r="D163" s="16">
        <f>IF($A163="","",BDP($C163,"NAME"))</f>
        <v/>
      </c>
      <c r="E163" s="32">
        <f>IF($A163="","",BDP($C163,"EQY_DVD_SH_12M"))</f>
        <v/>
      </c>
      <c r="F163" s="33">
        <f>IF($A163="","",BDP($C163,"EQY_DVD_YLD_12M"))</f>
        <v/>
      </c>
      <c r="G163" s="33">
        <f>IF($A163="","",BDP($C163,"EQY_DVD_YLD_IND"))</f>
        <v/>
      </c>
      <c r="H163" s="33">
        <f>IF($A163="","",BDP($C163,'Field Check'!$C$4))</f>
        <v/>
      </c>
      <c r="I163" s="34">
        <f>IFERROR(IF($B163="","",$B163/$B$3),"")</f>
        <v/>
      </c>
      <c r="J163" s="34">
        <f>IFERROR(IF($I163="","",$I163*IFERROR($G163,0)/100),"")</f>
        <v/>
      </c>
      <c r="K163" s="34">
        <f>IFERROR(IF($J163="","",IF(ISNUMBER($H163),$J163*$H163/'Index Summary'!$C$7,"")),"")</f>
        <v/>
      </c>
      <c r="L163" s="34">
        <f>IFERROR(IF($K163="","",$J163-$K163),"")</f>
        <v/>
      </c>
      <c r="M163" s="35">
        <f>IF($C163="","",IF(NOT(ISNUMBER($G163)),"No dividend",IF($G163=0,"No dividend",IF(ISNUMBER($H163),"OK","Franking n/a"))))</f>
        <v/>
      </c>
    </row>
    <row r="164">
      <c r="A164" s="27" t="n"/>
      <c r="B164" s="27" t="n"/>
      <c r="C164" s="27">
        <f>IF($A164="","",$A164&amp;" Equity")</f>
        <v/>
      </c>
      <c r="D164" s="27">
        <f>IF($A164="","",BDP($C164,"NAME"))</f>
        <v/>
      </c>
      <c r="E164" s="28">
        <f>IF($A164="","",BDP($C164,"EQY_DVD_SH_12M"))</f>
        <v/>
      </c>
      <c r="F164" s="29">
        <f>IF($A164="","",BDP($C164,"EQY_DVD_YLD_12M"))</f>
        <v/>
      </c>
      <c r="G164" s="29">
        <f>IF($A164="","",BDP($C164,"EQY_DVD_YLD_IND"))</f>
        <v/>
      </c>
      <c r="H164" s="29">
        <f>IF($A164="","",BDP($C164,'Field Check'!$C$4))</f>
        <v/>
      </c>
      <c r="I164" s="30">
        <f>IFERROR(IF($B164="","",$B164/$B$3),"")</f>
        <v/>
      </c>
      <c r="J164" s="30">
        <f>IFERROR(IF($I164="","",$I164*IFERROR($G164,0)/100),"")</f>
        <v/>
      </c>
      <c r="K164" s="30">
        <f>IFERROR(IF($J164="","",IF(ISNUMBER($H164),$J164*$H164/'Index Summary'!$C$7,"")),"")</f>
        <v/>
      </c>
      <c r="L164" s="30">
        <f>IFERROR(IF($K164="","",$J164-$K164),"")</f>
        <v/>
      </c>
      <c r="M164" s="31">
        <f>IF($C164="","",IF(NOT(ISNUMBER($G164)),"No dividend",IF($G164=0,"No dividend",IF(ISNUMBER($H164),"OK","Franking n/a"))))</f>
        <v/>
      </c>
    </row>
    <row r="165">
      <c r="A165" s="16" t="n"/>
      <c r="B165" s="16" t="n"/>
      <c r="C165" s="16">
        <f>IF($A165="","",$A165&amp;" Equity")</f>
        <v/>
      </c>
      <c r="D165" s="16">
        <f>IF($A165="","",BDP($C165,"NAME"))</f>
        <v/>
      </c>
      <c r="E165" s="32">
        <f>IF($A165="","",BDP($C165,"EQY_DVD_SH_12M"))</f>
        <v/>
      </c>
      <c r="F165" s="33">
        <f>IF($A165="","",BDP($C165,"EQY_DVD_YLD_12M"))</f>
        <v/>
      </c>
      <c r="G165" s="33">
        <f>IF($A165="","",BDP($C165,"EQY_DVD_YLD_IND"))</f>
        <v/>
      </c>
      <c r="H165" s="33">
        <f>IF($A165="","",BDP($C165,'Field Check'!$C$4))</f>
        <v/>
      </c>
      <c r="I165" s="34">
        <f>IFERROR(IF($B165="","",$B165/$B$3),"")</f>
        <v/>
      </c>
      <c r="J165" s="34">
        <f>IFERROR(IF($I165="","",$I165*IFERROR($G165,0)/100),"")</f>
        <v/>
      </c>
      <c r="K165" s="34">
        <f>IFERROR(IF($J165="","",IF(ISNUMBER($H165),$J165*$H165/'Index Summary'!$C$7,"")),"")</f>
        <v/>
      </c>
      <c r="L165" s="34">
        <f>IFERROR(IF($K165="","",$J165-$K165),"")</f>
        <v/>
      </c>
      <c r="M165" s="35">
        <f>IF($C165="","",IF(NOT(ISNUMBER($G165)),"No dividend",IF($G165=0,"No dividend",IF(ISNUMBER($H165),"OK","Franking n/a"))))</f>
        <v/>
      </c>
    </row>
    <row r="166">
      <c r="A166" s="27" t="n"/>
      <c r="B166" s="27" t="n"/>
      <c r="C166" s="27">
        <f>IF($A166="","",$A166&amp;" Equity")</f>
        <v/>
      </c>
      <c r="D166" s="27">
        <f>IF($A166="","",BDP($C166,"NAME"))</f>
        <v/>
      </c>
      <c r="E166" s="28">
        <f>IF($A166="","",BDP($C166,"EQY_DVD_SH_12M"))</f>
        <v/>
      </c>
      <c r="F166" s="29">
        <f>IF($A166="","",BDP($C166,"EQY_DVD_YLD_12M"))</f>
        <v/>
      </c>
      <c r="G166" s="29">
        <f>IF($A166="","",BDP($C166,"EQY_DVD_YLD_IND"))</f>
        <v/>
      </c>
      <c r="H166" s="29">
        <f>IF($A166="","",BDP($C166,'Field Check'!$C$4))</f>
        <v/>
      </c>
      <c r="I166" s="30">
        <f>IFERROR(IF($B166="","",$B166/$B$3),"")</f>
        <v/>
      </c>
      <c r="J166" s="30">
        <f>IFERROR(IF($I166="","",$I166*IFERROR($G166,0)/100),"")</f>
        <v/>
      </c>
      <c r="K166" s="30">
        <f>IFERROR(IF($J166="","",IF(ISNUMBER($H166),$J166*$H166/'Index Summary'!$C$7,"")),"")</f>
        <v/>
      </c>
      <c r="L166" s="30">
        <f>IFERROR(IF($K166="","",$J166-$K166),"")</f>
        <v/>
      </c>
      <c r="M166" s="31">
        <f>IF($C166="","",IF(NOT(ISNUMBER($G166)),"No dividend",IF($G166=0,"No dividend",IF(ISNUMBER($H166),"OK","Franking n/a"))))</f>
        <v/>
      </c>
    </row>
    <row r="167">
      <c r="A167" s="16" t="n"/>
      <c r="B167" s="16" t="n"/>
      <c r="C167" s="16">
        <f>IF($A167="","",$A167&amp;" Equity")</f>
        <v/>
      </c>
      <c r="D167" s="16">
        <f>IF($A167="","",BDP($C167,"NAME"))</f>
        <v/>
      </c>
      <c r="E167" s="32">
        <f>IF($A167="","",BDP($C167,"EQY_DVD_SH_12M"))</f>
        <v/>
      </c>
      <c r="F167" s="33">
        <f>IF($A167="","",BDP($C167,"EQY_DVD_YLD_12M"))</f>
        <v/>
      </c>
      <c r="G167" s="33">
        <f>IF($A167="","",BDP($C167,"EQY_DVD_YLD_IND"))</f>
        <v/>
      </c>
      <c r="H167" s="33">
        <f>IF($A167="","",BDP($C167,'Field Check'!$C$4))</f>
        <v/>
      </c>
      <c r="I167" s="34">
        <f>IFERROR(IF($B167="","",$B167/$B$3),"")</f>
        <v/>
      </c>
      <c r="J167" s="34">
        <f>IFERROR(IF($I167="","",$I167*IFERROR($G167,0)/100),"")</f>
        <v/>
      </c>
      <c r="K167" s="34">
        <f>IFERROR(IF($J167="","",IF(ISNUMBER($H167),$J167*$H167/'Index Summary'!$C$7,"")),"")</f>
        <v/>
      </c>
      <c r="L167" s="34">
        <f>IFERROR(IF($K167="","",$J167-$K167),"")</f>
        <v/>
      </c>
      <c r="M167" s="35">
        <f>IF($C167="","",IF(NOT(ISNUMBER($G167)),"No dividend",IF($G167=0,"No dividend",IF(ISNUMBER($H167),"OK","Franking n/a"))))</f>
        <v/>
      </c>
    </row>
    <row r="168">
      <c r="A168" s="27" t="n"/>
      <c r="B168" s="27" t="n"/>
      <c r="C168" s="27">
        <f>IF($A168="","",$A168&amp;" Equity")</f>
        <v/>
      </c>
      <c r="D168" s="27">
        <f>IF($A168="","",BDP($C168,"NAME"))</f>
        <v/>
      </c>
      <c r="E168" s="28">
        <f>IF($A168="","",BDP($C168,"EQY_DVD_SH_12M"))</f>
        <v/>
      </c>
      <c r="F168" s="29">
        <f>IF($A168="","",BDP($C168,"EQY_DVD_YLD_12M"))</f>
        <v/>
      </c>
      <c r="G168" s="29">
        <f>IF($A168="","",BDP($C168,"EQY_DVD_YLD_IND"))</f>
        <v/>
      </c>
      <c r="H168" s="29">
        <f>IF($A168="","",BDP($C168,'Field Check'!$C$4))</f>
        <v/>
      </c>
      <c r="I168" s="30">
        <f>IFERROR(IF($B168="","",$B168/$B$3),"")</f>
        <v/>
      </c>
      <c r="J168" s="30">
        <f>IFERROR(IF($I168="","",$I168*IFERROR($G168,0)/100),"")</f>
        <v/>
      </c>
      <c r="K168" s="30">
        <f>IFERROR(IF($J168="","",IF(ISNUMBER($H168),$J168*$H168/'Index Summary'!$C$7,"")),"")</f>
        <v/>
      </c>
      <c r="L168" s="30">
        <f>IFERROR(IF($K168="","",$J168-$K168),"")</f>
        <v/>
      </c>
      <c r="M168" s="31">
        <f>IF($C168="","",IF(NOT(ISNUMBER($G168)),"No dividend",IF($G168=0,"No dividend",IF(ISNUMBER($H168),"OK","Franking n/a"))))</f>
        <v/>
      </c>
    </row>
    <row r="169">
      <c r="A169" s="16" t="n"/>
      <c r="B169" s="16" t="n"/>
      <c r="C169" s="16">
        <f>IF($A169="","",$A169&amp;" Equity")</f>
        <v/>
      </c>
      <c r="D169" s="16">
        <f>IF($A169="","",BDP($C169,"NAME"))</f>
        <v/>
      </c>
      <c r="E169" s="32">
        <f>IF($A169="","",BDP($C169,"EQY_DVD_SH_12M"))</f>
        <v/>
      </c>
      <c r="F169" s="33">
        <f>IF($A169="","",BDP($C169,"EQY_DVD_YLD_12M"))</f>
        <v/>
      </c>
      <c r="G169" s="33">
        <f>IF($A169="","",BDP($C169,"EQY_DVD_YLD_IND"))</f>
        <v/>
      </c>
      <c r="H169" s="33">
        <f>IF($A169="","",BDP($C169,'Field Check'!$C$4))</f>
        <v/>
      </c>
      <c r="I169" s="34">
        <f>IFERROR(IF($B169="","",$B169/$B$3),"")</f>
        <v/>
      </c>
      <c r="J169" s="34">
        <f>IFERROR(IF($I169="","",$I169*IFERROR($G169,0)/100),"")</f>
        <v/>
      </c>
      <c r="K169" s="34">
        <f>IFERROR(IF($J169="","",IF(ISNUMBER($H169),$J169*$H169/'Index Summary'!$C$7,"")),"")</f>
        <v/>
      </c>
      <c r="L169" s="34">
        <f>IFERROR(IF($K169="","",$J169-$K169),"")</f>
        <v/>
      </c>
      <c r="M169" s="35">
        <f>IF($C169="","",IF(NOT(ISNUMBER($G169)),"No dividend",IF($G169=0,"No dividend",IF(ISNUMBER($H169),"OK","Franking n/a"))))</f>
        <v/>
      </c>
    </row>
    <row r="170">
      <c r="A170" s="27" t="n"/>
      <c r="B170" s="27" t="n"/>
      <c r="C170" s="27">
        <f>IF($A170="","",$A170&amp;" Equity")</f>
        <v/>
      </c>
      <c r="D170" s="27">
        <f>IF($A170="","",BDP($C170,"NAME"))</f>
        <v/>
      </c>
      <c r="E170" s="28">
        <f>IF($A170="","",BDP($C170,"EQY_DVD_SH_12M"))</f>
        <v/>
      </c>
      <c r="F170" s="29">
        <f>IF($A170="","",BDP($C170,"EQY_DVD_YLD_12M"))</f>
        <v/>
      </c>
      <c r="G170" s="29">
        <f>IF($A170="","",BDP($C170,"EQY_DVD_YLD_IND"))</f>
        <v/>
      </c>
      <c r="H170" s="29">
        <f>IF($A170="","",BDP($C170,'Field Check'!$C$4))</f>
        <v/>
      </c>
      <c r="I170" s="30">
        <f>IFERROR(IF($B170="","",$B170/$B$3),"")</f>
        <v/>
      </c>
      <c r="J170" s="30">
        <f>IFERROR(IF($I170="","",$I170*IFERROR($G170,0)/100),"")</f>
        <v/>
      </c>
      <c r="K170" s="30">
        <f>IFERROR(IF($J170="","",IF(ISNUMBER($H170),$J170*$H170/'Index Summary'!$C$7,"")),"")</f>
        <v/>
      </c>
      <c r="L170" s="30">
        <f>IFERROR(IF($K170="","",$J170-$K170),"")</f>
        <v/>
      </c>
      <c r="M170" s="31">
        <f>IF($C170="","",IF(NOT(ISNUMBER($G170)),"No dividend",IF($G170=0,"No dividend",IF(ISNUMBER($H170),"OK","Franking n/a"))))</f>
        <v/>
      </c>
    </row>
    <row r="171">
      <c r="A171" s="16" t="n"/>
      <c r="B171" s="16" t="n"/>
      <c r="C171" s="16">
        <f>IF($A171="","",$A171&amp;" Equity")</f>
        <v/>
      </c>
      <c r="D171" s="16">
        <f>IF($A171="","",BDP($C171,"NAME"))</f>
        <v/>
      </c>
      <c r="E171" s="32">
        <f>IF($A171="","",BDP($C171,"EQY_DVD_SH_12M"))</f>
        <v/>
      </c>
      <c r="F171" s="33">
        <f>IF($A171="","",BDP($C171,"EQY_DVD_YLD_12M"))</f>
        <v/>
      </c>
      <c r="G171" s="33">
        <f>IF($A171="","",BDP($C171,"EQY_DVD_YLD_IND"))</f>
        <v/>
      </c>
      <c r="H171" s="33">
        <f>IF($A171="","",BDP($C171,'Field Check'!$C$4))</f>
        <v/>
      </c>
      <c r="I171" s="34">
        <f>IFERROR(IF($B171="","",$B171/$B$3),"")</f>
        <v/>
      </c>
      <c r="J171" s="34">
        <f>IFERROR(IF($I171="","",$I171*IFERROR($G171,0)/100),"")</f>
        <v/>
      </c>
      <c r="K171" s="34">
        <f>IFERROR(IF($J171="","",IF(ISNUMBER($H171),$J171*$H171/'Index Summary'!$C$7,"")),"")</f>
        <v/>
      </c>
      <c r="L171" s="34">
        <f>IFERROR(IF($K171="","",$J171-$K171),"")</f>
        <v/>
      </c>
      <c r="M171" s="35">
        <f>IF($C171="","",IF(NOT(ISNUMBER($G171)),"No dividend",IF($G171=0,"No dividend",IF(ISNUMBER($H171),"OK","Franking n/a"))))</f>
        <v/>
      </c>
    </row>
    <row r="172">
      <c r="A172" s="27" t="n"/>
      <c r="B172" s="27" t="n"/>
      <c r="C172" s="27">
        <f>IF($A172="","",$A172&amp;" Equity")</f>
        <v/>
      </c>
      <c r="D172" s="27">
        <f>IF($A172="","",BDP($C172,"NAME"))</f>
        <v/>
      </c>
      <c r="E172" s="28">
        <f>IF($A172="","",BDP($C172,"EQY_DVD_SH_12M"))</f>
        <v/>
      </c>
      <c r="F172" s="29">
        <f>IF($A172="","",BDP($C172,"EQY_DVD_YLD_12M"))</f>
        <v/>
      </c>
      <c r="G172" s="29">
        <f>IF($A172="","",BDP($C172,"EQY_DVD_YLD_IND"))</f>
        <v/>
      </c>
      <c r="H172" s="29">
        <f>IF($A172="","",BDP($C172,'Field Check'!$C$4))</f>
        <v/>
      </c>
      <c r="I172" s="30">
        <f>IFERROR(IF($B172="","",$B172/$B$3),"")</f>
        <v/>
      </c>
      <c r="J172" s="30">
        <f>IFERROR(IF($I172="","",$I172*IFERROR($G172,0)/100),"")</f>
        <v/>
      </c>
      <c r="K172" s="30">
        <f>IFERROR(IF($J172="","",IF(ISNUMBER($H172),$J172*$H172/'Index Summary'!$C$7,"")),"")</f>
        <v/>
      </c>
      <c r="L172" s="30">
        <f>IFERROR(IF($K172="","",$J172-$K172),"")</f>
        <v/>
      </c>
      <c r="M172" s="31">
        <f>IF($C172="","",IF(NOT(ISNUMBER($G172)),"No dividend",IF($G172=0,"No dividend",IF(ISNUMBER($H172),"OK","Franking n/a"))))</f>
        <v/>
      </c>
    </row>
    <row r="173">
      <c r="A173" s="16" t="n"/>
      <c r="B173" s="16" t="n"/>
      <c r="C173" s="16">
        <f>IF($A173="","",$A173&amp;" Equity")</f>
        <v/>
      </c>
      <c r="D173" s="16">
        <f>IF($A173="","",BDP($C173,"NAME"))</f>
        <v/>
      </c>
      <c r="E173" s="32">
        <f>IF($A173="","",BDP($C173,"EQY_DVD_SH_12M"))</f>
        <v/>
      </c>
      <c r="F173" s="33">
        <f>IF($A173="","",BDP($C173,"EQY_DVD_YLD_12M"))</f>
        <v/>
      </c>
      <c r="G173" s="33">
        <f>IF($A173="","",BDP($C173,"EQY_DVD_YLD_IND"))</f>
        <v/>
      </c>
      <c r="H173" s="33">
        <f>IF($A173="","",BDP($C173,'Field Check'!$C$4))</f>
        <v/>
      </c>
      <c r="I173" s="34">
        <f>IFERROR(IF($B173="","",$B173/$B$3),"")</f>
        <v/>
      </c>
      <c r="J173" s="34">
        <f>IFERROR(IF($I173="","",$I173*IFERROR($G173,0)/100),"")</f>
        <v/>
      </c>
      <c r="K173" s="34">
        <f>IFERROR(IF($J173="","",IF(ISNUMBER($H173),$J173*$H173/'Index Summary'!$C$7,"")),"")</f>
        <v/>
      </c>
      <c r="L173" s="34">
        <f>IFERROR(IF($K173="","",$J173-$K173),"")</f>
        <v/>
      </c>
      <c r="M173" s="35">
        <f>IF($C173="","",IF(NOT(ISNUMBER($G173)),"No dividend",IF($G173=0,"No dividend",IF(ISNUMBER($H173),"OK","Franking n/a"))))</f>
        <v/>
      </c>
    </row>
    <row r="174">
      <c r="A174" s="27" t="n"/>
      <c r="B174" s="27" t="n"/>
      <c r="C174" s="27">
        <f>IF($A174="","",$A174&amp;" Equity")</f>
        <v/>
      </c>
      <c r="D174" s="27">
        <f>IF($A174="","",BDP($C174,"NAME"))</f>
        <v/>
      </c>
      <c r="E174" s="28">
        <f>IF($A174="","",BDP($C174,"EQY_DVD_SH_12M"))</f>
        <v/>
      </c>
      <c r="F174" s="29">
        <f>IF($A174="","",BDP($C174,"EQY_DVD_YLD_12M"))</f>
        <v/>
      </c>
      <c r="G174" s="29">
        <f>IF($A174="","",BDP($C174,"EQY_DVD_YLD_IND"))</f>
        <v/>
      </c>
      <c r="H174" s="29">
        <f>IF($A174="","",BDP($C174,'Field Check'!$C$4))</f>
        <v/>
      </c>
      <c r="I174" s="30">
        <f>IFERROR(IF($B174="","",$B174/$B$3),"")</f>
        <v/>
      </c>
      <c r="J174" s="30">
        <f>IFERROR(IF($I174="","",$I174*IFERROR($G174,0)/100),"")</f>
        <v/>
      </c>
      <c r="K174" s="30">
        <f>IFERROR(IF($J174="","",IF(ISNUMBER($H174),$J174*$H174/'Index Summary'!$C$7,"")),"")</f>
        <v/>
      </c>
      <c r="L174" s="30">
        <f>IFERROR(IF($K174="","",$J174-$K174),"")</f>
        <v/>
      </c>
      <c r="M174" s="31">
        <f>IF($C174="","",IF(NOT(ISNUMBER($G174)),"No dividend",IF($G174=0,"No dividend",IF(ISNUMBER($H174),"OK","Franking n/a"))))</f>
        <v/>
      </c>
    </row>
    <row r="175">
      <c r="A175" s="16" t="n"/>
      <c r="B175" s="16" t="n"/>
      <c r="C175" s="16">
        <f>IF($A175="","",$A175&amp;" Equity")</f>
        <v/>
      </c>
      <c r="D175" s="16">
        <f>IF($A175="","",BDP($C175,"NAME"))</f>
        <v/>
      </c>
      <c r="E175" s="32">
        <f>IF($A175="","",BDP($C175,"EQY_DVD_SH_12M"))</f>
        <v/>
      </c>
      <c r="F175" s="33">
        <f>IF($A175="","",BDP($C175,"EQY_DVD_YLD_12M"))</f>
        <v/>
      </c>
      <c r="G175" s="33">
        <f>IF($A175="","",BDP($C175,"EQY_DVD_YLD_IND"))</f>
        <v/>
      </c>
      <c r="H175" s="33">
        <f>IF($A175="","",BDP($C175,'Field Check'!$C$4))</f>
        <v/>
      </c>
      <c r="I175" s="34">
        <f>IFERROR(IF($B175="","",$B175/$B$3),"")</f>
        <v/>
      </c>
      <c r="J175" s="34">
        <f>IFERROR(IF($I175="","",$I175*IFERROR($G175,0)/100),"")</f>
        <v/>
      </c>
      <c r="K175" s="34">
        <f>IFERROR(IF($J175="","",IF(ISNUMBER($H175),$J175*$H175/'Index Summary'!$C$7,"")),"")</f>
        <v/>
      </c>
      <c r="L175" s="34">
        <f>IFERROR(IF($K175="","",$J175-$K175),"")</f>
        <v/>
      </c>
      <c r="M175" s="35">
        <f>IF($C175="","",IF(NOT(ISNUMBER($G175)),"No dividend",IF($G175=0,"No dividend",IF(ISNUMBER($H175),"OK","Franking n/a"))))</f>
        <v/>
      </c>
    </row>
    <row r="176">
      <c r="A176" s="27" t="n"/>
      <c r="B176" s="27" t="n"/>
      <c r="C176" s="27">
        <f>IF($A176="","",$A176&amp;" Equity")</f>
        <v/>
      </c>
      <c r="D176" s="27">
        <f>IF($A176="","",BDP($C176,"NAME"))</f>
        <v/>
      </c>
      <c r="E176" s="28">
        <f>IF($A176="","",BDP($C176,"EQY_DVD_SH_12M"))</f>
        <v/>
      </c>
      <c r="F176" s="29">
        <f>IF($A176="","",BDP($C176,"EQY_DVD_YLD_12M"))</f>
        <v/>
      </c>
      <c r="G176" s="29">
        <f>IF($A176="","",BDP($C176,"EQY_DVD_YLD_IND"))</f>
        <v/>
      </c>
      <c r="H176" s="29">
        <f>IF($A176="","",BDP($C176,'Field Check'!$C$4))</f>
        <v/>
      </c>
      <c r="I176" s="30">
        <f>IFERROR(IF($B176="","",$B176/$B$3),"")</f>
        <v/>
      </c>
      <c r="J176" s="30">
        <f>IFERROR(IF($I176="","",$I176*IFERROR($G176,0)/100),"")</f>
        <v/>
      </c>
      <c r="K176" s="30">
        <f>IFERROR(IF($J176="","",IF(ISNUMBER($H176),$J176*$H176/'Index Summary'!$C$7,"")),"")</f>
        <v/>
      </c>
      <c r="L176" s="30">
        <f>IFERROR(IF($K176="","",$J176-$K176),"")</f>
        <v/>
      </c>
      <c r="M176" s="31">
        <f>IF($C176="","",IF(NOT(ISNUMBER($G176)),"No dividend",IF($G176=0,"No dividend",IF(ISNUMBER($H176),"OK","Franking n/a"))))</f>
        <v/>
      </c>
    </row>
    <row r="177">
      <c r="A177" s="16" t="n"/>
      <c r="B177" s="16" t="n"/>
      <c r="C177" s="16">
        <f>IF($A177="","",$A177&amp;" Equity")</f>
        <v/>
      </c>
      <c r="D177" s="16">
        <f>IF($A177="","",BDP($C177,"NAME"))</f>
        <v/>
      </c>
      <c r="E177" s="32">
        <f>IF($A177="","",BDP($C177,"EQY_DVD_SH_12M"))</f>
        <v/>
      </c>
      <c r="F177" s="33">
        <f>IF($A177="","",BDP($C177,"EQY_DVD_YLD_12M"))</f>
        <v/>
      </c>
      <c r="G177" s="33">
        <f>IF($A177="","",BDP($C177,"EQY_DVD_YLD_IND"))</f>
        <v/>
      </c>
      <c r="H177" s="33">
        <f>IF($A177="","",BDP($C177,'Field Check'!$C$4))</f>
        <v/>
      </c>
      <c r="I177" s="34">
        <f>IFERROR(IF($B177="","",$B177/$B$3),"")</f>
        <v/>
      </c>
      <c r="J177" s="34">
        <f>IFERROR(IF($I177="","",$I177*IFERROR($G177,0)/100),"")</f>
        <v/>
      </c>
      <c r="K177" s="34">
        <f>IFERROR(IF($J177="","",IF(ISNUMBER($H177),$J177*$H177/'Index Summary'!$C$7,"")),"")</f>
        <v/>
      </c>
      <c r="L177" s="34">
        <f>IFERROR(IF($K177="","",$J177-$K177),"")</f>
        <v/>
      </c>
      <c r="M177" s="35">
        <f>IF($C177="","",IF(NOT(ISNUMBER($G177)),"No dividend",IF($G177=0,"No dividend",IF(ISNUMBER($H177),"OK","Franking n/a"))))</f>
        <v/>
      </c>
    </row>
    <row r="178">
      <c r="A178" s="27" t="n"/>
      <c r="B178" s="27" t="n"/>
      <c r="C178" s="27">
        <f>IF($A178="","",$A178&amp;" Equity")</f>
        <v/>
      </c>
      <c r="D178" s="27">
        <f>IF($A178="","",BDP($C178,"NAME"))</f>
        <v/>
      </c>
      <c r="E178" s="28">
        <f>IF($A178="","",BDP($C178,"EQY_DVD_SH_12M"))</f>
        <v/>
      </c>
      <c r="F178" s="29">
        <f>IF($A178="","",BDP($C178,"EQY_DVD_YLD_12M"))</f>
        <v/>
      </c>
      <c r="G178" s="29">
        <f>IF($A178="","",BDP($C178,"EQY_DVD_YLD_IND"))</f>
        <v/>
      </c>
      <c r="H178" s="29">
        <f>IF($A178="","",BDP($C178,'Field Check'!$C$4))</f>
        <v/>
      </c>
      <c r="I178" s="30">
        <f>IFERROR(IF($B178="","",$B178/$B$3),"")</f>
        <v/>
      </c>
      <c r="J178" s="30">
        <f>IFERROR(IF($I178="","",$I178*IFERROR($G178,0)/100),"")</f>
        <v/>
      </c>
      <c r="K178" s="30">
        <f>IFERROR(IF($J178="","",IF(ISNUMBER($H178),$J178*$H178/'Index Summary'!$C$7,"")),"")</f>
        <v/>
      </c>
      <c r="L178" s="30">
        <f>IFERROR(IF($K178="","",$J178-$K178),"")</f>
        <v/>
      </c>
      <c r="M178" s="31">
        <f>IF($C178="","",IF(NOT(ISNUMBER($G178)),"No dividend",IF($G178=0,"No dividend",IF(ISNUMBER($H178),"OK","Franking n/a"))))</f>
        <v/>
      </c>
    </row>
    <row r="179">
      <c r="A179" s="16" t="n"/>
      <c r="B179" s="16" t="n"/>
      <c r="C179" s="16">
        <f>IF($A179="","",$A179&amp;" Equity")</f>
        <v/>
      </c>
      <c r="D179" s="16">
        <f>IF($A179="","",BDP($C179,"NAME"))</f>
        <v/>
      </c>
      <c r="E179" s="32">
        <f>IF($A179="","",BDP($C179,"EQY_DVD_SH_12M"))</f>
        <v/>
      </c>
      <c r="F179" s="33">
        <f>IF($A179="","",BDP($C179,"EQY_DVD_YLD_12M"))</f>
        <v/>
      </c>
      <c r="G179" s="33">
        <f>IF($A179="","",BDP($C179,"EQY_DVD_YLD_IND"))</f>
        <v/>
      </c>
      <c r="H179" s="33">
        <f>IF($A179="","",BDP($C179,'Field Check'!$C$4))</f>
        <v/>
      </c>
      <c r="I179" s="34">
        <f>IFERROR(IF($B179="","",$B179/$B$3),"")</f>
        <v/>
      </c>
      <c r="J179" s="34">
        <f>IFERROR(IF($I179="","",$I179*IFERROR($G179,0)/100),"")</f>
        <v/>
      </c>
      <c r="K179" s="34">
        <f>IFERROR(IF($J179="","",IF(ISNUMBER($H179),$J179*$H179/'Index Summary'!$C$7,"")),"")</f>
        <v/>
      </c>
      <c r="L179" s="34">
        <f>IFERROR(IF($K179="","",$J179-$K179),"")</f>
        <v/>
      </c>
      <c r="M179" s="35">
        <f>IF($C179="","",IF(NOT(ISNUMBER($G179)),"No dividend",IF($G179=0,"No dividend",IF(ISNUMBER($H179),"OK","Franking n/a"))))</f>
        <v/>
      </c>
    </row>
    <row r="180">
      <c r="A180" s="27" t="n"/>
      <c r="B180" s="27" t="n"/>
      <c r="C180" s="27">
        <f>IF($A180="","",$A180&amp;" Equity")</f>
        <v/>
      </c>
      <c r="D180" s="27">
        <f>IF($A180="","",BDP($C180,"NAME"))</f>
        <v/>
      </c>
      <c r="E180" s="28">
        <f>IF($A180="","",BDP($C180,"EQY_DVD_SH_12M"))</f>
        <v/>
      </c>
      <c r="F180" s="29">
        <f>IF($A180="","",BDP($C180,"EQY_DVD_YLD_12M"))</f>
        <v/>
      </c>
      <c r="G180" s="29">
        <f>IF($A180="","",BDP($C180,"EQY_DVD_YLD_IND"))</f>
        <v/>
      </c>
      <c r="H180" s="29">
        <f>IF($A180="","",BDP($C180,'Field Check'!$C$4))</f>
        <v/>
      </c>
      <c r="I180" s="30">
        <f>IFERROR(IF($B180="","",$B180/$B$3),"")</f>
        <v/>
      </c>
      <c r="J180" s="30">
        <f>IFERROR(IF($I180="","",$I180*IFERROR($G180,0)/100),"")</f>
        <v/>
      </c>
      <c r="K180" s="30">
        <f>IFERROR(IF($J180="","",IF(ISNUMBER($H180),$J180*$H180/'Index Summary'!$C$7,"")),"")</f>
        <v/>
      </c>
      <c r="L180" s="30">
        <f>IFERROR(IF($K180="","",$J180-$K180),"")</f>
        <v/>
      </c>
      <c r="M180" s="31">
        <f>IF($C180="","",IF(NOT(ISNUMBER($G180)),"No dividend",IF($G180=0,"No dividend",IF(ISNUMBER($H180),"OK","Franking n/a"))))</f>
        <v/>
      </c>
    </row>
    <row r="181">
      <c r="A181" s="16" t="n"/>
      <c r="B181" s="16" t="n"/>
      <c r="C181" s="16">
        <f>IF($A181="","",$A181&amp;" Equity")</f>
        <v/>
      </c>
      <c r="D181" s="16">
        <f>IF($A181="","",BDP($C181,"NAME"))</f>
        <v/>
      </c>
      <c r="E181" s="32">
        <f>IF($A181="","",BDP($C181,"EQY_DVD_SH_12M"))</f>
        <v/>
      </c>
      <c r="F181" s="33">
        <f>IF($A181="","",BDP($C181,"EQY_DVD_YLD_12M"))</f>
        <v/>
      </c>
      <c r="G181" s="33">
        <f>IF($A181="","",BDP($C181,"EQY_DVD_YLD_IND"))</f>
        <v/>
      </c>
      <c r="H181" s="33">
        <f>IF($A181="","",BDP($C181,'Field Check'!$C$4))</f>
        <v/>
      </c>
      <c r="I181" s="34">
        <f>IFERROR(IF($B181="","",$B181/$B$3),"")</f>
        <v/>
      </c>
      <c r="J181" s="34">
        <f>IFERROR(IF($I181="","",$I181*IFERROR($G181,0)/100),"")</f>
        <v/>
      </c>
      <c r="K181" s="34">
        <f>IFERROR(IF($J181="","",IF(ISNUMBER($H181),$J181*$H181/'Index Summary'!$C$7,"")),"")</f>
        <v/>
      </c>
      <c r="L181" s="34">
        <f>IFERROR(IF($K181="","",$J181-$K181),"")</f>
        <v/>
      </c>
      <c r="M181" s="35">
        <f>IF($C181="","",IF(NOT(ISNUMBER($G181)),"No dividend",IF($G181=0,"No dividend",IF(ISNUMBER($H181),"OK","Franking n/a"))))</f>
        <v/>
      </c>
    </row>
    <row r="182">
      <c r="A182" s="27" t="n"/>
      <c r="B182" s="27" t="n"/>
      <c r="C182" s="27">
        <f>IF($A182="","",$A182&amp;" Equity")</f>
        <v/>
      </c>
      <c r="D182" s="27">
        <f>IF($A182="","",BDP($C182,"NAME"))</f>
        <v/>
      </c>
      <c r="E182" s="28">
        <f>IF($A182="","",BDP($C182,"EQY_DVD_SH_12M"))</f>
        <v/>
      </c>
      <c r="F182" s="29">
        <f>IF($A182="","",BDP($C182,"EQY_DVD_YLD_12M"))</f>
        <v/>
      </c>
      <c r="G182" s="29">
        <f>IF($A182="","",BDP($C182,"EQY_DVD_YLD_IND"))</f>
        <v/>
      </c>
      <c r="H182" s="29">
        <f>IF($A182="","",BDP($C182,'Field Check'!$C$4))</f>
        <v/>
      </c>
      <c r="I182" s="30">
        <f>IFERROR(IF($B182="","",$B182/$B$3),"")</f>
        <v/>
      </c>
      <c r="J182" s="30">
        <f>IFERROR(IF($I182="","",$I182*IFERROR($G182,0)/100),"")</f>
        <v/>
      </c>
      <c r="K182" s="30">
        <f>IFERROR(IF($J182="","",IF(ISNUMBER($H182),$J182*$H182/'Index Summary'!$C$7,"")),"")</f>
        <v/>
      </c>
      <c r="L182" s="30">
        <f>IFERROR(IF($K182="","",$J182-$K182),"")</f>
        <v/>
      </c>
      <c r="M182" s="31">
        <f>IF($C182="","",IF(NOT(ISNUMBER($G182)),"No dividend",IF($G182=0,"No dividend",IF(ISNUMBER($H182),"OK","Franking n/a"))))</f>
        <v/>
      </c>
    </row>
    <row r="183">
      <c r="A183" s="16" t="n"/>
      <c r="B183" s="16" t="n"/>
      <c r="C183" s="16">
        <f>IF($A183="","",$A183&amp;" Equity")</f>
        <v/>
      </c>
      <c r="D183" s="16">
        <f>IF($A183="","",BDP($C183,"NAME"))</f>
        <v/>
      </c>
      <c r="E183" s="32">
        <f>IF($A183="","",BDP($C183,"EQY_DVD_SH_12M"))</f>
        <v/>
      </c>
      <c r="F183" s="33">
        <f>IF($A183="","",BDP($C183,"EQY_DVD_YLD_12M"))</f>
        <v/>
      </c>
      <c r="G183" s="33">
        <f>IF($A183="","",BDP($C183,"EQY_DVD_YLD_IND"))</f>
        <v/>
      </c>
      <c r="H183" s="33">
        <f>IF($A183="","",BDP($C183,'Field Check'!$C$4))</f>
        <v/>
      </c>
      <c r="I183" s="34">
        <f>IFERROR(IF($B183="","",$B183/$B$3),"")</f>
        <v/>
      </c>
      <c r="J183" s="34">
        <f>IFERROR(IF($I183="","",$I183*IFERROR($G183,0)/100),"")</f>
        <v/>
      </c>
      <c r="K183" s="34">
        <f>IFERROR(IF($J183="","",IF(ISNUMBER($H183),$J183*$H183/'Index Summary'!$C$7,"")),"")</f>
        <v/>
      </c>
      <c r="L183" s="34">
        <f>IFERROR(IF($K183="","",$J183-$K183),"")</f>
        <v/>
      </c>
      <c r="M183" s="35">
        <f>IF($C183="","",IF(NOT(ISNUMBER($G183)),"No dividend",IF($G183=0,"No dividend",IF(ISNUMBER($H183),"OK","Franking n/a"))))</f>
        <v/>
      </c>
    </row>
    <row r="184">
      <c r="A184" s="27" t="n"/>
      <c r="B184" s="27" t="n"/>
      <c r="C184" s="27">
        <f>IF($A184="","",$A184&amp;" Equity")</f>
        <v/>
      </c>
      <c r="D184" s="27">
        <f>IF($A184="","",BDP($C184,"NAME"))</f>
        <v/>
      </c>
      <c r="E184" s="28">
        <f>IF($A184="","",BDP($C184,"EQY_DVD_SH_12M"))</f>
        <v/>
      </c>
      <c r="F184" s="29">
        <f>IF($A184="","",BDP($C184,"EQY_DVD_YLD_12M"))</f>
        <v/>
      </c>
      <c r="G184" s="29">
        <f>IF($A184="","",BDP($C184,"EQY_DVD_YLD_IND"))</f>
        <v/>
      </c>
      <c r="H184" s="29">
        <f>IF($A184="","",BDP($C184,'Field Check'!$C$4))</f>
        <v/>
      </c>
      <c r="I184" s="30">
        <f>IFERROR(IF($B184="","",$B184/$B$3),"")</f>
        <v/>
      </c>
      <c r="J184" s="30">
        <f>IFERROR(IF($I184="","",$I184*IFERROR($G184,0)/100),"")</f>
        <v/>
      </c>
      <c r="K184" s="30">
        <f>IFERROR(IF($J184="","",IF(ISNUMBER($H184),$J184*$H184/'Index Summary'!$C$7,"")),"")</f>
        <v/>
      </c>
      <c r="L184" s="30">
        <f>IFERROR(IF($K184="","",$J184-$K184),"")</f>
        <v/>
      </c>
      <c r="M184" s="31">
        <f>IF($C184="","",IF(NOT(ISNUMBER($G184)),"No dividend",IF($G184=0,"No dividend",IF(ISNUMBER($H184),"OK","Franking n/a"))))</f>
        <v/>
      </c>
    </row>
    <row r="185">
      <c r="A185" s="16" t="n"/>
      <c r="B185" s="16" t="n"/>
      <c r="C185" s="16">
        <f>IF($A185="","",$A185&amp;" Equity")</f>
        <v/>
      </c>
      <c r="D185" s="16">
        <f>IF($A185="","",BDP($C185,"NAME"))</f>
        <v/>
      </c>
      <c r="E185" s="32">
        <f>IF($A185="","",BDP($C185,"EQY_DVD_SH_12M"))</f>
        <v/>
      </c>
      <c r="F185" s="33">
        <f>IF($A185="","",BDP($C185,"EQY_DVD_YLD_12M"))</f>
        <v/>
      </c>
      <c r="G185" s="33">
        <f>IF($A185="","",BDP($C185,"EQY_DVD_YLD_IND"))</f>
        <v/>
      </c>
      <c r="H185" s="33">
        <f>IF($A185="","",BDP($C185,'Field Check'!$C$4))</f>
        <v/>
      </c>
      <c r="I185" s="34">
        <f>IFERROR(IF($B185="","",$B185/$B$3),"")</f>
        <v/>
      </c>
      <c r="J185" s="34">
        <f>IFERROR(IF($I185="","",$I185*IFERROR($G185,0)/100),"")</f>
        <v/>
      </c>
      <c r="K185" s="34">
        <f>IFERROR(IF($J185="","",IF(ISNUMBER($H185),$J185*$H185/'Index Summary'!$C$7,"")),"")</f>
        <v/>
      </c>
      <c r="L185" s="34">
        <f>IFERROR(IF($K185="","",$J185-$K185),"")</f>
        <v/>
      </c>
      <c r="M185" s="35">
        <f>IF($C185="","",IF(NOT(ISNUMBER($G185)),"No dividend",IF($G185=0,"No dividend",IF(ISNUMBER($H185),"OK","Franking n/a"))))</f>
        <v/>
      </c>
    </row>
    <row r="186">
      <c r="A186" s="27" t="n"/>
      <c r="B186" s="27" t="n"/>
      <c r="C186" s="27">
        <f>IF($A186="","",$A186&amp;" Equity")</f>
        <v/>
      </c>
      <c r="D186" s="27">
        <f>IF($A186="","",BDP($C186,"NAME"))</f>
        <v/>
      </c>
      <c r="E186" s="28">
        <f>IF($A186="","",BDP($C186,"EQY_DVD_SH_12M"))</f>
        <v/>
      </c>
      <c r="F186" s="29">
        <f>IF($A186="","",BDP($C186,"EQY_DVD_YLD_12M"))</f>
        <v/>
      </c>
      <c r="G186" s="29">
        <f>IF($A186="","",BDP($C186,"EQY_DVD_YLD_IND"))</f>
        <v/>
      </c>
      <c r="H186" s="29">
        <f>IF($A186="","",BDP($C186,'Field Check'!$C$4))</f>
        <v/>
      </c>
      <c r="I186" s="30">
        <f>IFERROR(IF($B186="","",$B186/$B$3),"")</f>
        <v/>
      </c>
      <c r="J186" s="30">
        <f>IFERROR(IF($I186="","",$I186*IFERROR($G186,0)/100),"")</f>
        <v/>
      </c>
      <c r="K186" s="30">
        <f>IFERROR(IF($J186="","",IF(ISNUMBER($H186),$J186*$H186/'Index Summary'!$C$7,"")),"")</f>
        <v/>
      </c>
      <c r="L186" s="30">
        <f>IFERROR(IF($K186="","",$J186-$K186),"")</f>
        <v/>
      </c>
      <c r="M186" s="31">
        <f>IF($C186="","",IF(NOT(ISNUMBER($G186)),"No dividend",IF($G186=0,"No dividend",IF(ISNUMBER($H186),"OK","Franking n/a"))))</f>
        <v/>
      </c>
    </row>
    <row r="187">
      <c r="A187" s="16" t="n"/>
      <c r="B187" s="16" t="n"/>
      <c r="C187" s="16">
        <f>IF($A187="","",$A187&amp;" Equity")</f>
        <v/>
      </c>
      <c r="D187" s="16">
        <f>IF($A187="","",BDP($C187,"NAME"))</f>
        <v/>
      </c>
      <c r="E187" s="32">
        <f>IF($A187="","",BDP($C187,"EQY_DVD_SH_12M"))</f>
        <v/>
      </c>
      <c r="F187" s="33">
        <f>IF($A187="","",BDP($C187,"EQY_DVD_YLD_12M"))</f>
        <v/>
      </c>
      <c r="G187" s="33">
        <f>IF($A187="","",BDP($C187,"EQY_DVD_YLD_IND"))</f>
        <v/>
      </c>
      <c r="H187" s="33">
        <f>IF($A187="","",BDP($C187,'Field Check'!$C$4))</f>
        <v/>
      </c>
      <c r="I187" s="34">
        <f>IFERROR(IF($B187="","",$B187/$B$3),"")</f>
        <v/>
      </c>
      <c r="J187" s="34">
        <f>IFERROR(IF($I187="","",$I187*IFERROR($G187,0)/100),"")</f>
        <v/>
      </c>
      <c r="K187" s="34">
        <f>IFERROR(IF($J187="","",IF(ISNUMBER($H187),$J187*$H187/'Index Summary'!$C$7,"")),"")</f>
        <v/>
      </c>
      <c r="L187" s="34">
        <f>IFERROR(IF($K187="","",$J187-$K187),"")</f>
        <v/>
      </c>
      <c r="M187" s="35">
        <f>IF($C187="","",IF(NOT(ISNUMBER($G187)),"No dividend",IF($G187=0,"No dividend",IF(ISNUMBER($H187),"OK","Franking n/a"))))</f>
        <v/>
      </c>
    </row>
    <row r="188">
      <c r="A188" s="27" t="n"/>
      <c r="B188" s="27" t="n"/>
      <c r="C188" s="27">
        <f>IF($A188="","",$A188&amp;" Equity")</f>
        <v/>
      </c>
      <c r="D188" s="27">
        <f>IF($A188="","",BDP($C188,"NAME"))</f>
        <v/>
      </c>
      <c r="E188" s="28">
        <f>IF($A188="","",BDP($C188,"EQY_DVD_SH_12M"))</f>
        <v/>
      </c>
      <c r="F188" s="29">
        <f>IF($A188="","",BDP($C188,"EQY_DVD_YLD_12M"))</f>
        <v/>
      </c>
      <c r="G188" s="29">
        <f>IF($A188="","",BDP($C188,"EQY_DVD_YLD_IND"))</f>
        <v/>
      </c>
      <c r="H188" s="29">
        <f>IF($A188="","",BDP($C188,'Field Check'!$C$4))</f>
        <v/>
      </c>
      <c r="I188" s="30">
        <f>IFERROR(IF($B188="","",$B188/$B$3),"")</f>
        <v/>
      </c>
      <c r="J188" s="30">
        <f>IFERROR(IF($I188="","",$I188*IFERROR($G188,0)/100),"")</f>
        <v/>
      </c>
      <c r="K188" s="30">
        <f>IFERROR(IF($J188="","",IF(ISNUMBER($H188),$J188*$H188/'Index Summary'!$C$7,"")),"")</f>
        <v/>
      </c>
      <c r="L188" s="30">
        <f>IFERROR(IF($K188="","",$J188-$K188),"")</f>
        <v/>
      </c>
      <c r="M188" s="31">
        <f>IF($C188="","",IF(NOT(ISNUMBER($G188)),"No dividend",IF($G188=0,"No dividend",IF(ISNUMBER($H188),"OK","Franking n/a"))))</f>
        <v/>
      </c>
    </row>
    <row r="189">
      <c r="A189" s="16" t="n"/>
      <c r="B189" s="16" t="n"/>
      <c r="C189" s="16">
        <f>IF($A189="","",$A189&amp;" Equity")</f>
        <v/>
      </c>
      <c r="D189" s="16">
        <f>IF($A189="","",BDP($C189,"NAME"))</f>
        <v/>
      </c>
      <c r="E189" s="32">
        <f>IF($A189="","",BDP($C189,"EQY_DVD_SH_12M"))</f>
        <v/>
      </c>
      <c r="F189" s="33">
        <f>IF($A189="","",BDP($C189,"EQY_DVD_YLD_12M"))</f>
        <v/>
      </c>
      <c r="G189" s="33">
        <f>IF($A189="","",BDP($C189,"EQY_DVD_YLD_IND"))</f>
        <v/>
      </c>
      <c r="H189" s="33">
        <f>IF($A189="","",BDP($C189,'Field Check'!$C$4))</f>
        <v/>
      </c>
      <c r="I189" s="34">
        <f>IFERROR(IF($B189="","",$B189/$B$3),"")</f>
        <v/>
      </c>
      <c r="J189" s="34">
        <f>IFERROR(IF($I189="","",$I189*IFERROR($G189,0)/100),"")</f>
        <v/>
      </c>
      <c r="K189" s="34">
        <f>IFERROR(IF($J189="","",IF(ISNUMBER($H189),$J189*$H189/'Index Summary'!$C$7,"")),"")</f>
        <v/>
      </c>
      <c r="L189" s="34">
        <f>IFERROR(IF($K189="","",$J189-$K189),"")</f>
        <v/>
      </c>
      <c r="M189" s="35">
        <f>IF($C189="","",IF(NOT(ISNUMBER($G189)),"No dividend",IF($G189=0,"No dividend",IF(ISNUMBER($H189),"OK","Franking n/a"))))</f>
        <v/>
      </c>
    </row>
    <row r="190">
      <c r="A190" s="27" t="n"/>
      <c r="B190" s="27" t="n"/>
      <c r="C190" s="27">
        <f>IF($A190="","",$A190&amp;" Equity")</f>
        <v/>
      </c>
      <c r="D190" s="27">
        <f>IF($A190="","",BDP($C190,"NAME"))</f>
        <v/>
      </c>
      <c r="E190" s="28">
        <f>IF($A190="","",BDP($C190,"EQY_DVD_SH_12M"))</f>
        <v/>
      </c>
      <c r="F190" s="29">
        <f>IF($A190="","",BDP($C190,"EQY_DVD_YLD_12M"))</f>
        <v/>
      </c>
      <c r="G190" s="29">
        <f>IF($A190="","",BDP($C190,"EQY_DVD_YLD_IND"))</f>
        <v/>
      </c>
      <c r="H190" s="29">
        <f>IF($A190="","",BDP($C190,'Field Check'!$C$4))</f>
        <v/>
      </c>
      <c r="I190" s="30">
        <f>IFERROR(IF($B190="","",$B190/$B$3),"")</f>
        <v/>
      </c>
      <c r="J190" s="30">
        <f>IFERROR(IF($I190="","",$I190*IFERROR($G190,0)/100),"")</f>
        <v/>
      </c>
      <c r="K190" s="30">
        <f>IFERROR(IF($J190="","",IF(ISNUMBER($H190),$J190*$H190/'Index Summary'!$C$7,"")),"")</f>
        <v/>
      </c>
      <c r="L190" s="30">
        <f>IFERROR(IF($K190="","",$J190-$K190),"")</f>
        <v/>
      </c>
      <c r="M190" s="31">
        <f>IF($C190="","",IF(NOT(ISNUMBER($G190)),"No dividend",IF($G190=0,"No dividend",IF(ISNUMBER($H190),"OK","Franking n/a"))))</f>
        <v/>
      </c>
    </row>
    <row r="191">
      <c r="A191" s="16" t="n"/>
      <c r="B191" s="16" t="n"/>
      <c r="C191" s="16">
        <f>IF($A191="","",$A191&amp;" Equity")</f>
        <v/>
      </c>
      <c r="D191" s="16">
        <f>IF($A191="","",BDP($C191,"NAME"))</f>
        <v/>
      </c>
      <c r="E191" s="32">
        <f>IF($A191="","",BDP($C191,"EQY_DVD_SH_12M"))</f>
        <v/>
      </c>
      <c r="F191" s="33">
        <f>IF($A191="","",BDP($C191,"EQY_DVD_YLD_12M"))</f>
        <v/>
      </c>
      <c r="G191" s="33">
        <f>IF($A191="","",BDP($C191,"EQY_DVD_YLD_IND"))</f>
        <v/>
      </c>
      <c r="H191" s="33">
        <f>IF($A191="","",BDP($C191,'Field Check'!$C$4))</f>
        <v/>
      </c>
      <c r="I191" s="34">
        <f>IFERROR(IF($B191="","",$B191/$B$3),"")</f>
        <v/>
      </c>
      <c r="J191" s="34">
        <f>IFERROR(IF($I191="","",$I191*IFERROR($G191,0)/100),"")</f>
        <v/>
      </c>
      <c r="K191" s="34">
        <f>IFERROR(IF($J191="","",IF(ISNUMBER($H191),$J191*$H191/'Index Summary'!$C$7,"")),"")</f>
        <v/>
      </c>
      <c r="L191" s="34">
        <f>IFERROR(IF($K191="","",$J191-$K191),"")</f>
        <v/>
      </c>
      <c r="M191" s="35">
        <f>IF($C191="","",IF(NOT(ISNUMBER($G191)),"No dividend",IF($G191=0,"No dividend",IF(ISNUMBER($H191),"OK","Franking n/a"))))</f>
        <v/>
      </c>
    </row>
    <row r="192">
      <c r="A192" s="27" t="n"/>
      <c r="B192" s="27" t="n"/>
      <c r="C192" s="27">
        <f>IF($A192="","",$A192&amp;" Equity")</f>
        <v/>
      </c>
      <c r="D192" s="27">
        <f>IF($A192="","",BDP($C192,"NAME"))</f>
        <v/>
      </c>
      <c r="E192" s="28">
        <f>IF($A192="","",BDP($C192,"EQY_DVD_SH_12M"))</f>
        <v/>
      </c>
      <c r="F192" s="29">
        <f>IF($A192="","",BDP($C192,"EQY_DVD_YLD_12M"))</f>
        <v/>
      </c>
      <c r="G192" s="29">
        <f>IF($A192="","",BDP($C192,"EQY_DVD_YLD_IND"))</f>
        <v/>
      </c>
      <c r="H192" s="29">
        <f>IF($A192="","",BDP($C192,'Field Check'!$C$4))</f>
        <v/>
      </c>
      <c r="I192" s="30">
        <f>IFERROR(IF($B192="","",$B192/$B$3),"")</f>
        <v/>
      </c>
      <c r="J192" s="30">
        <f>IFERROR(IF($I192="","",$I192*IFERROR($G192,0)/100),"")</f>
        <v/>
      </c>
      <c r="K192" s="30">
        <f>IFERROR(IF($J192="","",IF(ISNUMBER($H192),$J192*$H192/'Index Summary'!$C$7,"")),"")</f>
        <v/>
      </c>
      <c r="L192" s="30">
        <f>IFERROR(IF($K192="","",$J192-$K192),"")</f>
        <v/>
      </c>
      <c r="M192" s="31">
        <f>IF($C192="","",IF(NOT(ISNUMBER($G192)),"No dividend",IF($G192=0,"No dividend",IF(ISNUMBER($H192),"OK","Franking n/a"))))</f>
        <v/>
      </c>
    </row>
    <row r="193">
      <c r="A193" s="16" t="n"/>
      <c r="B193" s="16" t="n"/>
      <c r="C193" s="16">
        <f>IF($A193="","",$A193&amp;" Equity")</f>
        <v/>
      </c>
      <c r="D193" s="16">
        <f>IF($A193="","",BDP($C193,"NAME"))</f>
        <v/>
      </c>
      <c r="E193" s="32">
        <f>IF($A193="","",BDP($C193,"EQY_DVD_SH_12M"))</f>
        <v/>
      </c>
      <c r="F193" s="33">
        <f>IF($A193="","",BDP($C193,"EQY_DVD_YLD_12M"))</f>
        <v/>
      </c>
      <c r="G193" s="33">
        <f>IF($A193="","",BDP($C193,"EQY_DVD_YLD_IND"))</f>
        <v/>
      </c>
      <c r="H193" s="33">
        <f>IF($A193="","",BDP($C193,'Field Check'!$C$4))</f>
        <v/>
      </c>
      <c r="I193" s="34">
        <f>IFERROR(IF($B193="","",$B193/$B$3),"")</f>
        <v/>
      </c>
      <c r="J193" s="34">
        <f>IFERROR(IF($I193="","",$I193*IFERROR($G193,0)/100),"")</f>
        <v/>
      </c>
      <c r="K193" s="34">
        <f>IFERROR(IF($J193="","",IF(ISNUMBER($H193),$J193*$H193/'Index Summary'!$C$7,"")),"")</f>
        <v/>
      </c>
      <c r="L193" s="34">
        <f>IFERROR(IF($K193="","",$J193-$K193),"")</f>
        <v/>
      </c>
      <c r="M193" s="35">
        <f>IF($C193="","",IF(NOT(ISNUMBER($G193)),"No dividend",IF($G193=0,"No dividend",IF(ISNUMBER($H193),"OK","Franking n/a"))))</f>
        <v/>
      </c>
    </row>
    <row r="194">
      <c r="A194" s="27" t="n"/>
      <c r="B194" s="27" t="n"/>
      <c r="C194" s="27">
        <f>IF($A194="","",$A194&amp;" Equity")</f>
        <v/>
      </c>
      <c r="D194" s="27">
        <f>IF($A194="","",BDP($C194,"NAME"))</f>
        <v/>
      </c>
      <c r="E194" s="28">
        <f>IF($A194="","",BDP($C194,"EQY_DVD_SH_12M"))</f>
        <v/>
      </c>
      <c r="F194" s="29">
        <f>IF($A194="","",BDP($C194,"EQY_DVD_YLD_12M"))</f>
        <v/>
      </c>
      <c r="G194" s="29">
        <f>IF($A194="","",BDP($C194,"EQY_DVD_YLD_IND"))</f>
        <v/>
      </c>
      <c r="H194" s="29">
        <f>IF($A194="","",BDP($C194,'Field Check'!$C$4))</f>
        <v/>
      </c>
      <c r="I194" s="30">
        <f>IFERROR(IF($B194="","",$B194/$B$3),"")</f>
        <v/>
      </c>
      <c r="J194" s="30">
        <f>IFERROR(IF($I194="","",$I194*IFERROR($G194,0)/100),"")</f>
        <v/>
      </c>
      <c r="K194" s="30">
        <f>IFERROR(IF($J194="","",IF(ISNUMBER($H194),$J194*$H194/'Index Summary'!$C$7,"")),"")</f>
        <v/>
      </c>
      <c r="L194" s="30">
        <f>IFERROR(IF($K194="","",$J194-$K194),"")</f>
        <v/>
      </c>
      <c r="M194" s="31">
        <f>IF($C194="","",IF(NOT(ISNUMBER($G194)),"No dividend",IF($G194=0,"No dividend",IF(ISNUMBER($H194),"OK","Franking n/a"))))</f>
        <v/>
      </c>
    </row>
    <row r="195">
      <c r="A195" s="16" t="n"/>
      <c r="B195" s="16" t="n"/>
      <c r="C195" s="16">
        <f>IF($A195="","",$A195&amp;" Equity")</f>
        <v/>
      </c>
      <c r="D195" s="16">
        <f>IF($A195="","",BDP($C195,"NAME"))</f>
        <v/>
      </c>
      <c r="E195" s="32">
        <f>IF($A195="","",BDP($C195,"EQY_DVD_SH_12M"))</f>
        <v/>
      </c>
      <c r="F195" s="33">
        <f>IF($A195="","",BDP($C195,"EQY_DVD_YLD_12M"))</f>
        <v/>
      </c>
      <c r="G195" s="33">
        <f>IF($A195="","",BDP($C195,"EQY_DVD_YLD_IND"))</f>
        <v/>
      </c>
      <c r="H195" s="33">
        <f>IF($A195="","",BDP($C195,'Field Check'!$C$4))</f>
        <v/>
      </c>
      <c r="I195" s="34">
        <f>IFERROR(IF($B195="","",$B195/$B$3),"")</f>
        <v/>
      </c>
      <c r="J195" s="34">
        <f>IFERROR(IF($I195="","",$I195*IFERROR($G195,0)/100),"")</f>
        <v/>
      </c>
      <c r="K195" s="34">
        <f>IFERROR(IF($J195="","",IF(ISNUMBER($H195),$J195*$H195/'Index Summary'!$C$7,"")),"")</f>
        <v/>
      </c>
      <c r="L195" s="34">
        <f>IFERROR(IF($K195="","",$J195-$K195),"")</f>
        <v/>
      </c>
      <c r="M195" s="35">
        <f>IF($C195="","",IF(NOT(ISNUMBER($G195)),"No dividend",IF($G195=0,"No dividend",IF(ISNUMBER($H195),"OK","Franking n/a"))))</f>
        <v/>
      </c>
    </row>
    <row r="196">
      <c r="A196" s="27" t="n"/>
      <c r="B196" s="27" t="n"/>
      <c r="C196" s="27">
        <f>IF($A196="","",$A196&amp;" Equity")</f>
        <v/>
      </c>
      <c r="D196" s="27">
        <f>IF($A196="","",BDP($C196,"NAME"))</f>
        <v/>
      </c>
      <c r="E196" s="28">
        <f>IF($A196="","",BDP($C196,"EQY_DVD_SH_12M"))</f>
        <v/>
      </c>
      <c r="F196" s="29">
        <f>IF($A196="","",BDP($C196,"EQY_DVD_YLD_12M"))</f>
        <v/>
      </c>
      <c r="G196" s="29">
        <f>IF($A196="","",BDP($C196,"EQY_DVD_YLD_IND"))</f>
        <v/>
      </c>
      <c r="H196" s="29">
        <f>IF($A196="","",BDP($C196,'Field Check'!$C$4))</f>
        <v/>
      </c>
      <c r="I196" s="30">
        <f>IFERROR(IF($B196="","",$B196/$B$3),"")</f>
        <v/>
      </c>
      <c r="J196" s="30">
        <f>IFERROR(IF($I196="","",$I196*IFERROR($G196,0)/100),"")</f>
        <v/>
      </c>
      <c r="K196" s="30">
        <f>IFERROR(IF($J196="","",IF(ISNUMBER($H196),$J196*$H196/'Index Summary'!$C$7,"")),"")</f>
        <v/>
      </c>
      <c r="L196" s="30">
        <f>IFERROR(IF($K196="","",$J196-$K196),"")</f>
        <v/>
      </c>
      <c r="M196" s="31">
        <f>IF($C196="","",IF(NOT(ISNUMBER($G196)),"No dividend",IF($G196=0,"No dividend",IF(ISNUMBER($H196),"OK","Franking n/a"))))</f>
        <v/>
      </c>
    </row>
    <row r="197">
      <c r="A197" s="16" t="n"/>
      <c r="B197" s="16" t="n"/>
      <c r="C197" s="16">
        <f>IF($A197="","",$A197&amp;" Equity")</f>
        <v/>
      </c>
      <c r="D197" s="16">
        <f>IF($A197="","",BDP($C197,"NAME"))</f>
        <v/>
      </c>
      <c r="E197" s="32">
        <f>IF($A197="","",BDP($C197,"EQY_DVD_SH_12M"))</f>
        <v/>
      </c>
      <c r="F197" s="33">
        <f>IF($A197="","",BDP($C197,"EQY_DVD_YLD_12M"))</f>
        <v/>
      </c>
      <c r="G197" s="33">
        <f>IF($A197="","",BDP($C197,"EQY_DVD_YLD_IND"))</f>
        <v/>
      </c>
      <c r="H197" s="33">
        <f>IF($A197="","",BDP($C197,'Field Check'!$C$4))</f>
        <v/>
      </c>
      <c r="I197" s="34">
        <f>IFERROR(IF($B197="","",$B197/$B$3),"")</f>
        <v/>
      </c>
      <c r="J197" s="34">
        <f>IFERROR(IF($I197="","",$I197*IFERROR($G197,0)/100),"")</f>
        <v/>
      </c>
      <c r="K197" s="34">
        <f>IFERROR(IF($J197="","",IF(ISNUMBER($H197),$J197*$H197/'Index Summary'!$C$7,"")),"")</f>
        <v/>
      </c>
      <c r="L197" s="34">
        <f>IFERROR(IF($K197="","",$J197-$K197),"")</f>
        <v/>
      </c>
      <c r="M197" s="35">
        <f>IF($C197="","",IF(NOT(ISNUMBER($G197)),"No dividend",IF($G197=0,"No dividend",IF(ISNUMBER($H197),"OK","Franking n/a"))))</f>
        <v/>
      </c>
    </row>
    <row r="198">
      <c r="A198" s="27" t="n"/>
      <c r="B198" s="27" t="n"/>
      <c r="C198" s="27">
        <f>IF($A198="","",$A198&amp;" Equity")</f>
        <v/>
      </c>
      <c r="D198" s="27">
        <f>IF($A198="","",BDP($C198,"NAME"))</f>
        <v/>
      </c>
      <c r="E198" s="28">
        <f>IF($A198="","",BDP($C198,"EQY_DVD_SH_12M"))</f>
        <v/>
      </c>
      <c r="F198" s="29">
        <f>IF($A198="","",BDP($C198,"EQY_DVD_YLD_12M"))</f>
        <v/>
      </c>
      <c r="G198" s="29">
        <f>IF($A198="","",BDP($C198,"EQY_DVD_YLD_IND"))</f>
        <v/>
      </c>
      <c r="H198" s="29">
        <f>IF($A198="","",BDP($C198,'Field Check'!$C$4))</f>
        <v/>
      </c>
      <c r="I198" s="30">
        <f>IFERROR(IF($B198="","",$B198/$B$3),"")</f>
        <v/>
      </c>
      <c r="J198" s="30">
        <f>IFERROR(IF($I198="","",$I198*IFERROR($G198,0)/100),"")</f>
        <v/>
      </c>
      <c r="K198" s="30">
        <f>IFERROR(IF($J198="","",IF(ISNUMBER($H198),$J198*$H198/'Index Summary'!$C$7,"")),"")</f>
        <v/>
      </c>
      <c r="L198" s="30">
        <f>IFERROR(IF($K198="","",$J198-$K198),"")</f>
        <v/>
      </c>
      <c r="M198" s="31">
        <f>IF($C198="","",IF(NOT(ISNUMBER($G198)),"No dividend",IF($G198=0,"No dividend",IF(ISNUMBER($H198),"OK","Franking n/a"))))</f>
        <v/>
      </c>
    </row>
    <row r="199">
      <c r="A199" s="16" t="n"/>
      <c r="B199" s="16" t="n"/>
      <c r="C199" s="16">
        <f>IF($A199="","",$A199&amp;" Equity")</f>
        <v/>
      </c>
      <c r="D199" s="16">
        <f>IF($A199="","",BDP($C199,"NAME"))</f>
        <v/>
      </c>
      <c r="E199" s="32">
        <f>IF($A199="","",BDP($C199,"EQY_DVD_SH_12M"))</f>
        <v/>
      </c>
      <c r="F199" s="33">
        <f>IF($A199="","",BDP($C199,"EQY_DVD_YLD_12M"))</f>
        <v/>
      </c>
      <c r="G199" s="33">
        <f>IF($A199="","",BDP($C199,"EQY_DVD_YLD_IND"))</f>
        <v/>
      </c>
      <c r="H199" s="33">
        <f>IF($A199="","",BDP($C199,'Field Check'!$C$4))</f>
        <v/>
      </c>
      <c r="I199" s="34">
        <f>IFERROR(IF($B199="","",$B199/$B$3),"")</f>
        <v/>
      </c>
      <c r="J199" s="34">
        <f>IFERROR(IF($I199="","",$I199*IFERROR($G199,0)/100),"")</f>
        <v/>
      </c>
      <c r="K199" s="34">
        <f>IFERROR(IF($J199="","",IF(ISNUMBER($H199),$J199*$H199/'Index Summary'!$C$7,"")),"")</f>
        <v/>
      </c>
      <c r="L199" s="34">
        <f>IFERROR(IF($K199="","",$J199-$K199),"")</f>
        <v/>
      </c>
      <c r="M199" s="35">
        <f>IF($C199="","",IF(NOT(ISNUMBER($G199)),"No dividend",IF($G199=0,"No dividend",IF(ISNUMBER($H199),"OK","Franking n/a"))))</f>
        <v/>
      </c>
    </row>
    <row r="200">
      <c r="A200" s="27" t="n"/>
      <c r="B200" s="27" t="n"/>
      <c r="C200" s="27">
        <f>IF($A200="","",$A200&amp;" Equity")</f>
        <v/>
      </c>
      <c r="D200" s="27">
        <f>IF($A200="","",BDP($C200,"NAME"))</f>
        <v/>
      </c>
      <c r="E200" s="28">
        <f>IF($A200="","",BDP($C200,"EQY_DVD_SH_12M"))</f>
        <v/>
      </c>
      <c r="F200" s="29">
        <f>IF($A200="","",BDP($C200,"EQY_DVD_YLD_12M"))</f>
        <v/>
      </c>
      <c r="G200" s="29">
        <f>IF($A200="","",BDP($C200,"EQY_DVD_YLD_IND"))</f>
        <v/>
      </c>
      <c r="H200" s="29">
        <f>IF($A200="","",BDP($C200,'Field Check'!$C$4))</f>
        <v/>
      </c>
      <c r="I200" s="30">
        <f>IFERROR(IF($B200="","",$B200/$B$3),"")</f>
        <v/>
      </c>
      <c r="J200" s="30">
        <f>IFERROR(IF($I200="","",$I200*IFERROR($G200,0)/100),"")</f>
        <v/>
      </c>
      <c r="K200" s="30">
        <f>IFERROR(IF($J200="","",IF(ISNUMBER($H200),$J200*$H200/'Index Summary'!$C$7,"")),"")</f>
        <v/>
      </c>
      <c r="L200" s="30">
        <f>IFERROR(IF($K200="","",$J200-$K200),"")</f>
        <v/>
      </c>
      <c r="M200" s="31">
        <f>IF($C200="","",IF(NOT(ISNUMBER($G200)),"No dividend",IF($G200=0,"No dividend",IF(ISNUMBER($H200),"OK","Franking n/a"))))</f>
        <v/>
      </c>
    </row>
    <row r="201">
      <c r="A201" s="16" t="n"/>
      <c r="B201" s="16" t="n"/>
      <c r="C201" s="16">
        <f>IF($A201="","",$A201&amp;" Equity")</f>
        <v/>
      </c>
      <c r="D201" s="16">
        <f>IF($A201="","",BDP($C201,"NAME"))</f>
        <v/>
      </c>
      <c r="E201" s="32">
        <f>IF($A201="","",BDP($C201,"EQY_DVD_SH_12M"))</f>
        <v/>
      </c>
      <c r="F201" s="33">
        <f>IF($A201="","",BDP($C201,"EQY_DVD_YLD_12M"))</f>
        <v/>
      </c>
      <c r="G201" s="33">
        <f>IF($A201="","",BDP($C201,"EQY_DVD_YLD_IND"))</f>
        <v/>
      </c>
      <c r="H201" s="33">
        <f>IF($A201="","",BDP($C201,'Field Check'!$C$4))</f>
        <v/>
      </c>
      <c r="I201" s="34">
        <f>IFERROR(IF($B201="","",$B201/$B$3),"")</f>
        <v/>
      </c>
      <c r="J201" s="34">
        <f>IFERROR(IF($I201="","",$I201*IFERROR($G201,0)/100),"")</f>
        <v/>
      </c>
      <c r="K201" s="34">
        <f>IFERROR(IF($J201="","",IF(ISNUMBER($H201),$J201*$H201/'Index Summary'!$C$7,"")),"")</f>
        <v/>
      </c>
      <c r="L201" s="34">
        <f>IFERROR(IF($K201="","",$J201-$K201),"")</f>
        <v/>
      </c>
      <c r="M201" s="35">
        <f>IF($C201="","",IF(NOT(ISNUMBER($G201)),"No dividend",IF($G201=0,"No dividend",IF(ISNUMBER($H201),"OK","Franking n/a"))))</f>
        <v/>
      </c>
    </row>
    <row r="202">
      <c r="A202" s="27" t="n"/>
      <c r="B202" s="27" t="n"/>
      <c r="C202" s="27">
        <f>IF($A202="","",$A202&amp;" Equity")</f>
        <v/>
      </c>
      <c r="D202" s="27">
        <f>IF($A202="","",BDP($C202,"NAME"))</f>
        <v/>
      </c>
      <c r="E202" s="28">
        <f>IF($A202="","",BDP($C202,"EQY_DVD_SH_12M"))</f>
        <v/>
      </c>
      <c r="F202" s="29">
        <f>IF($A202="","",BDP($C202,"EQY_DVD_YLD_12M"))</f>
        <v/>
      </c>
      <c r="G202" s="29">
        <f>IF($A202="","",BDP($C202,"EQY_DVD_YLD_IND"))</f>
        <v/>
      </c>
      <c r="H202" s="29">
        <f>IF($A202="","",BDP($C202,'Field Check'!$C$4))</f>
        <v/>
      </c>
      <c r="I202" s="30">
        <f>IFERROR(IF($B202="","",$B202/$B$3),"")</f>
        <v/>
      </c>
      <c r="J202" s="30">
        <f>IFERROR(IF($I202="","",$I202*IFERROR($G202,0)/100),"")</f>
        <v/>
      </c>
      <c r="K202" s="30">
        <f>IFERROR(IF($J202="","",IF(ISNUMBER($H202),$J202*$H202/'Index Summary'!$C$7,"")),"")</f>
        <v/>
      </c>
      <c r="L202" s="30">
        <f>IFERROR(IF($K202="","",$J202-$K202),"")</f>
        <v/>
      </c>
      <c r="M202" s="31">
        <f>IF($C202="","",IF(NOT(ISNUMBER($G202)),"No dividend",IF($G202=0,"No dividend",IF(ISNUMBER($H202),"OK","Franking n/a"))))</f>
        <v/>
      </c>
    </row>
    <row r="203">
      <c r="A203" s="16" t="n"/>
      <c r="B203" s="16" t="n"/>
      <c r="C203" s="16">
        <f>IF($A203="","",$A203&amp;" Equity")</f>
        <v/>
      </c>
      <c r="D203" s="16">
        <f>IF($A203="","",BDP($C203,"NAME"))</f>
        <v/>
      </c>
      <c r="E203" s="32">
        <f>IF($A203="","",BDP($C203,"EQY_DVD_SH_12M"))</f>
        <v/>
      </c>
      <c r="F203" s="33">
        <f>IF($A203="","",BDP($C203,"EQY_DVD_YLD_12M"))</f>
        <v/>
      </c>
      <c r="G203" s="33">
        <f>IF($A203="","",BDP($C203,"EQY_DVD_YLD_IND"))</f>
        <v/>
      </c>
      <c r="H203" s="33">
        <f>IF($A203="","",BDP($C203,'Field Check'!$C$4))</f>
        <v/>
      </c>
      <c r="I203" s="34">
        <f>IFERROR(IF($B203="","",$B203/$B$3),"")</f>
        <v/>
      </c>
      <c r="J203" s="34">
        <f>IFERROR(IF($I203="","",$I203*IFERROR($G203,0)/100),"")</f>
        <v/>
      </c>
      <c r="K203" s="34">
        <f>IFERROR(IF($J203="","",IF(ISNUMBER($H203),$J203*$H203/'Index Summary'!$C$7,"")),"")</f>
        <v/>
      </c>
      <c r="L203" s="34">
        <f>IFERROR(IF($K203="","",$J203-$K203),"")</f>
        <v/>
      </c>
      <c r="M203" s="35">
        <f>IF($C203="","",IF(NOT(ISNUMBER($G203)),"No dividend",IF($G203=0,"No dividend",IF(ISNUMBER($H203),"OK","Franking n/a"))))</f>
        <v/>
      </c>
    </row>
    <row r="204">
      <c r="A204" s="27" t="n"/>
      <c r="B204" s="27" t="n"/>
      <c r="C204" s="27">
        <f>IF($A204="","",$A204&amp;" Equity")</f>
        <v/>
      </c>
      <c r="D204" s="27">
        <f>IF($A204="","",BDP($C204,"NAME"))</f>
        <v/>
      </c>
      <c r="E204" s="28">
        <f>IF($A204="","",BDP($C204,"EQY_DVD_SH_12M"))</f>
        <v/>
      </c>
      <c r="F204" s="29">
        <f>IF($A204="","",BDP($C204,"EQY_DVD_YLD_12M"))</f>
        <v/>
      </c>
      <c r="G204" s="29">
        <f>IF($A204="","",BDP($C204,"EQY_DVD_YLD_IND"))</f>
        <v/>
      </c>
      <c r="H204" s="29">
        <f>IF($A204="","",BDP($C204,'Field Check'!$C$4))</f>
        <v/>
      </c>
      <c r="I204" s="30">
        <f>IFERROR(IF($B204="","",$B204/$B$3),"")</f>
        <v/>
      </c>
      <c r="J204" s="30">
        <f>IFERROR(IF($I204="","",$I204*IFERROR($G204,0)/100),"")</f>
        <v/>
      </c>
      <c r="K204" s="30">
        <f>IFERROR(IF($J204="","",IF(ISNUMBER($H204),$J204*$H204/'Index Summary'!$C$7,"")),"")</f>
        <v/>
      </c>
      <c r="L204" s="30">
        <f>IFERROR(IF($K204="","",$J204-$K204),"")</f>
        <v/>
      </c>
      <c r="M204" s="31">
        <f>IF($C204="","",IF(NOT(ISNUMBER($G204)),"No dividend",IF($G204=0,"No dividend",IF(ISNUMBER($H204),"OK","Franking n/a"))))</f>
        <v/>
      </c>
    </row>
    <row r="205">
      <c r="A205" s="16" t="n"/>
      <c r="B205" s="16" t="n"/>
      <c r="C205" s="16">
        <f>IF($A205="","",$A205&amp;" Equity")</f>
        <v/>
      </c>
      <c r="D205" s="16">
        <f>IF($A205="","",BDP($C205,"NAME"))</f>
        <v/>
      </c>
      <c r="E205" s="32">
        <f>IF($A205="","",BDP($C205,"EQY_DVD_SH_12M"))</f>
        <v/>
      </c>
      <c r="F205" s="33">
        <f>IF($A205="","",BDP($C205,"EQY_DVD_YLD_12M"))</f>
        <v/>
      </c>
      <c r="G205" s="33">
        <f>IF($A205="","",BDP($C205,"EQY_DVD_YLD_IND"))</f>
        <v/>
      </c>
      <c r="H205" s="33">
        <f>IF($A205="","",BDP($C205,'Field Check'!$C$4))</f>
        <v/>
      </c>
      <c r="I205" s="34">
        <f>IFERROR(IF($B205="","",$B205/$B$3),"")</f>
        <v/>
      </c>
      <c r="J205" s="34">
        <f>IFERROR(IF($I205="","",$I205*IFERROR($G205,0)/100),"")</f>
        <v/>
      </c>
      <c r="K205" s="34">
        <f>IFERROR(IF($J205="","",IF(ISNUMBER($H205),$J205*$H205/'Index Summary'!$C$7,"")),"")</f>
        <v/>
      </c>
      <c r="L205" s="34">
        <f>IFERROR(IF($K205="","",$J205-$K205),"")</f>
        <v/>
      </c>
      <c r="M205" s="35">
        <f>IF($C205="","",IF(NOT(ISNUMBER($G205)),"No dividend",IF($G205=0,"No dividend",IF(ISNUMBER($H205),"OK","Franking n/a"))))</f>
        <v/>
      </c>
    </row>
    <row r="206">
      <c r="A206" s="27" t="n"/>
      <c r="B206" s="27" t="n"/>
      <c r="C206" s="27">
        <f>IF($A206="","",$A206&amp;" Equity")</f>
        <v/>
      </c>
      <c r="D206" s="27">
        <f>IF($A206="","",BDP($C206,"NAME"))</f>
        <v/>
      </c>
      <c r="E206" s="28">
        <f>IF($A206="","",BDP($C206,"EQY_DVD_SH_12M"))</f>
        <v/>
      </c>
      <c r="F206" s="29">
        <f>IF($A206="","",BDP($C206,"EQY_DVD_YLD_12M"))</f>
        <v/>
      </c>
      <c r="G206" s="29">
        <f>IF($A206="","",BDP($C206,"EQY_DVD_YLD_IND"))</f>
        <v/>
      </c>
      <c r="H206" s="29">
        <f>IF($A206="","",BDP($C206,'Field Check'!$C$4))</f>
        <v/>
      </c>
      <c r="I206" s="30">
        <f>IFERROR(IF($B206="","",$B206/$B$3),"")</f>
        <v/>
      </c>
      <c r="J206" s="30">
        <f>IFERROR(IF($I206="","",$I206*IFERROR($G206,0)/100),"")</f>
        <v/>
      </c>
      <c r="K206" s="30">
        <f>IFERROR(IF($J206="","",IF(ISNUMBER($H206),$J206*$H206/'Index Summary'!$C$7,"")),"")</f>
        <v/>
      </c>
      <c r="L206" s="30">
        <f>IFERROR(IF($K206="","",$J206-$K206),"")</f>
        <v/>
      </c>
      <c r="M206" s="31">
        <f>IF($C206="","",IF(NOT(ISNUMBER($G206)),"No dividend",IF($G206=0,"No dividend",IF(ISNUMBER($H206),"OK","Franking n/a"))))</f>
        <v/>
      </c>
    </row>
    <row r="207">
      <c r="A207" s="16" t="n"/>
      <c r="B207" s="16" t="n"/>
      <c r="C207" s="16">
        <f>IF($A207="","",$A207&amp;" Equity")</f>
        <v/>
      </c>
      <c r="D207" s="16">
        <f>IF($A207="","",BDP($C207,"NAME"))</f>
        <v/>
      </c>
      <c r="E207" s="32">
        <f>IF($A207="","",BDP($C207,"EQY_DVD_SH_12M"))</f>
        <v/>
      </c>
      <c r="F207" s="33">
        <f>IF($A207="","",BDP($C207,"EQY_DVD_YLD_12M"))</f>
        <v/>
      </c>
      <c r="G207" s="33">
        <f>IF($A207="","",BDP($C207,"EQY_DVD_YLD_IND"))</f>
        <v/>
      </c>
      <c r="H207" s="33">
        <f>IF($A207="","",BDP($C207,'Field Check'!$C$4))</f>
        <v/>
      </c>
      <c r="I207" s="34">
        <f>IFERROR(IF($B207="","",$B207/$B$3),"")</f>
        <v/>
      </c>
      <c r="J207" s="34">
        <f>IFERROR(IF($I207="","",$I207*IFERROR($G207,0)/100),"")</f>
        <v/>
      </c>
      <c r="K207" s="34">
        <f>IFERROR(IF($J207="","",IF(ISNUMBER($H207),$J207*$H207/'Index Summary'!$C$7,"")),"")</f>
        <v/>
      </c>
      <c r="L207" s="34">
        <f>IFERROR(IF($K207="","",$J207-$K207),"")</f>
        <v/>
      </c>
      <c r="M207" s="35">
        <f>IF($C207="","",IF(NOT(ISNUMBER($G207)),"No dividend",IF($G207=0,"No dividend",IF(ISNUMBER($H207),"OK","Franking n/a"))))</f>
        <v/>
      </c>
    </row>
    <row r="208">
      <c r="A208" s="27" t="n"/>
      <c r="B208" s="27" t="n"/>
      <c r="C208" s="27">
        <f>IF($A208="","",$A208&amp;" Equity")</f>
        <v/>
      </c>
      <c r="D208" s="27">
        <f>IF($A208="","",BDP($C208,"NAME"))</f>
        <v/>
      </c>
      <c r="E208" s="28">
        <f>IF($A208="","",BDP($C208,"EQY_DVD_SH_12M"))</f>
        <v/>
      </c>
      <c r="F208" s="29">
        <f>IF($A208="","",BDP($C208,"EQY_DVD_YLD_12M"))</f>
        <v/>
      </c>
      <c r="G208" s="29">
        <f>IF($A208="","",BDP($C208,"EQY_DVD_YLD_IND"))</f>
        <v/>
      </c>
      <c r="H208" s="29">
        <f>IF($A208="","",BDP($C208,'Field Check'!$C$4))</f>
        <v/>
      </c>
      <c r="I208" s="30">
        <f>IFERROR(IF($B208="","",$B208/$B$3),"")</f>
        <v/>
      </c>
      <c r="J208" s="30">
        <f>IFERROR(IF($I208="","",$I208*IFERROR($G208,0)/100),"")</f>
        <v/>
      </c>
      <c r="K208" s="30">
        <f>IFERROR(IF($J208="","",IF(ISNUMBER($H208),$J208*$H208/'Index Summary'!$C$7,"")),"")</f>
        <v/>
      </c>
      <c r="L208" s="30">
        <f>IFERROR(IF($K208="","",$J208-$K208),"")</f>
        <v/>
      </c>
      <c r="M208" s="31">
        <f>IF($C208="","",IF(NOT(ISNUMBER($G208)),"No dividend",IF($G208=0,"No dividend",IF(ISNUMBER($H208),"OK","Franking n/a"))))</f>
        <v/>
      </c>
    </row>
    <row r="209">
      <c r="A209" s="16" t="n"/>
      <c r="B209" s="16" t="n"/>
      <c r="C209" s="16">
        <f>IF($A209="","",$A209&amp;" Equity")</f>
        <v/>
      </c>
      <c r="D209" s="16">
        <f>IF($A209="","",BDP($C209,"NAME"))</f>
        <v/>
      </c>
      <c r="E209" s="32">
        <f>IF($A209="","",BDP($C209,"EQY_DVD_SH_12M"))</f>
        <v/>
      </c>
      <c r="F209" s="33">
        <f>IF($A209="","",BDP($C209,"EQY_DVD_YLD_12M"))</f>
        <v/>
      </c>
      <c r="G209" s="33">
        <f>IF($A209="","",BDP($C209,"EQY_DVD_YLD_IND"))</f>
        <v/>
      </c>
      <c r="H209" s="33">
        <f>IF($A209="","",BDP($C209,'Field Check'!$C$4))</f>
        <v/>
      </c>
      <c r="I209" s="34">
        <f>IFERROR(IF($B209="","",$B209/$B$3),"")</f>
        <v/>
      </c>
      <c r="J209" s="34">
        <f>IFERROR(IF($I209="","",$I209*IFERROR($G209,0)/100),"")</f>
        <v/>
      </c>
      <c r="K209" s="34">
        <f>IFERROR(IF($J209="","",IF(ISNUMBER($H209),$J209*$H209/'Index Summary'!$C$7,"")),"")</f>
        <v/>
      </c>
      <c r="L209" s="34">
        <f>IFERROR(IF($K209="","",$J209-$K209),"")</f>
        <v/>
      </c>
      <c r="M209" s="35">
        <f>IF($C209="","",IF(NOT(ISNUMBER($G209)),"No dividend",IF($G209=0,"No dividend",IF(ISNUMBER($H209),"OK","Franking n/a"))))</f>
        <v/>
      </c>
    </row>
    <row r="210">
      <c r="A210" s="27" t="n"/>
      <c r="B210" s="27" t="n"/>
      <c r="C210" s="27">
        <f>IF($A210="","",$A210&amp;" Equity")</f>
        <v/>
      </c>
      <c r="D210" s="27">
        <f>IF($A210="","",BDP($C210,"NAME"))</f>
        <v/>
      </c>
      <c r="E210" s="28">
        <f>IF($A210="","",BDP($C210,"EQY_DVD_SH_12M"))</f>
        <v/>
      </c>
      <c r="F210" s="29">
        <f>IF($A210="","",BDP($C210,"EQY_DVD_YLD_12M"))</f>
        <v/>
      </c>
      <c r="G210" s="29">
        <f>IF($A210="","",BDP($C210,"EQY_DVD_YLD_IND"))</f>
        <v/>
      </c>
      <c r="H210" s="29">
        <f>IF($A210="","",BDP($C210,'Field Check'!$C$4))</f>
        <v/>
      </c>
      <c r="I210" s="30">
        <f>IFERROR(IF($B210="","",$B210/$B$3),"")</f>
        <v/>
      </c>
      <c r="J210" s="30">
        <f>IFERROR(IF($I210="","",$I210*IFERROR($G210,0)/100),"")</f>
        <v/>
      </c>
      <c r="K210" s="30">
        <f>IFERROR(IF($J210="","",IF(ISNUMBER($H210),$J210*$H210/'Index Summary'!$C$7,"")),"")</f>
        <v/>
      </c>
      <c r="L210" s="30">
        <f>IFERROR(IF($K210="","",$J210-$K210),"")</f>
        <v/>
      </c>
      <c r="M210" s="31">
        <f>IF($C210="","",IF(NOT(ISNUMBER($G210)),"No dividend",IF($G210=0,"No dividend",IF(ISNUMBER($H210),"OK","Franking n/a"))))</f>
        <v/>
      </c>
    </row>
    <row r="211">
      <c r="A211" s="16" t="n"/>
      <c r="B211" s="16" t="n"/>
      <c r="C211" s="16">
        <f>IF($A211="","",$A211&amp;" Equity")</f>
        <v/>
      </c>
      <c r="D211" s="16">
        <f>IF($A211="","",BDP($C211,"NAME"))</f>
        <v/>
      </c>
      <c r="E211" s="32">
        <f>IF($A211="","",BDP($C211,"EQY_DVD_SH_12M"))</f>
        <v/>
      </c>
      <c r="F211" s="33">
        <f>IF($A211="","",BDP($C211,"EQY_DVD_YLD_12M"))</f>
        <v/>
      </c>
      <c r="G211" s="33">
        <f>IF($A211="","",BDP($C211,"EQY_DVD_YLD_IND"))</f>
        <v/>
      </c>
      <c r="H211" s="33">
        <f>IF($A211="","",BDP($C211,'Field Check'!$C$4))</f>
        <v/>
      </c>
      <c r="I211" s="34">
        <f>IFERROR(IF($B211="","",$B211/$B$3),"")</f>
        <v/>
      </c>
      <c r="J211" s="34">
        <f>IFERROR(IF($I211="","",$I211*IFERROR($G211,0)/100),"")</f>
        <v/>
      </c>
      <c r="K211" s="34">
        <f>IFERROR(IF($J211="","",IF(ISNUMBER($H211),$J211*$H211/'Index Summary'!$C$7,"")),"")</f>
        <v/>
      </c>
      <c r="L211" s="34">
        <f>IFERROR(IF($K211="","",$J211-$K211),"")</f>
        <v/>
      </c>
      <c r="M211" s="35">
        <f>IF($C211="","",IF(NOT(ISNUMBER($G211)),"No dividend",IF($G211=0,"No dividend",IF(ISNUMBER($H211),"OK","Franking n/a"))))</f>
        <v/>
      </c>
    </row>
    <row r="212">
      <c r="A212" s="27" t="n"/>
      <c r="B212" s="27" t="n"/>
      <c r="C212" s="27">
        <f>IF($A212="","",$A212&amp;" Equity")</f>
        <v/>
      </c>
      <c r="D212" s="27">
        <f>IF($A212="","",BDP($C212,"NAME"))</f>
        <v/>
      </c>
      <c r="E212" s="28">
        <f>IF($A212="","",BDP($C212,"EQY_DVD_SH_12M"))</f>
        <v/>
      </c>
      <c r="F212" s="29">
        <f>IF($A212="","",BDP($C212,"EQY_DVD_YLD_12M"))</f>
        <v/>
      </c>
      <c r="G212" s="29">
        <f>IF($A212="","",BDP($C212,"EQY_DVD_YLD_IND"))</f>
        <v/>
      </c>
      <c r="H212" s="29">
        <f>IF($A212="","",BDP($C212,'Field Check'!$C$4))</f>
        <v/>
      </c>
      <c r="I212" s="30">
        <f>IFERROR(IF($B212="","",$B212/$B$3),"")</f>
        <v/>
      </c>
      <c r="J212" s="30">
        <f>IFERROR(IF($I212="","",$I212*IFERROR($G212,0)/100),"")</f>
        <v/>
      </c>
      <c r="K212" s="30">
        <f>IFERROR(IF($J212="","",IF(ISNUMBER($H212),$J212*$H212/'Index Summary'!$C$7,"")),"")</f>
        <v/>
      </c>
      <c r="L212" s="30">
        <f>IFERROR(IF($K212="","",$J212-$K212),"")</f>
        <v/>
      </c>
      <c r="M212" s="31">
        <f>IF($C212="","",IF(NOT(ISNUMBER($G212)),"No dividend",IF($G212=0,"No dividend",IF(ISNUMBER($H212),"OK","Franking n/a"))))</f>
        <v/>
      </c>
    </row>
    <row r="213">
      <c r="A213" s="16" t="n"/>
      <c r="B213" s="16" t="n"/>
      <c r="C213" s="16">
        <f>IF($A213="","",$A213&amp;" Equity")</f>
        <v/>
      </c>
      <c r="D213" s="16">
        <f>IF($A213="","",BDP($C213,"NAME"))</f>
        <v/>
      </c>
      <c r="E213" s="32">
        <f>IF($A213="","",BDP($C213,"EQY_DVD_SH_12M"))</f>
        <v/>
      </c>
      <c r="F213" s="33">
        <f>IF($A213="","",BDP($C213,"EQY_DVD_YLD_12M"))</f>
        <v/>
      </c>
      <c r="G213" s="33">
        <f>IF($A213="","",BDP($C213,"EQY_DVD_YLD_IND"))</f>
        <v/>
      </c>
      <c r="H213" s="33">
        <f>IF($A213="","",BDP($C213,'Field Check'!$C$4))</f>
        <v/>
      </c>
      <c r="I213" s="34">
        <f>IFERROR(IF($B213="","",$B213/$B$3),"")</f>
        <v/>
      </c>
      <c r="J213" s="34">
        <f>IFERROR(IF($I213="","",$I213*IFERROR($G213,0)/100),"")</f>
        <v/>
      </c>
      <c r="K213" s="34">
        <f>IFERROR(IF($J213="","",IF(ISNUMBER($H213),$J213*$H213/'Index Summary'!$C$7,"")),"")</f>
        <v/>
      </c>
      <c r="L213" s="34">
        <f>IFERROR(IF($K213="","",$J213-$K213),"")</f>
        <v/>
      </c>
      <c r="M213" s="35">
        <f>IF($C213="","",IF(NOT(ISNUMBER($G213)),"No dividend",IF($G213=0,"No dividend",IF(ISNUMBER($H213),"OK","Franking n/a"))))</f>
        <v/>
      </c>
    </row>
    <row r="214">
      <c r="A214" s="27" t="n"/>
      <c r="B214" s="27" t="n"/>
      <c r="C214" s="27">
        <f>IF($A214="","",$A214&amp;" Equity")</f>
        <v/>
      </c>
      <c r="D214" s="27">
        <f>IF($A214="","",BDP($C214,"NAME"))</f>
        <v/>
      </c>
      <c r="E214" s="28">
        <f>IF($A214="","",BDP($C214,"EQY_DVD_SH_12M"))</f>
        <v/>
      </c>
      <c r="F214" s="29">
        <f>IF($A214="","",BDP($C214,"EQY_DVD_YLD_12M"))</f>
        <v/>
      </c>
      <c r="G214" s="29">
        <f>IF($A214="","",BDP($C214,"EQY_DVD_YLD_IND"))</f>
        <v/>
      </c>
      <c r="H214" s="29">
        <f>IF($A214="","",BDP($C214,'Field Check'!$C$4))</f>
        <v/>
      </c>
      <c r="I214" s="30">
        <f>IFERROR(IF($B214="","",$B214/$B$3),"")</f>
        <v/>
      </c>
      <c r="J214" s="30">
        <f>IFERROR(IF($I214="","",$I214*IFERROR($G214,0)/100),"")</f>
        <v/>
      </c>
      <c r="K214" s="30">
        <f>IFERROR(IF($J214="","",IF(ISNUMBER($H214),$J214*$H214/'Index Summary'!$C$7,"")),"")</f>
        <v/>
      </c>
      <c r="L214" s="30">
        <f>IFERROR(IF($K214="","",$J214-$K214),"")</f>
        <v/>
      </c>
      <c r="M214" s="31">
        <f>IF($C214="","",IF(NOT(ISNUMBER($G214)),"No dividend",IF($G214=0,"No dividend",IF(ISNUMBER($H214),"OK","Franking n/a"))))</f>
        <v/>
      </c>
    </row>
    <row r="215">
      <c r="A215" s="16" t="n"/>
      <c r="B215" s="16" t="n"/>
      <c r="C215" s="16">
        <f>IF($A215="","",$A215&amp;" Equity")</f>
        <v/>
      </c>
      <c r="D215" s="16">
        <f>IF($A215="","",BDP($C215,"NAME"))</f>
        <v/>
      </c>
      <c r="E215" s="32">
        <f>IF($A215="","",BDP($C215,"EQY_DVD_SH_12M"))</f>
        <v/>
      </c>
      <c r="F215" s="33">
        <f>IF($A215="","",BDP($C215,"EQY_DVD_YLD_12M"))</f>
        <v/>
      </c>
      <c r="G215" s="33">
        <f>IF($A215="","",BDP($C215,"EQY_DVD_YLD_IND"))</f>
        <v/>
      </c>
      <c r="H215" s="33">
        <f>IF($A215="","",BDP($C215,'Field Check'!$C$4))</f>
        <v/>
      </c>
      <c r="I215" s="34">
        <f>IFERROR(IF($B215="","",$B215/$B$3),"")</f>
        <v/>
      </c>
      <c r="J215" s="34">
        <f>IFERROR(IF($I215="","",$I215*IFERROR($G215,0)/100),"")</f>
        <v/>
      </c>
      <c r="K215" s="34">
        <f>IFERROR(IF($J215="","",IF(ISNUMBER($H215),$J215*$H215/'Index Summary'!$C$7,"")),"")</f>
        <v/>
      </c>
      <c r="L215" s="34">
        <f>IFERROR(IF($K215="","",$J215-$K215),"")</f>
        <v/>
      </c>
      <c r="M215" s="35">
        <f>IF($C215="","",IF(NOT(ISNUMBER($G215)),"No dividend",IF($G215=0,"No dividend",IF(ISNUMBER($H215),"OK","Franking n/a"))))</f>
        <v/>
      </c>
    </row>
    <row r="216">
      <c r="A216" s="27" t="n"/>
      <c r="B216" s="27" t="n"/>
      <c r="C216" s="27">
        <f>IF($A216="","",$A216&amp;" Equity")</f>
        <v/>
      </c>
      <c r="D216" s="27">
        <f>IF($A216="","",BDP($C216,"NAME"))</f>
        <v/>
      </c>
      <c r="E216" s="28">
        <f>IF($A216="","",BDP($C216,"EQY_DVD_SH_12M"))</f>
        <v/>
      </c>
      <c r="F216" s="29">
        <f>IF($A216="","",BDP($C216,"EQY_DVD_YLD_12M"))</f>
        <v/>
      </c>
      <c r="G216" s="29">
        <f>IF($A216="","",BDP($C216,"EQY_DVD_YLD_IND"))</f>
        <v/>
      </c>
      <c r="H216" s="29">
        <f>IF($A216="","",BDP($C216,'Field Check'!$C$4))</f>
        <v/>
      </c>
      <c r="I216" s="30">
        <f>IFERROR(IF($B216="","",$B216/$B$3),"")</f>
        <v/>
      </c>
      <c r="J216" s="30">
        <f>IFERROR(IF($I216="","",$I216*IFERROR($G216,0)/100),"")</f>
        <v/>
      </c>
      <c r="K216" s="30">
        <f>IFERROR(IF($J216="","",IF(ISNUMBER($H216),$J216*$H216/'Index Summary'!$C$7,"")),"")</f>
        <v/>
      </c>
      <c r="L216" s="30">
        <f>IFERROR(IF($K216="","",$J216-$K216),"")</f>
        <v/>
      </c>
      <c r="M216" s="31">
        <f>IF($C216="","",IF(NOT(ISNUMBER($G216)),"No dividend",IF($G216=0,"No dividend",IF(ISNUMBER($H216),"OK","Franking n/a"))))</f>
        <v/>
      </c>
    </row>
    <row r="217">
      <c r="A217" s="16" t="n"/>
      <c r="B217" s="16" t="n"/>
      <c r="C217" s="16">
        <f>IF($A217="","",$A217&amp;" Equity")</f>
        <v/>
      </c>
      <c r="D217" s="16">
        <f>IF($A217="","",BDP($C217,"NAME"))</f>
        <v/>
      </c>
      <c r="E217" s="32">
        <f>IF($A217="","",BDP($C217,"EQY_DVD_SH_12M"))</f>
        <v/>
      </c>
      <c r="F217" s="33">
        <f>IF($A217="","",BDP($C217,"EQY_DVD_YLD_12M"))</f>
        <v/>
      </c>
      <c r="G217" s="33">
        <f>IF($A217="","",BDP($C217,"EQY_DVD_YLD_IND"))</f>
        <v/>
      </c>
      <c r="H217" s="33">
        <f>IF($A217="","",BDP($C217,'Field Check'!$C$4))</f>
        <v/>
      </c>
      <c r="I217" s="34">
        <f>IFERROR(IF($B217="","",$B217/$B$3),"")</f>
        <v/>
      </c>
      <c r="J217" s="34">
        <f>IFERROR(IF($I217="","",$I217*IFERROR($G217,0)/100),"")</f>
        <v/>
      </c>
      <c r="K217" s="34">
        <f>IFERROR(IF($J217="","",IF(ISNUMBER($H217),$J217*$H217/'Index Summary'!$C$7,"")),"")</f>
        <v/>
      </c>
      <c r="L217" s="34">
        <f>IFERROR(IF($K217="","",$J217-$K217),"")</f>
        <v/>
      </c>
      <c r="M217" s="35">
        <f>IF($C217="","",IF(NOT(ISNUMBER($G217)),"No dividend",IF($G217=0,"No dividend",IF(ISNUMBER($H217),"OK","Franking n/a"))))</f>
        <v/>
      </c>
    </row>
    <row r="218">
      <c r="A218" s="27" t="n"/>
      <c r="B218" s="27" t="n"/>
      <c r="C218" s="27">
        <f>IF($A218="","",$A218&amp;" Equity")</f>
        <v/>
      </c>
      <c r="D218" s="27">
        <f>IF($A218="","",BDP($C218,"NAME"))</f>
        <v/>
      </c>
      <c r="E218" s="28">
        <f>IF($A218="","",BDP($C218,"EQY_DVD_SH_12M"))</f>
        <v/>
      </c>
      <c r="F218" s="29">
        <f>IF($A218="","",BDP($C218,"EQY_DVD_YLD_12M"))</f>
        <v/>
      </c>
      <c r="G218" s="29">
        <f>IF($A218="","",BDP($C218,"EQY_DVD_YLD_IND"))</f>
        <v/>
      </c>
      <c r="H218" s="29">
        <f>IF($A218="","",BDP($C218,'Field Check'!$C$4))</f>
        <v/>
      </c>
      <c r="I218" s="30">
        <f>IFERROR(IF($B218="","",$B218/$B$3),"")</f>
        <v/>
      </c>
      <c r="J218" s="30">
        <f>IFERROR(IF($I218="","",$I218*IFERROR($G218,0)/100),"")</f>
        <v/>
      </c>
      <c r="K218" s="30">
        <f>IFERROR(IF($J218="","",IF(ISNUMBER($H218),$J218*$H218/'Index Summary'!$C$7,"")),"")</f>
        <v/>
      </c>
      <c r="L218" s="30">
        <f>IFERROR(IF($K218="","",$J218-$K218),"")</f>
        <v/>
      </c>
      <c r="M218" s="31">
        <f>IF($C218="","",IF(NOT(ISNUMBER($G218)),"No dividend",IF($G218=0,"No dividend",IF(ISNUMBER($H218),"OK","Franking n/a"))))</f>
        <v/>
      </c>
    </row>
    <row r="219">
      <c r="A219" s="16" t="n"/>
      <c r="B219" s="16" t="n"/>
      <c r="C219" s="16">
        <f>IF($A219="","",$A219&amp;" Equity")</f>
        <v/>
      </c>
      <c r="D219" s="16">
        <f>IF($A219="","",BDP($C219,"NAME"))</f>
        <v/>
      </c>
      <c r="E219" s="32">
        <f>IF($A219="","",BDP($C219,"EQY_DVD_SH_12M"))</f>
        <v/>
      </c>
      <c r="F219" s="33">
        <f>IF($A219="","",BDP($C219,"EQY_DVD_YLD_12M"))</f>
        <v/>
      </c>
      <c r="G219" s="33">
        <f>IF($A219="","",BDP($C219,"EQY_DVD_YLD_IND"))</f>
        <v/>
      </c>
      <c r="H219" s="33">
        <f>IF($A219="","",BDP($C219,'Field Check'!$C$4))</f>
        <v/>
      </c>
      <c r="I219" s="34">
        <f>IFERROR(IF($B219="","",$B219/$B$3),"")</f>
        <v/>
      </c>
      <c r="J219" s="34">
        <f>IFERROR(IF($I219="","",$I219*IFERROR($G219,0)/100),"")</f>
        <v/>
      </c>
      <c r="K219" s="34">
        <f>IFERROR(IF($J219="","",IF(ISNUMBER($H219),$J219*$H219/'Index Summary'!$C$7,"")),"")</f>
        <v/>
      </c>
      <c r="L219" s="34">
        <f>IFERROR(IF($K219="","",$J219-$K219),"")</f>
        <v/>
      </c>
      <c r="M219" s="35">
        <f>IF($C219="","",IF(NOT(ISNUMBER($G219)),"No dividend",IF($G219=0,"No dividend",IF(ISNUMBER($H219),"OK","Franking n/a"))))</f>
        <v/>
      </c>
    </row>
    <row r="220">
      <c r="A220" s="27" t="n"/>
      <c r="B220" s="27" t="n"/>
      <c r="C220" s="27">
        <f>IF($A220="","",$A220&amp;" Equity")</f>
        <v/>
      </c>
      <c r="D220" s="27">
        <f>IF($A220="","",BDP($C220,"NAME"))</f>
        <v/>
      </c>
      <c r="E220" s="28">
        <f>IF($A220="","",BDP($C220,"EQY_DVD_SH_12M"))</f>
        <v/>
      </c>
      <c r="F220" s="29">
        <f>IF($A220="","",BDP($C220,"EQY_DVD_YLD_12M"))</f>
        <v/>
      </c>
      <c r="G220" s="29">
        <f>IF($A220="","",BDP($C220,"EQY_DVD_YLD_IND"))</f>
        <v/>
      </c>
      <c r="H220" s="29">
        <f>IF($A220="","",BDP($C220,'Field Check'!$C$4))</f>
        <v/>
      </c>
      <c r="I220" s="30">
        <f>IFERROR(IF($B220="","",$B220/$B$3),"")</f>
        <v/>
      </c>
      <c r="J220" s="30">
        <f>IFERROR(IF($I220="","",$I220*IFERROR($G220,0)/100),"")</f>
        <v/>
      </c>
      <c r="K220" s="30">
        <f>IFERROR(IF($J220="","",IF(ISNUMBER($H220),$J220*$H220/'Index Summary'!$C$7,"")),"")</f>
        <v/>
      </c>
      <c r="L220" s="30">
        <f>IFERROR(IF($K220="","",$J220-$K220),"")</f>
        <v/>
      </c>
      <c r="M220" s="31">
        <f>IF($C220="","",IF(NOT(ISNUMBER($G220)),"No dividend",IF($G220=0,"No dividend",IF(ISNUMBER($H220),"OK","Franking n/a"))))</f>
        <v/>
      </c>
    </row>
    <row r="221">
      <c r="A221" s="16" t="n"/>
      <c r="B221" s="16" t="n"/>
      <c r="C221" s="16">
        <f>IF($A221="","",$A221&amp;" Equity")</f>
        <v/>
      </c>
      <c r="D221" s="16">
        <f>IF($A221="","",BDP($C221,"NAME"))</f>
        <v/>
      </c>
      <c r="E221" s="32">
        <f>IF($A221="","",BDP($C221,"EQY_DVD_SH_12M"))</f>
        <v/>
      </c>
      <c r="F221" s="33">
        <f>IF($A221="","",BDP($C221,"EQY_DVD_YLD_12M"))</f>
        <v/>
      </c>
      <c r="G221" s="33">
        <f>IF($A221="","",BDP($C221,"EQY_DVD_YLD_IND"))</f>
        <v/>
      </c>
      <c r="H221" s="33">
        <f>IF($A221="","",BDP($C221,'Field Check'!$C$4))</f>
        <v/>
      </c>
      <c r="I221" s="34">
        <f>IFERROR(IF($B221="","",$B221/$B$3),"")</f>
        <v/>
      </c>
      <c r="J221" s="34">
        <f>IFERROR(IF($I221="","",$I221*IFERROR($G221,0)/100),"")</f>
        <v/>
      </c>
      <c r="K221" s="34">
        <f>IFERROR(IF($J221="","",IF(ISNUMBER($H221),$J221*$H221/'Index Summary'!$C$7,"")),"")</f>
        <v/>
      </c>
      <c r="L221" s="34">
        <f>IFERROR(IF($K221="","",$J221-$K221),"")</f>
        <v/>
      </c>
      <c r="M221" s="35">
        <f>IF($C221="","",IF(NOT(ISNUMBER($G221)),"No dividend",IF($G221=0,"No dividend",IF(ISNUMBER($H221),"OK","Franking n/a"))))</f>
        <v/>
      </c>
    </row>
    <row r="222">
      <c r="A222" s="27" t="n"/>
      <c r="B222" s="27" t="n"/>
      <c r="C222" s="27">
        <f>IF($A222="","",$A222&amp;" Equity")</f>
        <v/>
      </c>
      <c r="D222" s="27">
        <f>IF($A222="","",BDP($C222,"NAME"))</f>
        <v/>
      </c>
      <c r="E222" s="28">
        <f>IF($A222="","",BDP($C222,"EQY_DVD_SH_12M"))</f>
        <v/>
      </c>
      <c r="F222" s="29">
        <f>IF($A222="","",BDP($C222,"EQY_DVD_YLD_12M"))</f>
        <v/>
      </c>
      <c r="G222" s="29">
        <f>IF($A222="","",BDP($C222,"EQY_DVD_YLD_IND"))</f>
        <v/>
      </c>
      <c r="H222" s="29">
        <f>IF($A222="","",BDP($C222,'Field Check'!$C$4))</f>
        <v/>
      </c>
      <c r="I222" s="30">
        <f>IFERROR(IF($B222="","",$B222/$B$3),"")</f>
        <v/>
      </c>
      <c r="J222" s="30">
        <f>IFERROR(IF($I222="","",$I222*IFERROR($G222,0)/100),"")</f>
        <v/>
      </c>
      <c r="K222" s="30">
        <f>IFERROR(IF($J222="","",IF(ISNUMBER($H222),$J222*$H222/'Index Summary'!$C$7,"")),"")</f>
        <v/>
      </c>
      <c r="L222" s="30">
        <f>IFERROR(IF($K222="","",$J222-$K222),"")</f>
        <v/>
      </c>
      <c r="M222" s="31">
        <f>IF($C222="","",IF(NOT(ISNUMBER($G222)),"No dividend",IF($G222=0,"No dividend",IF(ISNUMBER($H222),"OK","Franking n/a"))))</f>
        <v/>
      </c>
    </row>
    <row r="223">
      <c r="A223" s="16" t="n"/>
      <c r="B223" s="16" t="n"/>
      <c r="C223" s="16">
        <f>IF($A223="","",$A223&amp;" Equity")</f>
        <v/>
      </c>
      <c r="D223" s="16">
        <f>IF($A223="","",BDP($C223,"NAME"))</f>
        <v/>
      </c>
      <c r="E223" s="32">
        <f>IF($A223="","",BDP($C223,"EQY_DVD_SH_12M"))</f>
        <v/>
      </c>
      <c r="F223" s="33">
        <f>IF($A223="","",BDP($C223,"EQY_DVD_YLD_12M"))</f>
        <v/>
      </c>
      <c r="G223" s="33">
        <f>IF($A223="","",BDP($C223,"EQY_DVD_YLD_IND"))</f>
        <v/>
      </c>
      <c r="H223" s="33">
        <f>IF($A223="","",BDP($C223,'Field Check'!$C$4))</f>
        <v/>
      </c>
      <c r="I223" s="34">
        <f>IFERROR(IF($B223="","",$B223/$B$3),"")</f>
        <v/>
      </c>
      <c r="J223" s="34">
        <f>IFERROR(IF($I223="","",$I223*IFERROR($G223,0)/100),"")</f>
        <v/>
      </c>
      <c r="K223" s="34">
        <f>IFERROR(IF($J223="","",IF(ISNUMBER($H223),$J223*$H223/'Index Summary'!$C$7,"")),"")</f>
        <v/>
      </c>
      <c r="L223" s="34">
        <f>IFERROR(IF($K223="","",$J223-$K223),"")</f>
        <v/>
      </c>
      <c r="M223" s="35">
        <f>IF($C223="","",IF(NOT(ISNUMBER($G223)),"No dividend",IF($G223=0,"No dividend",IF(ISNUMBER($H223),"OK","Franking n/a"))))</f>
        <v/>
      </c>
    </row>
    <row r="224">
      <c r="A224" s="27" t="n"/>
      <c r="B224" s="27" t="n"/>
      <c r="C224" s="27">
        <f>IF($A224="","",$A224&amp;" Equity")</f>
        <v/>
      </c>
      <c r="D224" s="27">
        <f>IF($A224="","",BDP($C224,"NAME"))</f>
        <v/>
      </c>
      <c r="E224" s="28">
        <f>IF($A224="","",BDP($C224,"EQY_DVD_SH_12M"))</f>
        <v/>
      </c>
      <c r="F224" s="29">
        <f>IF($A224="","",BDP($C224,"EQY_DVD_YLD_12M"))</f>
        <v/>
      </c>
      <c r="G224" s="29">
        <f>IF($A224="","",BDP($C224,"EQY_DVD_YLD_IND"))</f>
        <v/>
      </c>
      <c r="H224" s="29">
        <f>IF($A224="","",BDP($C224,'Field Check'!$C$4))</f>
        <v/>
      </c>
      <c r="I224" s="30">
        <f>IFERROR(IF($B224="","",$B224/$B$3),"")</f>
        <v/>
      </c>
      <c r="J224" s="30">
        <f>IFERROR(IF($I224="","",$I224*IFERROR($G224,0)/100),"")</f>
        <v/>
      </c>
      <c r="K224" s="30">
        <f>IFERROR(IF($J224="","",IF(ISNUMBER($H224),$J224*$H224/'Index Summary'!$C$7,"")),"")</f>
        <v/>
      </c>
      <c r="L224" s="30">
        <f>IFERROR(IF($K224="","",$J224-$K224),"")</f>
        <v/>
      </c>
      <c r="M224" s="31">
        <f>IF($C224="","",IF(NOT(ISNUMBER($G224)),"No dividend",IF($G224=0,"No dividend",IF(ISNUMBER($H224),"OK","Franking n/a"))))</f>
        <v/>
      </c>
    </row>
    <row r="225">
      <c r="A225" s="16" t="n"/>
      <c r="B225" s="16" t="n"/>
      <c r="C225" s="16">
        <f>IF($A225="","",$A225&amp;" Equity")</f>
        <v/>
      </c>
      <c r="D225" s="16">
        <f>IF($A225="","",BDP($C225,"NAME"))</f>
        <v/>
      </c>
      <c r="E225" s="32">
        <f>IF($A225="","",BDP($C225,"EQY_DVD_SH_12M"))</f>
        <v/>
      </c>
      <c r="F225" s="33">
        <f>IF($A225="","",BDP($C225,"EQY_DVD_YLD_12M"))</f>
        <v/>
      </c>
      <c r="G225" s="33">
        <f>IF($A225="","",BDP($C225,"EQY_DVD_YLD_IND"))</f>
        <v/>
      </c>
      <c r="H225" s="33">
        <f>IF($A225="","",BDP($C225,'Field Check'!$C$4))</f>
        <v/>
      </c>
      <c r="I225" s="34">
        <f>IFERROR(IF($B225="","",$B225/$B$3),"")</f>
        <v/>
      </c>
      <c r="J225" s="34">
        <f>IFERROR(IF($I225="","",$I225*IFERROR($G225,0)/100),"")</f>
        <v/>
      </c>
      <c r="K225" s="34">
        <f>IFERROR(IF($J225="","",IF(ISNUMBER($H225),$J225*$H225/'Index Summary'!$C$7,"")),"")</f>
        <v/>
      </c>
      <c r="L225" s="34">
        <f>IFERROR(IF($K225="","",$J225-$K225),"")</f>
        <v/>
      </c>
      <c r="M225" s="35">
        <f>IF($C225="","",IF(NOT(ISNUMBER($G225)),"No dividend",IF($G225=0,"No dividend",IF(ISNUMBER($H225),"OK","Franking n/a"))))</f>
        <v/>
      </c>
    </row>
    <row r="226">
      <c r="A226" s="27" t="n"/>
      <c r="B226" s="27" t="n"/>
      <c r="C226" s="27">
        <f>IF($A226="","",$A226&amp;" Equity")</f>
        <v/>
      </c>
      <c r="D226" s="27">
        <f>IF($A226="","",BDP($C226,"NAME"))</f>
        <v/>
      </c>
      <c r="E226" s="28">
        <f>IF($A226="","",BDP($C226,"EQY_DVD_SH_12M"))</f>
        <v/>
      </c>
      <c r="F226" s="29">
        <f>IF($A226="","",BDP($C226,"EQY_DVD_YLD_12M"))</f>
        <v/>
      </c>
      <c r="G226" s="29">
        <f>IF($A226="","",BDP($C226,"EQY_DVD_YLD_IND"))</f>
        <v/>
      </c>
      <c r="H226" s="29">
        <f>IF($A226="","",BDP($C226,'Field Check'!$C$4))</f>
        <v/>
      </c>
      <c r="I226" s="30">
        <f>IFERROR(IF($B226="","",$B226/$B$3),"")</f>
        <v/>
      </c>
      <c r="J226" s="30">
        <f>IFERROR(IF($I226="","",$I226*IFERROR($G226,0)/100),"")</f>
        <v/>
      </c>
      <c r="K226" s="30">
        <f>IFERROR(IF($J226="","",IF(ISNUMBER($H226),$J226*$H226/'Index Summary'!$C$7,"")),"")</f>
        <v/>
      </c>
      <c r="L226" s="30">
        <f>IFERROR(IF($K226="","",$J226-$K226),"")</f>
        <v/>
      </c>
      <c r="M226" s="31">
        <f>IF($C226="","",IF(NOT(ISNUMBER($G226)),"No dividend",IF($G226=0,"No dividend",IF(ISNUMBER($H226),"OK","Franking n/a"))))</f>
        <v/>
      </c>
    </row>
    <row r="227">
      <c r="A227" s="16" t="n"/>
      <c r="B227" s="16" t="n"/>
      <c r="C227" s="16">
        <f>IF($A227="","",$A227&amp;" Equity")</f>
        <v/>
      </c>
      <c r="D227" s="16">
        <f>IF($A227="","",BDP($C227,"NAME"))</f>
        <v/>
      </c>
      <c r="E227" s="32">
        <f>IF($A227="","",BDP($C227,"EQY_DVD_SH_12M"))</f>
        <v/>
      </c>
      <c r="F227" s="33">
        <f>IF($A227="","",BDP($C227,"EQY_DVD_YLD_12M"))</f>
        <v/>
      </c>
      <c r="G227" s="33">
        <f>IF($A227="","",BDP($C227,"EQY_DVD_YLD_IND"))</f>
        <v/>
      </c>
      <c r="H227" s="33">
        <f>IF($A227="","",BDP($C227,'Field Check'!$C$4))</f>
        <v/>
      </c>
      <c r="I227" s="34">
        <f>IFERROR(IF($B227="","",$B227/$B$3),"")</f>
        <v/>
      </c>
      <c r="J227" s="34">
        <f>IFERROR(IF($I227="","",$I227*IFERROR($G227,0)/100),"")</f>
        <v/>
      </c>
      <c r="K227" s="34">
        <f>IFERROR(IF($J227="","",IF(ISNUMBER($H227),$J227*$H227/'Index Summary'!$C$7,"")),"")</f>
        <v/>
      </c>
      <c r="L227" s="34">
        <f>IFERROR(IF($K227="","",$J227-$K227),"")</f>
        <v/>
      </c>
      <c r="M227" s="35">
        <f>IF($C227="","",IF(NOT(ISNUMBER($G227)),"No dividend",IF($G227=0,"No dividend",IF(ISNUMBER($H227),"OK","Franking n/a"))))</f>
        <v/>
      </c>
    </row>
    <row r="228">
      <c r="A228" s="27" t="n"/>
      <c r="B228" s="27" t="n"/>
      <c r="C228" s="27">
        <f>IF($A228="","",$A228&amp;" Equity")</f>
        <v/>
      </c>
      <c r="D228" s="27">
        <f>IF($A228="","",BDP($C228,"NAME"))</f>
        <v/>
      </c>
      <c r="E228" s="28">
        <f>IF($A228="","",BDP($C228,"EQY_DVD_SH_12M"))</f>
        <v/>
      </c>
      <c r="F228" s="29">
        <f>IF($A228="","",BDP($C228,"EQY_DVD_YLD_12M"))</f>
        <v/>
      </c>
      <c r="G228" s="29">
        <f>IF($A228="","",BDP($C228,"EQY_DVD_YLD_IND"))</f>
        <v/>
      </c>
      <c r="H228" s="29">
        <f>IF($A228="","",BDP($C228,'Field Check'!$C$4))</f>
        <v/>
      </c>
      <c r="I228" s="30">
        <f>IFERROR(IF($B228="","",$B228/$B$3),"")</f>
        <v/>
      </c>
      <c r="J228" s="30">
        <f>IFERROR(IF($I228="","",$I228*IFERROR($G228,0)/100),"")</f>
        <v/>
      </c>
      <c r="K228" s="30">
        <f>IFERROR(IF($J228="","",IF(ISNUMBER($H228),$J228*$H228/'Index Summary'!$C$7,"")),"")</f>
        <v/>
      </c>
      <c r="L228" s="30">
        <f>IFERROR(IF($K228="","",$J228-$K228),"")</f>
        <v/>
      </c>
      <c r="M228" s="31">
        <f>IF($C228="","",IF(NOT(ISNUMBER($G228)),"No dividend",IF($G228=0,"No dividend",IF(ISNUMBER($H228),"OK","Franking n/a"))))</f>
        <v/>
      </c>
    </row>
    <row r="229">
      <c r="A229" s="16" t="n"/>
      <c r="B229" s="16" t="n"/>
      <c r="C229" s="16">
        <f>IF($A229="","",$A229&amp;" Equity")</f>
        <v/>
      </c>
      <c r="D229" s="16">
        <f>IF($A229="","",BDP($C229,"NAME"))</f>
        <v/>
      </c>
      <c r="E229" s="32">
        <f>IF($A229="","",BDP($C229,"EQY_DVD_SH_12M"))</f>
        <v/>
      </c>
      <c r="F229" s="33">
        <f>IF($A229="","",BDP($C229,"EQY_DVD_YLD_12M"))</f>
        <v/>
      </c>
      <c r="G229" s="33">
        <f>IF($A229="","",BDP($C229,"EQY_DVD_YLD_IND"))</f>
        <v/>
      </c>
      <c r="H229" s="33">
        <f>IF($A229="","",BDP($C229,'Field Check'!$C$4))</f>
        <v/>
      </c>
      <c r="I229" s="34">
        <f>IFERROR(IF($B229="","",$B229/$B$3),"")</f>
        <v/>
      </c>
      <c r="J229" s="34">
        <f>IFERROR(IF($I229="","",$I229*IFERROR($G229,0)/100),"")</f>
        <v/>
      </c>
      <c r="K229" s="34">
        <f>IFERROR(IF($J229="","",IF(ISNUMBER($H229),$J229*$H229/'Index Summary'!$C$7,"")),"")</f>
        <v/>
      </c>
      <c r="L229" s="34">
        <f>IFERROR(IF($K229="","",$J229-$K229),"")</f>
        <v/>
      </c>
      <c r="M229" s="35">
        <f>IF($C229="","",IF(NOT(ISNUMBER($G229)),"No dividend",IF($G229=0,"No dividend",IF(ISNUMBER($H229),"OK","Franking n/a"))))</f>
        <v/>
      </c>
    </row>
    <row r="230">
      <c r="A230" s="27" t="n"/>
      <c r="B230" s="27" t="n"/>
      <c r="C230" s="27">
        <f>IF($A230="","",$A230&amp;" Equity")</f>
        <v/>
      </c>
      <c r="D230" s="27">
        <f>IF($A230="","",BDP($C230,"NAME"))</f>
        <v/>
      </c>
      <c r="E230" s="28">
        <f>IF($A230="","",BDP($C230,"EQY_DVD_SH_12M"))</f>
        <v/>
      </c>
      <c r="F230" s="29">
        <f>IF($A230="","",BDP($C230,"EQY_DVD_YLD_12M"))</f>
        <v/>
      </c>
      <c r="G230" s="29">
        <f>IF($A230="","",BDP($C230,"EQY_DVD_YLD_IND"))</f>
        <v/>
      </c>
      <c r="H230" s="29">
        <f>IF($A230="","",BDP($C230,'Field Check'!$C$4))</f>
        <v/>
      </c>
      <c r="I230" s="30">
        <f>IFERROR(IF($B230="","",$B230/$B$3),"")</f>
        <v/>
      </c>
      <c r="J230" s="30">
        <f>IFERROR(IF($I230="","",$I230*IFERROR($G230,0)/100),"")</f>
        <v/>
      </c>
      <c r="K230" s="30">
        <f>IFERROR(IF($J230="","",IF(ISNUMBER($H230),$J230*$H230/'Index Summary'!$C$7,"")),"")</f>
        <v/>
      </c>
      <c r="L230" s="30">
        <f>IFERROR(IF($K230="","",$J230-$K230),"")</f>
        <v/>
      </c>
      <c r="M230" s="31">
        <f>IF($C230="","",IF(NOT(ISNUMBER($G230)),"No dividend",IF($G230=0,"No dividend",IF(ISNUMBER($H230),"OK","Franking n/a"))))</f>
        <v/>
      </c>
    </row>
    <row r="231">
      <c r="A231" s="16" t="n"/>
      <c r="B231" s="16" t="n"/>
      <c r="C231" s="16">
        <f>IF($A231="","",$A231&amp;" Equity")</f>
        <v/>
      </c>
      <c r="D231" s="16">
        <f>IF($A231="","",BDP($C231,"NAME"))</f>
        <v/>
      </c>
      <c r="E231" s="32">
        <f>IF($A231="","",BDP($C231,"EQY_DVD_SH_12M"))</f>
        <v/>
      </c>
      <c r="F231" s="33">
        <f>IF($A231="","",BDP($C231,"EQY_DVD_YLD_12M"))</f>
        <v/>
      </c>
      <c r="G231" s="33">
        <f>IF($A231="","",BDP($C231,"EQY_DVD_YLD_IND"))</f>
        <v/>
      </c>
      <c r="H231" s="33">
        <f>IF($A231="","",BDP($C231,'Field Check'!$C$4))</f>
        <v/>
      </c>
      <c r="I231" s="34">
        <f>IFERROR(IF($B231="","",$B231/$B$3),"")</f>
        <v/>
      </c>
      <c r="J231" s="34">
        <f>IFERROR(IF($I231="","",$I231*IFERROR($G231,0)/100),"")</f>
        <v/>
      </c>
      <c r="K231" s="34">
        <f>IFERROR(IF($J231="","",IF(ISNUMBER($H231),$J231*$H231/'Index Summary'!$C$7,"")),"")</f>
        <v/>
      </c>
      <c r="L231" s="34">
        <f>IFERROR(IF($K231="","",$J231-$K231),"")</f>
        <v/>
      </c>
      <c r="M231" s="35">
        <f>IF($C231="","",IF(NOT(ISNUMBER($G231)),"No dividend",IF($G231=0,"No dividend",IF(ISNUMBER($H231),"OK","Franking n/a"))))</f>
        <v/>
      </c>
    </row>
    <row r="232">
      <c r="A232" s="27" t="n"/>
      <c r="B232" s="27" t="n"/>
      <c r="C232" s="27">
        <f>IF($A232="","",$A232&amp;" Equity")</f>
        <v/>
      </c>
      <c r="D232" s="27">
        <f>IF($A232="","",BDP($C232,"NAME"))</f>
        <v/>
      </c>
      <c r="E232" s="28">
        <f>IF($A232="","",BDP($C232,"EQY_DVD_SH_12M"))</f>
        <v/>
      </c>
      <c r="F232" s="29">
        <f>IF($A232="","",BDP($C232,"EQY_DVD_YLD_12M"))</f>
        <v/>
      </c>
      <c r="G232" s="29">
        <f>IF($A232="","",BDP($C232,"EQY_DVD_YLD_IND"))</f>
        <v/>
      </c>
      <c r="H232" s="29">
        <f>IF($A232="","",BDP($C232,'Field Check'!$C$4))</f>
        <v/>
      </c>
      <c r="I232" s="30">
        <f>IFERROR(IF($B232="","",$B232/$B$3),"")</f>
        <v/>
      </c>
      <c r="J232" s="30">
        <f>IFERROR(IF($I232="","",$I232*IFERROR($G232,0)/100),"")</f>
        <v/>
      </c>
      <c r="K232" s="30">
        <f>IFERROR(IF($J232="","",IF(ISNUMBER($H232),$J232*$H232/'Index Summary'!$C$7,"")),"")</f>
        <v/>
      </c>
      <c r="L232" s="30">
        <f>IFERROR(IF($K232="","",$J232-$K232),"")</f>
        <v/>
      </c>
      <c r="M232" s="31">
        <f>IF($C232="","",IF(NOT(ISNUMBER($G232)),"No dividend",IF($G232=0,"No dividend",IF(ISNUMBER($H232),"OK","Franking n/a"))))</f>
        <v/>
      </c>
    </row>
    <row r="233">
      <c r="A233" s="16" t="n"/>
      <c r="B233" s="16" t="n"/>
      <c r="C233" s="16">
        <f>IF($A233="","",$A233&amp;" Equity")</f>
        <v/>
      </c>
      <c r="D233" s="16">
        <f>IF($A233="","",BDP($C233,"NAME"))</f>
        <v/>
      </c>
      <c r="E233" s="32">
        <f>IF($A233="","",BDP($C233,"EQY_DVD_SH_12M"))</f>
        <v/>
      </c>
      <c r="F233" s="33">
        <f>IF($A233="","",BDP($C233,"EQY_DVD_YLD_12M"))</f>
        <v/>
      </c>
      <c r="G233" s="33">
        <f>IF($A233="","",BDP($C233,"EQY_DVD_YLD_IND"))</f>
        <v/>
      </c>
      <c r="H233" s="33">
        <f>IF($A233="","",BDP($C233,'Field Check'!$C$4))</f>
        <v/>
      </c>
      <c r="I233" s="34">
        <f>IFERROR(IF($B233="","",$B233/$B$3),"")</f>
        <v/>
      </c>
      <c r="J233" s="34">
        <f>IFERROR(IF($I233="","",$I233*IFERROR($G233,0)/100),"")</f>
        <v/>
      </c>
      <c r="K233" s="34">
        <f>IFERROR(IF($J233="","",IF(ISNUMBER($H233),$J233*$H233/'Index Summary'!$C$7,"")),"")</f>
        <v/>
      </c>
      <c r="L233" s="34">
        <f>IFERROR(IF($K233="","",$J233-$K233),"")</f>
        <v/>
      </c>
      <c r="M233" s="35">
        <f>IF($C233="","",IF(NOT(ISNUMBER($G233)),"No dividend",IF($G233=0,"No dividend",IF(ISNUMBER($H233),"OK","Franking n/a"))))</f>
        <v/>
      </c>
    </row>
    <row r="234">
      <c r="A234" s="27" t="n"/>
      <c r="B234" s="27" t="n"/>
      <c r="C234" s="27">
        <f>IF($A234="","",$A234&amp;" Equity")</f>
        <v/>
      </c>
      <c r="D234" s="27">
        <f>IF($A234="","",BDP($C234,"NAME"))</f>
        <v/>
      </c>
      <c r="E234" s="28">
        <f>IF($A234="","",BDP($C234,"EQY_DVD_SH_12M"))</f>
        <v/>
      </c>
      <c r="F234" s="29">
        <f>IF($A234="","",BDP($C234,"EQY_DVD_YLD_12M"))</f>
        <v/>
      </c>
      <c r="G234" s="29">
        <f>IF($A234="","",BDP($C234,"EQY_DVD_YLD_IND"))</f>
        <v/>
      </c>
      <c r="H234" s="29">
        <f>IF($A234="","",BDP($C234,'Field Check'!$C$4))</f>
        <v/>
      </c>
      <c r="I234" s="30">
        <f>IFERROR(IF($B234="","",$B234/$B$3),"")</f>
        <v/>
      </c>
      <c r="J234" s="30">
        <f>IFERROR(IF($I234="","",$I234*IFERROR($G234,0)/100),"")</f>
        <v/>
      </c>
      <c r="K234" s="30">
        <f>IFERROR(IF($J234="","",IF(ISNUMBER($H234),$J234*$H234/'Index Summary'!$C$7,"")),"")</f>
        <v/>
      </c>
      <c r="L234" s="30">
        <f>IFERROR(IF($K234="","",$J234-$K234),"")</f>
        <v/>
      </c>
      <c r="M234" s="31">
        <f>IF($C234="","",IF(NOT(ISNUMBER($G234)),"No dividend",IF($G234=0,"No dividend",IF(ISNUMBER($H234),"OK","Franking n/a"))))</f>
        <v/>
      </c>
    </row>
    <row r="235">
      <c r="A235" s="16" t="n"/>
      <c r="B235" s="16" t="n"/>
      <c r="C235" s="16">
        <f>IF($A235="","",$A235&amp;" Equity")</f>
        <v/>
      </c>
      <c r="D235" s="16">
        <f>IF($A235="","",BDP($C235,"NAME"))</f>
        <v/>
      </c>
      <c r="E235" s="32">
        <f>IF($A235="","",BDP($C235,"EQY_DVD_SH_12M"))</f>
        <v/>
      </c>
      <c r="F235" s="33">
        <f>IF($A235="","",BDP($C235,"EQY_DVD_YLD_12M"))</f>
        <v/>
      </c>
      <c r="G235" s="33">
        <f>IF($A235="","",BDP($C235,"EQY_DVD_YLD_IND"))</f>
        <v/>
      </c>
      <c r="H235" s="33">
        <f>IF($A235="","",BDP($C235,'Field Check'!$C$4))</f>
        <v/>
      </c>
      <c r="I235" s="34">
        <f>IFERROR(IF($B235="","",$B235/$B$3),"")</f>
        <v/>
      </c>
      <c r="J235" s="34">
        <f>IFERROR(IF($I235="","",$I235*IFERROR($G235,0)/100),"")</f>
        <v/>
      </c>
      <c r="K235" s="34">
        <f>IFERROR(IF($J235="","",IF(ISNUMBER($H235),$J235*$H235/'Index Summary'!$C$7,"")),"")</f>
        <v/>
      </c>
      <c r="L235" s="34">
        <f>IFERROR(IF($K235="","",$J235-$K235),"")</f>
        <v/>
      </c>
      <c r="M235" s="35">
        <f>IF($C235="","",IF(NOT(ISNUMBER($G235)),"No dividend",IF($G235=0,"No dividend",IF(ISNUMBER($H235),"OK","Franking n/a"))))</f>
        <v/>
      </c>
    </row>
    <row r="236">
      <c r="A236" s="27" t="n"/>
      <c r="B236" s="27" t="n"/>
      <c r="C236" s="27">
        <f>IF($A236="","",$A236&amp;" Equity")</f>
        <v/>
      </c>
      <c r="D236" s="27">
        <f>IF($A236="","",BDP($C236,"NAME"))</f>
        <v/>
      </c>
      <c r="E236" s="28">
        <f>IF($A236="","",BDP($C236,"EQY_DVD_SH_12M"))</f>
        <v/>
      </c>
      <c r="F236" s="29">
        <f>IF($A236="","",BDP($C236,"EQY_DVD_YLD_12M"))</f>
        <v/>
      </c>
      <c r="G236" s="29">
        <f>IF($A236="","",BDP($C236,"EQY_DVD_YLD_IND"))</f>
        <v/>
      </c>
      <c r="H236" s="29">
        <f>IF($A236="","",BDP($C236,'Field Check'!$C$4))</f>
        <v/>
      </c>
      <c r="I236" s="30">
        <f>IFERROR(IF($B236="","",$B236/$B$3),"")</f>
        <v/>
      </c>
      <c r="J236" s="30">
        <f>IFERROR(IF($I236="","",$I236*IFERROR($G236,0)/100),"")</f>
        <v/>
      </c>
      <c r="K236" s="30">
        <f>IFERROR(IF($J236="","",IF(ISNUMBER($H236),$J236*$H236/'Index Summary'!$C$7,"")),"")</f>
        <v/>
      </c>
      <c r="L236" s="30">
        <f>IFERROR(IF($K236="","",$J236-$K236),"")</f>
        <v/>
      </c>
      <c r="M236" s="31">
        <f>IF($C236="","",IF(NOT(ISNUMBER($G236)),"No dividend",IF($G236=0,"No dividend",IF(ISNUMBER($H236),"OK","Franking n/a"))))</f>
        <v/>
      </c>
    </row>
    <row r="237">
      <c r="A237" s="16" t="n"/>
      <c r="B237" s="16" t="n"/>
      <c r="C237" s="16">
        <f>IF($A237="","",$A237&amp;" Equity")</f>
        <v/>
      </c>
      <c r="D237" s="16">
        <f>IF($A237="","",BDP($C237,"NAME"))</f>
        <v/>
      </c>
      <c r="E237" s="32">
        <f>IF($A237="","",BDP($C237,"EQY_DVD_SH_12M"))</f>
        <v/>
      </c>
      <c r="F237" s="33">
        <f>IF($A237="","",BDP($C237,"EQY_DVD_YLD_12M"))</f>
        <v/>
      </c>
      <c r="G237" s="33">
        <f>IF($A237="","",BDP($C237,"EQY_DVD_YLD_IND"))</f>
        <v/>
      </c>
      <c r="H237" s="33">
        <f>IF($A237="","",BDP($C237,'Field Check'!$C$4))</f>
        <v/>
      </c>
      <c r="I237" s="34">
        <f>IFERROR(IF($B237="","",$B237/$B$3),"")</f>
        <v/>
      </c>
      <c r="J237" s="34">
        <f>IFERROR(IF($I237="","",$I237*IFERROR($G237,0)/100),"")</f>
        <v/>
      </c>
      <c r="K237" s="34">
        <f>IFERROR(IF($J237="","",IF(ISNUMBER($H237),$J237*$H237/'Index Summary'!$C$7,"")),"")</f>
        <v/>
      </c>
      <c r="L237" s="34">
        <f>IFERROR(IF($K237="","",$J237-$K237),"")</f>
        <v/>
      </c>
      <c r="M237" s="35">
        <f>IF($C237="","",IF(NOT(ISNUMBER($G237)),"No dividend",IF($G237=0,"No dividend",IF(ISNUMBER($H237),"OK","Franking n/a"))))</f>
        <v/>
      </c>
    </row>
    <row r="238">
      <c r="A238" s="27" t="n"/>
      <c r="B238" s="27" t="n"/>
      <c r="C238" s="27">
        <f>IF($A238="","",$A238&amp;" Equity")</f>
        <v/>
      </c>
      <c r="D238" s="27">
        <f>IF($A238="","",BDP($C238,"NAME"))</f>
        <v/>
      </c>
      <c r="E238" s="28">
        <f>IF($A238="","",BDP($C238,"EQY_DVD_SH_12M"))</f>
        <v/>
      </c>
      <c r="F238" s="29">
        <f>IF($A238="","",BDP($C238,"EQY_DVD_YLD_12M"))</f>
        <v/>
      </c>
      <c r="G238" s="29">
        <f>IF($A238="","",BDP($C238,"EQY_DVD_YLD_IND"))</f>
        <v/>
      </c>
      <c r="H238" s="29">
        <f>IF($A238="","",BDP($C238,'Field Check'!$C$4))</f>
        <v/>
      </c>
      <c r="I238" s="30">
        <f>IFERROR(IF($B238="","",$B238/$B$3),"")</f>
        <v/>
      </c>
      <c r="J238" s="30">
        <f>IFERROR(IF($I238="","",$I238*IFERROR($G238,0)/100),"")</f>
        <v/>
      </c>
      <c r="K238" s="30">
        <f>IFERROR(IF($J238="","",IF(ISNUMBER($H238),$J238*$H238/'Index Summary'!$C$7,"")),"")</f>
        <v/>
      </c>
      <c r="L238" s="30">
        <f>IFERROR(IF($K238="","",$J238-$K238),"")</f>
        <v/>
      </c>
      <c r="M238" s="31">
        <f>IF($C238="","",IF(NOT(ISNUMBER($G238)),"No dividend",IF($G238=0,"No dividend",IF(ISNUMBER($H238),"OK","Franking n/a"))))</f>
        <v/>
      </c>
    </row>
    <row r="239">
      <c r="A239" s="16" t="n"/>
      <c r="B239" s="16" t="n"/>
      <c r="C239" s="16">
        <f>IF($A239="","",$A239&amp;" Equity")</f>
        <v/>
      </c>
      <c r="D239" s="16">
        <f>IF($A239="","",BDP($C239,"NAME"))</f>
        <v/>
      </c>
      <c r="E239" s="32">
        <f>IF($A239="","",BDP($C239,"EQY_DVD_SH_12M"))</f>
        <v/>
      </c>
      <c r="F239" s="33">
        <f>IF($A239="","",BDP($C239,"EQY_DVD_YLD_12M"))</f>
        <v/>
      </c>
      <c r="G239" s="33">
        <f>IF($A239="","",BDP($C239,"EQY_DVD_YLD_IND"))</f>
        <v/>
      </c>
      <c r="H239" s="33">
        <f>IF($A239="","",BDP($C239,'Field Check'!$C$4))</f>
        <v/>
      </c>
      <c r="I239" s="34">
        <f>IFERROR(IF($B239="","",$B239/$B$3),"")</f>
        <v/>
      </c>
      <c r="J239" s="34">
        <f>IFERROR(IF($I239="","",$I239*IFERROR($G239,0)/100),"")</f>
        <v/>
      </c>
      <c r="K239" s="34">
        <f>IFERROR(IF($J239="","",IF(ISNUMBER($H239),$J239*$H239/'Index Summary'!$C$7,"")),"")</f>
        <v/>
      </c>
      <c r="L239" s="34">
        <f>IFERROR(IF($K239="","",$J239-$K239),"")</f>
        <v/>
      </c>
      <c r="M239" s="35">
        <f>IF($C239="","",IF(NOT(ISNUMBER($G239)),"No dividend",IF($G239=0,"No dividend",IF(ISNUMBER($H239),"OK","Franking n/a"))))</f>
        <v/>
      </c>
    </row>
    <row r="240">
      <c r="A240" s="27" t="n"/>
      <c r="B240" s="27" t="n"/>
      <c r="C240" s="27">
        <f>IF($A240="","",$A240&amp;" Equity")</f>
        <v/>
      </c>
      <c r="D240" s="27">
        <f>IF($A240="","",BDP($C240,"NAME"))</f>
        <v/>
      </c>
      <c r="E240" s="28">
        <f>IF($A240="","",BDP($C240,"EQY_DVD_SH_12M"))</f>
        <v/>
      </c>
      <c r="F240" s="29">
        <f>IF($A240="","",BDP($C240,"EQY_DVD_YLD_12M"))</f>
        <v/>
      </c>
      <c r="G240" s="29">
        <f>IF($A240="","",BDP($C240,"EQY_DVD_YLD_IND"))</f>
        <v/>
      </c>
      <c r="H240" s="29">
        <f>IF($A240="","",BDP($C240,'Field Check'!$C$4))</f>
        <v/>
      </c>
      <c r="I240" s="30">
        <f>IFERROR(IF($B240="","",$B240/$B$3),"")</f>
        <v/>
      </c>
      <c r="J240" s="30">
        <f>IFERROR(IF($I240="","",$I240*IFERROR($G240,0)/100),"")</f>
        <v/>
      </c>
      <c r="K240" s="30">
        <f>IFERROR(IF($J240="","",IF(ISNUMBER($H240),$J240*$H240/'Index Summary'!$C$7,"")),"")</f>
        <v/>
      </c>
      <c r="L240" s="30">
        <f>IFERROR(IF($K240="","",$J240-$K240),"")</f>
        <v/>
      </c>
      <c r="M240" s="31">
        <f>IF($C240="","",IF(NOT(ISNUMBER($G240)),"No dividend",IF($G240=0,"No dividend",IF(ISNUMBER($H240),"OK","Franking n/a"))))</f>
        <v/>
      </c>
    </row>
    <row r="241">
      <c r="A241" s="16" t="n"/>
      <c r="B241" s="16" t="n"/>
      <c r="C241" s="16">
        <f>IF($A241="","",$A241&amp;" Equity")</f>
        <v/>
      </c>
      <c r="D241" s="16">
        <f>IF($A241="","",BDP($C241,"NAME"))</f>
        <v/>
      </c>
      <c r="E241" s="32">
        <f>IF($A241="","",BDP($C241,"EQY_DVD_SH_12M"))</f>
        <v/>
      </c>
      <c r="F241" s="33">
        <f>IF($A241="","",BDP($C241,"EQY_DVD_YLD_12M"))</f>
        <v/>
      </c>
      <c r="G241" s="33">
        <f>IF($A241="","",BDP($C241,"EQY_DVD_YLD_IND"))</f>
        <v/>
      </c>
      <c r="H241" s="33">
        <f>IF($A241="","",BDP($C241,'Field Check'!$C$4))</f>
        <v/>
      </c>
      <c r="I241" s="34">
        <f>IFERROR(IF($B241="","",$B241/$B$3),"")</f>
        <v/>
      </c>
      <c r="J241" s="34">
        <f>IFERROR(IF($I241="","",$I241*IFERROR($G241,0)/100),"")</f>
        <v/>
      </c>
      <c r="K241" s="34">
        <f>IFERROR(IF($J241="","",IF(ISNUMBER($H241),$J241*$H241/'Index Summary'!$C$7,"")),"")</f>
        <v/>
      </c>
      <c r="L241" s="34">
        <f>IFERROR(IF($K241="","",$J241-$K241),"")</f>
        <v/>
      </c>
      <c r="M241" s="35">
        <f>IF($C241="","",IF(NOT(ISNUMBER($G241)),"No dividend",IF($G241=0,"No dividend",IF(ISNUMBER($H241),"OK","Franking n/a"))))</f>
        <v/>
      </c>
    </row>
    <row r="242">
      <c r="A242" s="27" t="n"/>
      <c r="B242" s="27" t="n"/>
      <c r="C242" s="27">
        <f>IF($A242="","",$A242&amp;" Equity")</f>
        <v/>
      </c>
      <c r="D242" s="27">
        <f>IF($A242="","",BDP($C242,"NAME"))</f>
        <v/>
      </c>
      <c r="E242" s="28">
        <f>IF($A242="","",BDP($C242,"EQY_DVD_SH_12M"))</f>
        <v/>
      </c>
      <c r="F242" s="29">
        <f>IF($A242="","",BDP($C242,"EQY_DVD_YLD_12M"))</f>
        <v/>
      </c>
      <c r="G242" s="29">
        <f>IF($A242="","",BDP($C242,"EQY_DVD_YLD_IND"))</f>
        <v/>
      </c>
      <c r="H242" s="29">
        <f>IF($A242="","",BDP($C242,'Field Check'!$C$4))</f>
        <v/>
      </c>
      <c r="I242" s="30">
        <f>IFERROR(IF($B242="","",$B242/$B$3),"")</f>
        <v/>
      </c>
      <c r="J242" s="30">
        <f>IFERROR(IF($I242="","",$I242*IFERROR($G242,0)/100),"")</f>
        <v/>
      </c>
      <c r="K242" s="30">
        <f>IFERROR(IF($J242="","",IF(ISNUMBER($H242),$J242*$H242/'Index Summary'!$C$7,"")),"")</f>
        <v/>
      </c>
      <c r="L242" s="30">
        <f>IFERROR(IF($K242="","",$J242-$K242),"")</f>
        <v/>
      </c>
      <c r="M242" s="31">
        <f>IF($C242="","",IF(NOT(ISNUMBER($G242)),"No dividend",IF($G242=0,"No dividend",IF(ISNUMBER($H242),"OK","Franking n/a"))))</f>
        <v/>
      </c>
    </row>
    <row r="243">
      <c r="A243" s="16" t="n"/>
      <c r="B243" s="16" t="n"/>
      <c r="C243" s="16">
        <f>IF($A243="","",$A243&amp;" Equity")</f>
        <v/>
      </c>
      <c r="D243" s="16">
        <f>IF($A243="","",BDP($C243,"NAME"))</f>
        <v/>
      </c>
      <c r="E243" s="32">
        <f>IF($A243="","",BDP($C243,"EQY_DVD_SH_12M"))</f>
        <v/>
      </c>
      <c r="F243" s="33">
        <f>IF($A243="","",BDP($C243,"EQY_DVD_YLD_12M"))</f>
        <v/>
      </c>
      <c r="G243" s="33">
        <f>IF($A243="","",BDP($C243,"EQY_DVD_YLD_IND"))</f>
        <v/>
      </c>
      <c r="H243" s="33">
        <f>IF($A243="","",BDP($C243,'Field Check'!$C$4))</f>
        <v/>
      </c>
      <c r="I243" s="34">
        <f>IFERROR(IF($B243="","",$B243/$B$3),"")</f>
        <v/>
      </c>
      <c r="J243" s="34">
        <f>IFERROR(IF($I243="","",$I243*IFERROR($G243,0)/100),"")</f>
        <v/>
      </c>
      <c r="K243" s="34">
        <f>IFERROR(IF($J243="","",IF(ISNUMBER($H243),$J243*$H243/'Index Summary'!$C$7,"")),"")</f>
        <v/>
      </c>
      <c r="L243" s="34">
        <f>IFERROR(IF($K243="","",$J243-$K243),"")</f>
        <v/>
      </c>
      <c r="M243" s="35">
        <f>IF($C243="","",IF(NOT(ISNUMBER($G243)),"No dividend",IF($G243=0,"No dividend",IF(ISNUMBER($H243),"OK","Franking n/a"))))</f>
        <v/>
      </c>
    </row>
    <row r="244">
      <c r="A244" s="27" t="n"/>
      <c r="B244" s="27" t="n"/>
      <c r="C244" s="27">
        <f>IF($A244="","",$A244&amp;" Equity")</f>
        <v/>
      </c>
      <c r="D244" s="27">
        <f>IF($A244="","",BDP($C244,"NAME"))</f>
        <v/>
      </c>
      <c r="E244" s="28">
        <f>IF($A244="","",BDP($C244,"EQY_DVD_SH_12M"))</f>
        <v/>
      </c>
      <c r="F244" s="29">
        <f>IF($A244="","",BDP($C244,"EQY_DVD_YLD_12M"))</f>
        <v/>
      </c>
      <c r="G244" s="29">
        <f>IF($A244="","",BDP($C244,"EQY_DVD_YLD_IND"))</f>
        <v/>
      </c>
      <c r="H244" s="29">
        <f>IF($A244="","",BDP($C244,'Field Check'!$C$4))</f>
        <v/>
      </c>
      <c r="I244" s="30">
        <f>IFERROR(IF($B244="","",$B244/$B$3),"")</f>
        <v/>
      </c>
      <c r="J244" s="30">
        <f>IFERROR(IF($I244="","",$I244*IFERROR($G244,0)/100),"")</f>
        <v/>
      </c>
      <c r="K244" s="30">
        <f>IFERROR(IF($J244="","",IF(ISNUMBER($H244),$J244*$H244/'Index Summary'!$C$7,"")),"")</f>
        <v/>
      </c>
      <c r="L244" s="30">
        <f>IFERROR(IF($K244="","",$J244-$K244),"")</f>
        <v/>
      </c>
      <c r="M244" s="31">
        <f>IF($C244="","",IF(NOT(ISNUMBER($G244)),"No dividend",IF($G244=0,"No dividend",IF(ISNUMBER($H244),"OK","Franking n/a"))))</f>
        <v/>
      </c>
    </row>
    <row r="245">
      <c r="A245" s="16" t="n"/>
      <c r="B245" s="16" t="n"/>
      <c r="C245" s="16">
        <f>IF($A245="","",$A245&amp;" Equity")</f>
        <v/>
      </c>
      <c r="D245" s="16">
        <f>IF($A245="","",BDP($C245,"NAME"))</f>
        <v/>
      </c>
      <c r="E245" s="32">
        <f>IF($A245="","",BDP($C245,"EQY_DVD_SH_12M"))</f>
        <v/>
      </c>
      <c r="F245" s="33">
        <f>IF($A245="","",BDP($C245,"EQY_DVD_YLD_12M"))</f>
        <v/>
      </c>
      <c r="G245" s="33">
        <f>IF($A245="","",BDP($C245,"EQY_DVD_YLD_IND"))</f>
        <v/>
      </c>
      <c r="H245" s="33">
        <f>IF($A245="","",BDP($C245,'Field Check'!$C$4))</f>
        <v/>
      </c>
      <c r="I245" s="34">
        <f>IFERROR(IF($B245="","",$B245/$B$3),"")</f>
        <v/>
      </c>
      <c r="J245" s="34">
        <f>IFERROR(IF($I245="","",$I245*IFERROR($G245,0)/100),"")</f>
        <v/>
      </c>
      <c r="K245" s="34">
        <f>IFERROR(IF($J245="","",IF(ISNUMBER($H245),$J245*$H245/'Index Summary'!$C$7,"")),"")</f>
        <v/>
      </c>
      <c r="L245" s="34">
        <f>IFERROR(IF($K245="","",$J245-$K245),"")</f>
        <v/>
      </c>
      <c r="M245" s="35">
        <f>IF($C245="","",IF(NOT(ISNUMBER($G245)),"No dividend",IF($G245=0,"No dividend",IF(ISNUMBER($H245),"OK","Franking n/a"))))</f>
        <v/>
      </c>
    </row>
    <row r="246">
      <c r="A246" s="27" t="n"/>
      <c r="B246" s="27" t="n"/>
      <c r="C246" s="27">
        <f>IF($A246="","",$A246&amp;" Equity")</f>
        <v/>
      </c>
      <c r="D246" s="27">
        <f>IF($A246="","",BDP($C246,"NAME"))</f>
        <v/>
      </c>
      <c r="E246" s="28">
        <f>IF($A246="","",BDP($C246,"EQY_DVD_SH_12M"))</f>
        <v/>
      </c>
      <c r="F246" s="29">
        <f>IF($A246="","",BDP($C246,"EQY_DVD_YLD_12M"))</f>
        <v/>
      </c>
      <c r="G246" s="29">
        <f>IF($A246="","",BDP($C246,"EQY_DVD_YLD_IND"))</f>
        <v/>
      </c>
      <c r="H246" s="29">
        <f>IF($A246="","",BDP($C246,'Field Check'!$C$4))</f>
        <v/>
      </c>
      <c r="I246" s="30">
        <f>IFERROR(IF($B246="","",$B246/$B$3),"")</f>
        <v/>
      </c>
      <c r="J246" s="30">
        <f>IFERROR(IF($I246="","",$I246*IFERROR($G246,0)/100),"")</f>
        <v/>
      </c>
      <c r="K246" s="30">
        <f>IFERROR(IF($J246="","",IF(ISNUMBER($H246),$J246*$H246/'Index Summary'!$C$7,"")),"")</f>
        <v/>
      </c>
      <c r="L246" s="30">
        <f>IFERROR(IF($K246="","",$J246-$K246),"")</f>
        <v/>
      </c>
      <c r="M246" s="31">
        <f>IF($C246="","",IF(NOT(ISNUMBER($G246)),"No dividend",IF($G246=0,"No dividend",IF(ISNUMBER($H246),"OK","Franking n/a"))))</f>
        <v/>
      </c>
    </row>
    <row r="247">
      <c r="A247" s="16" t="n"/>
      <c r="B247" s="16" t="n"/>
      <c r="C247" s="16">
        <f>IF($A247="","",$A247&amp;" Equity")</f>
        <v/>
      </c>
      <c r="D247" s="16">
        <f>IF($A247="","",BDP($C247,"NAME"))</f>
        <v/>
      </c>
      <c r="E247" s="32">
        <f>IF($A247="","",BDP($C247,"EQY_DVD_SH_12M"))</f>
        <v/>
      </c>
      <c r="F247" s="33">
        <f>IF($A247="","",BDP($C247,"EQY_DVD_YLD_12M"))</f>
        <v/>
      </c>
      <c r="G247" s="33">
        <f>IF($A247="","",BDP($C247,"EQY_DVD_YLD_IND"))</f>
        <v/>
      </c>
      <c r="H247" s="33">
        <f>IF($A247="","",BDP($C247,'Field Check'!$C$4))</f>
        <v/>
      </c>
      <c r="I247" s="34">
        <f>IFERROR(IF($B247="","",$B247/$B$3),"")</f>
        <v/>
      </c>
      <c r="J247" s="34">
        <f>IFERROR(IF($I247="","",$I247*IFERROR($G247,0)/100),"")</f>
        <v/>
      </c>
      <c r="K247" s="34">
        <f>IFERROR(IF($J247="","",IF(ISNUMBER($H247),$J247*$H247/'Index Summary'!$C$7,"")),"")</f>
        <v/>
      </c>
      <c r="L247" s="34">
        <f>IFERROR(IF($K247="","",$J247-$K247),"")</f>
        <v/>
      </c>
      <c r="M247" s="35">
        <f>IF($C247="","",IF(NOT(ISNUMBER($G247)),"No dividend",IF($G247=0,"No dividend",IF(ISNUMBER($H247),"OK","Franking n/a"))))</f>
        <v/>
      </c>
    </row>
    <row r="248">
      <c r="A248" s="27" t="n"/>
      <c r="B248" s="27" t="n"/>
      <c r="C248" s="27">
        <f>IF($A248="","",$A248&amp;" Equity")</f>
        <v/>
      </c>
      <c r="D248" s="27">
        <f>IF($A248="","",BDP($C248,"NAME"))</f>
        <v/>
      </c>
      <c r="E248" s="28">
        <f>IF($A248="","",BDP($C248,"EQY_DVD_SH_12M"))</f>
        <v/>
      </c>
      <c r="F248" s="29">
        <f>IF($A248="","",BDP($C248,"EQY_DVD_YLD_12M"))</f>
        <v/>
      </c>
      <c r="G248" s="29">
        <f>IF($A248="","",BDP($C248,"EQY_DVD_YLD_IND"))</f>
        <v/>
      </c>
      <c r="H248" s="29">
        <f>IF($A248="","",BDP($C248,'Field Check'!$C$4))</f>
        <v/>
      </c>
      <c r="I248" s="30">
        <f>IFERROR(IF($B248="","",$B248/$B$3),"")</f>
        <v/>
      </c>
      <c r="J248" s="30">
        <f>IFERROR(IF($I248="","",$I248*IFERROR($G248,0)/100),"")</f>
        <v/>
      </c>
      <c r="K248" s="30">
        <f>IFERROR(IF($J248="","",IF(ISNUMBER($H248),$J248*$H248/'Index Summary'!$C$7,"")),"")</f>
        <v/>
      </c>
      <c r="L248" s="30">
        <f>IFERROR(IF($K248="","",$J248-$K248),"")</f>
        <v/>
      </c>
      <c r="M248" s="31">
        <f>IF($C248="","",IF(NOT(ISNUMBER($G248)),"No dividend",IF($G248=0,"No dividend",IF(ISNUMBER($H248),"OK","Franking n/a"))))</f>
        <v/>
      </c>
    </row>
    <row r="249">
      <c r="A249" s="16" t="n"/>
      <c r="B249" s="16" t="n"/>
      <c r="C249" s="16">
        <f>IF($A249="","",$A249&amp;" Equity")</f>
        <v/>
      </c>
      <c r="D249" s="16">
        <f>IF($A249="","",BDP($C249,"NAME"))</f>
        <v/>
      </c>
      <c r="E249" s="32">
        <f>IF($A249="","",BDP($C249,"EQY_DVD_SH_12M"))</f>
        <v/>
      </c>
      <c r="F249" s="33">
        <f>IF($A249="","",BDP($C249,"EQY_DVD_YLD_12M"))</f>
        <v/>
      </c>
      <c r="G249" s="33">
        <f>IF($A249="","",BDP($C249,"EQY_DVD_YLD_IND"))</f>
        <v/>
      </c>
      <c r="H249" s="33">
        <f>IF($A249="","",BDP($C249,'Field Check'!$C$4))</f>
        <v/>
      </c>
      <c r="I249" s="34">
        <f>IFERROR(IF($B249="","",$B249/$B$3),"")</f>
        <v/>
      </c>
      <c r="J249" s="34">
        <f>IFERROR(IF($I249="","",$I249*IFERROR($G249,0)/100),"")</f>
        <v/>
      </c>
      <c r="K249" s="34">
        <f>IFERROR(IF($J249="","",IF(ISNUMBER($H249),$J249*$H249/'Index Summary'!$C$7,"")),"")</f>
        <v/>
      </c>
      <c r="L249" s="34">
        <f>IFERROR(IF($K249="","",$J249-$K249),"")</f>
        <v/>
      </c>
      <c r="M249" s="35">
        <f>IF($C249="","",IF(NOT(ISNUMBER($G249)),"No dividend",IF($G249=0,"No dividend",IF(ISNUMBER($H249),"OK","Franking n/a"))))</f>
        <v/>
      </c>
    </row>
    <row r="250">
      <c r="A250" s="27" t="n"/>
      <c r="B250" s="27" t="n"/>
      <c r="C250" s="27">
        <f>IF($A250="","",$A250&amp;" Equity")</f>
        <v/>
      </c>
      <c r="D250" s="27">
        <f>IF($A250="","",BDP($C250,"NAME"))</f>
        <v/>
      </c>
      <c r="E250" s="28">
        <f>IF($A250="","",BDP($C250,"EQY_DVD_SH_12M"))</f>
        <v/>
      </c>
      <c r="F250" s="29">
        <f>IF($A250="","",BDP($C250,"EQY_DVD_YLD_12M"))</f>
        <v/>
      </c>
      <c r="G250" s="29">
        <f>IF($A250="","",BDP($C250,"EQY_DVD_YLD_IND"))</f>
        <v/>
      </c>
      <c r="H250" s="29">
        <f>IF($A250="","",BDP($C250,'Field Check'!$C$4))</f>
        <v/>
      </c>
      <c r="I250" s="30">
        <f>IFERROR(IF($B250="","",$B250/$B$3),"")</f>
        <v/>
      </c>
      <c r="J250" s="30">
        <f>IFERROR(IF($I250="","",$I250*IFERROR($G250,0)/100),"")</f>
        <v/>
      </c>
      <c r="K250" s="30">
        <f>IFERROR(IF($J250="","",IF(ISNUMBER($H250),$J250*$H250/'Index Summary'!$C$7,"")),"")</f>
        <v/>
      </c>
      <c r="L250" s="30">
        <f>IFERROR(IF($K250="","",$J250-$K250),"")</f>
        <v/>
      </c>
      <c r="M250" s="31">
        <f>IF($C250="","",IF(NOT(ISNUMBER($G250)),"No dividend",IF($G250=0,"No dividend",IF(ISNUMBER($H250),"OK","Franking n/a"))))</f>
        <v/>
      </c>
    </row>
    <row r="251">
      <c r="A251" s="16" t="n"/>
      <c r="B251" s="16" t="n"/>
      <c r="C251" s="16">
        <f>IF($A251="","",$A251&amp;" Equity")</f>
        <v/>
      </c>
      <c r="D251" s="16">
        <f>IF($A251="","",BDP($C251,"NAME"))</f>
        <v/>
      </c>
      <c r="E251" s="32">
        <f>IF($A251="","",BDP($C251,"EQY_DVD_SH_12M"))</f>
        <v/>
      </c>
      <c r="F251" s="33">
        <f>IF($A251="","",BDP($C251,"EQY_DVD_YLD_12M"))</f>
        <v/>
      </c>
      <c r="G251" s="33">
        <f>IF($A251="","",BDP($C251,"EQY_DVD_YLD_IND"))</f>
        <v/>
      </c>
      <c r="H251" s="33">
        <f>IF($A251="","",BDP($C251,'Field Check'!$C$4))</f>
        <v/>
      </c>
      <c r="I251" s="34">
        <f>IFERROR(IF($B251="","",$B251/$B$3),"")</f>
        <v/>
      </c>
      <c r="J251" s="34">
        <f>IFERROR(IF($I251="","",$I251*IFERROR($G251,0)/100),"")</f>
        <v/>
      </c>
      <c r="K251" s="34">
        <f>IFERROR(IF($J251="","",IF(ISNUMBER($H251),$J251*$H251/'Index Summary'!$C$7,"")),"")</f>
        <v/>
      </c>
      <c r="L251" s="34">
        <f>IFERROR(IF($K251="","",$J251-$K251),"")</f>
        <v/>
      </c>
      <c r="M251" s="35">
        <f>IF($C251="","",IF(NOT(ISNUMBER($G251)),"No dividend",IF($G251=0,"No dividend",IF(ISNUMBER($H251),"OK","Franking n/a"))))</f>
        <v/>
      </c>
    </row>
    <row r="252">
      <c r="A252" s="27" t="n"/>
      <c r="B252" s="27" t="n"/>
      <c r="C252" s="27">
        <f>IF($A252="","",$A252&amp;" Equity")</f>
        <v/>
      </c>
      <c r="D252" s="27">
        <f>IF($A252="","",BDP($C252,"NAME"))</f>
        <v/>
      </c>
      <c r="E252" s="28">
        <f>IF($A252="","",BDP($C252,"EQY_DVD_SH_12M"))</f>
        <v/>
      </c>
      <c r="F252" s="29">
        <f>IF($A252="","",BDP($C252,"EQY_DVD_YLD_12M"))</f>
        <v/>
      </c>
      <c r="G252" s="29">
        <f>IF($A252="","",BDP($C252,"EQY_DVD_YLD_IND"))</f>
        <v/>
      </c>
      <c r="H252" s="29">
        <f>IF($A252="","",BDP($C252,'Field Check'!$C$4))</f>
        <v/>
      </c>
      <c r="I252" s="30">
        <f>IFERROR(IF($B252="","",$B252/$B$3),"")</f>
        <v/>
      </c>
      <c r="J252" s="30">
        <f>IFERROR(IF($I252="","",$I252*IFERROR($G252,0)/100),"")</f>
        <v/>
      </c>
      <c r="K252" s="30">
        <f>IFERROR(IF($J252="","",IF(ISNUMBER($H252),$J252*$H252/'Index Summary'!$C$7,"")),"")</f>
        <v/>
      </c>
      <c r="L252" s="30">
        <f>IFERROR(IF($K252="","",$J252-$K252),"")</f>
        <v/>
      </c>
      <c r="M252" s="31">
        <f>IF($C252="","",IF(NOT(ISNUMBER($G252)),"No dividend",IF($G252=0,"No dividend",IF(ISNUMBER($H252),"OK","Franking n/a"))))</f>
        <v/>
      </c>
    </row>
    <row r="253">
      <c r="A253" s="16" t="n"/>
      <c r="B253" s="16" t="n"/>
      <c r="C253" s="16">
        <f>IF($A253="","",$A253&amp;" Equity")</f>
        <v/>
      </c>
      <c r="D253" s="16">
        <f>IF($A253="","",BDP($C253,"NAME"))</f>
        <v/>
      </c>
      <c r="E253" s="32">
        <f>IF($A253="","",BDP($C253,"EQY_DVD_SH_12M"))</f>
        <v/>
      </c>
      <c r="F253" s="33">
        <f>IF($A253="","",BDP($C253,"EQY_DVD_YLD_12M"))</f>
        <v/>
      </c>
      <c r="G253" s="33">
        <f>IF($A253="","",BDP($C253,"EQY_DVD_YLD_IND"))</f>
        <v/>
      </c>
      <c r="H253" s="33">
        <f>IF($A253="","",BDP($C253,'Field Check'!$C$4))</f>
        <v/>
      </c>
      <c r="I253" s="34">
        <f>IFERROR(IF($B253="","",$B253/$B$3),"")</f>
        <v/>
      </c>
      <c r="J253" s="34">
        <f>IFERROR(IF($I253="","",$I253*IFERROR($G253,0)/100),"")</f>
        <v/>
      </c>
      <c r="K253" s="34">
        <f>IFERROR(IF($J253="","",IF(ISNUMBER($H253),$J253*$H253/'Index Summary'!$C$7,"")),"")</f>
        <v/>
      </c>
      <c r="L253" s="34">
        <f>IFERROR(IF($K253="","",$J253-$K253),"")</f>
        <v/>
      </c>
      <c r="M253" s="35">
        <f>IF($C253="","",IF(NOT(ISNUMBER($G253)),"No dividend",IF($G253=0,"No dividend",IF(ISNUMBER($H253),"OK","Franking n/a"))))</f>
        <v/>
      </c>
    </row>
    <row r="254">
      <c r="A254" s="27" t="n"/>
      <c r="B254" s="27" t="n"/>
      <c r="C254" s="27">
        <f>IF($A254="","",$A254&amp;" Equity")</f>
        <v/>
      </c>
      <c r="D254" s="27">
        <f>IF($A254="","",BDP($C254,"NAME"))</f>
        <v/>
      </c>
      <c r="E254" s="28">
        <f>IF($A254="","",BDP($C254,"EQY_DVD_SH_12M"))</f>
        <v/>
      </c>
      <c r="F254" s="29">
        <f>IF($A254="","",BDP($C254,"EQY_DVD_YLD_12M"))</f>
        <v/>
      </c>
      <c r="G254" s="29">
        <f>IF($A254="","",BDP($C254,"EQY_DVD_YLD_IND"))</f>
        <v/>
      </c>
      <c r="H254" s="29">
        <f>IF($A254="","",BDP($C254,'Field Check'!$C$4))</f>
        <v/>
      </c>
      <c r="I254" s="30">
        <f>IFERROR(IF($B254="","",$B254/$B$3),"")</f>
        <v/>
      </c>
      <c r="J254" s="30">
        <f>IFERROR(IF($I254="","",$I254*IFERROR($G254,0)/100),"")</f>
        <v/>
      </c>
      <c r="K254" s="30">
        <f>IFERROR(IF($J254="","",IF(ISNUMBER($H254),$J254*$H254/'Index Summary'!$C$7,"")),"")</f>
        <v/>
      </c>
      <c r="L254" s="30">
        <f>IFERROR(IF($K254="","",$J254-$K254),"")</f>
        <v/>
      </c>
      <c r="M254" s="31">
        <f>IF($C254="","",IF(NOT(ISNUMBER($G254)),"No dividend",IF($G254=0,"No dividend",IF(ISNUMBER($H254),"OK","Franking n/a"))))</f>
        <v/>
      </c>
    </row>
    <row r="255">
      <c r="A255" s="16" t="n"/>
      <c r="B255" s="16" t="n"/>
      <c r="C255" s="16">
        <f>IF($A255="","",$A255&amp;" Equity")</f>
        <v/>
      </c>
      <c r="D255" s="16">
        <f>IF($A255="","",BDP($C255,"NAME"))</f>
        <v/>
      </c>
      <c r="E255" s="32">
        <f>IF($A255="","",BDP($C255,"EQY_DVD_SH_12M"))</f>
        <v/>
      </c>
      <c r="F255" s="33">
        <f>IF($A255="","",BDP($C255,"EQY_DVD_YLD_12M"))</f>
        <v/>
      </c>
      <c r="G255" s="33">
        <f>IF($A255="","",BDP($C255,"EQY_DVD_YLD_IND"))</f>
        <v/>
      </c>
      <c r="H255" s="33">
        <f>IF($A255="","",BDP($C255,'Field Check'!$C$4))</f>
        <v/>
      </c>
      <c r="I255" s="34">
        <f>IFERROR(IF($B255="","",$B255/$B$3),"")</f>
        <v/>
      </c>
      <c r="J255" s="34">
        <f>IFERROR(IF($I255="","",$I255*IFERROR($G255,0)/100),"")</f>
        <v/>
      </c>
      <c r="K255" s="34">
        <f>IFERROR(IF($J255="","",IF(ISNUMBER($H255),$J255*$H255/'Index Summary'!$C$7,"")),"")</f>
        <v/>
      </c>
      <c r="L255" s="34">
        <f>IFERROR(IF($K255="","",$J255-$K255),"")</f>
        <v/>
      </c>
      <c r="M255" s="35">
        <f>IF($C255="","",IF(NOT(ISNUMBER($G255)),"No dividend",IF($G255=0,"No dividend",IF(ISNUMBER($H255),"OK","Franking n/a"))))</f>
        <v/>
      </c>
    </row>
    <row r="256">
      <c r="A256" s="27" t="n"/>
      <c r="B256" s="27" t="n"/>
      <c r="C256" s="27">
        <f>IF($A256="","",$A256&amp;" Equity")</f>
        <v/>
      </c>
      <c r="D256" s="27">
        <f>IF($A256="","",BDP($C256,"NAME"))</f>
        <v/>
      </c>
      <c r="E256" s="28">
        <f>IF($A256="","",BDP($C256,"EQY_DVD_SH_12M"))</f>
        <v/>
      </c>
      <c r="F256" s="29">
        <f>IF($A256="","",BDP($C256,"EQY_DVD_YLD_12M"))</f>
        <v/>
      </c>
      <c r="G256" s="29">
        <f>IF($A256="","",BDP($C256,"EQY_DVD_YLD_IND"))</f>
        <v/>
      </c>
      <c r="H256" s="29">
        <f>IF($A256="","",BDP($C256,'Field Check'!$C$4))</f>
        <v/>
      </c>
      <c r="I256" s="30">
        <f>IFERROR(IF($B256="","",$B256/$B$3),"")</f>
        <v/>
      </c>
      <c r="J256" s="30">
        <f>IFERROR(IF($I256="","",$I256*IFERROR($G256,0)/100),"")</f>
        <v/>
      </c>
      <c r="K256" s="30">
        <f>IFERROR(IF($J256="","",IF(ISNUMBER($H256),$J256*$H256/'Index Summary'!$C$7,"")),"")</f>
        <v/>
      </c>
      <c r="L256" s="30">
        <f>IFERROR(IF($K256="","",$J256-$K256),"")</f>
        <v/>
      </c>
      <c r="M256" s="31">
        <f>IF($C256="","",IF(NOT(ISNUMBER($G256)),"No dividend",IF($G256=0,"No dividend",IF(ISNUMBER($H256),"OK","Franking n/a"))))</f>
        <v/>
      </c>
    </row>
    <row r="257">
      <c r="A257" s="16" t="n"/>
      <c r="B257" s="16" t="n"/>
      <c r="C257" s="16">
        <f>IF($A257="","",$A257&amp;" Equity")</f>
        <v/>
      </c>
      <c r="D257" s="16">
        <f>IF($A257="","",BDP($C257,"NAME"))</f>
        <v/>
      </c>
      <c r="E257" s="32">
        <f>IF($A257="","",BDP($C257,"EQY_DVD_SH_12M"))</f>
        <v/>
      </c>
      <c r="F257" s="33">
        <f>IF($A257="","",BDP($C257,"EQY_DVD_YLD_12M"))</f>
        <v/>
      </c>
      <c r="G257" s="33">
        <f>IF($A257="","",BDP($C257,"EQY_DVD_YLD_IND"))</f>
        <v/>
      </c>
      <c r="H257" s="33">
        <f>IF($A257="","",BDP($C257,'Field Check'!$C$4))</f>
        <v/>
      </c>
      <c r="I257" s="34">
        <f>IFERROR(IF($B257="","",$B257/$B$3),"")</f>
        <v/>
      </c>
      <c r="J257" s="34">
        <f>IFERROR(IF($I257="","",$I257*IFERROR($G257,0)/100),"")</f>
        <v/>
      </c>
      <c r="K257" s="34">
        <f>IFERROR(IF($J257="","",IF(ISNUMBER($H257),$J257*$H257/'Index Summary'!$C$7,"")),"")</f>
        <v/>
      </c>
      <c r="L257" s="34">
        <f>IFERROR(IF($K257="","",$J257-$K257),"")</f>
        <v/>
      </c>
      <c r="M257" s="35">
        <f>IF($C257="","",IF(NOT(ISNUMBER($G257)),"No dividend",IF($G257=0,"No dividend",IF(ISNUMBER($H257),"OK","Franking n/a"))))</f>
        <v/>
      </c>
    </row>
    <row r="258">
      <c r="A258" s="27" t="n"/>
      <c r="B258" s="27" t="n"/>
      <c r="C258" s="27">
        <f>IF($A258="","",$A258&amp;" Equity")</f>
        <v/>
      </c>
      <c r="D258" s="27">
        <f>IF($A258="","",BDP($C258,"NAME"))</f>
        <v/>
      </c>
      <c r="E258" s="28">
        <f>IF($A258="","",BDP($C258,"EQY_DVD_SH_12M"))</f>
        <v/>
      </c>
      <c r="F258" s="29">
        <f>IF($A258="","",BDP($C258,"EQY_DVD_YLD_12M"))</f>
        <v/>
      </c>
      <c r="G258" s="29">
        <f>IF($A258="","",BDP($C258,"EQY_DVD_YLD_IND"))</f>
        <v/>
      </c>
      <c r="H258" s="29">
        <f>IF($A258="","",BDP($C258,'Field Check'!$C$4))</f>
        <v/>
      </c>
      <c r="I258" s="30">
        <f>IFERROR(IF($B258="","",$B258/$B$3),"")</f>
        <v/>
      </c>
      <c r="J258" s="30">
        <f>IFERROR(IF($I258="","",$I258*IFERROR($G258,0)/100),"")</f>
        <v/>
      </c>
      <c r="K258" s="30">
        <f>IFERROR(IF($J258="","",IF(ISNUMBER($H258),$J258*$H258/'Index Summary'!$C$7,"")),"")</f>
        <v/>
      </c>
      <c r="L258" s="30">
        <f>IFERROR(IF($K258="","",$J258-$K258),"")</f>
        <v/>
      </c>
      <c r="M258" s="31">
        <f>IF($C258="","",IF(NOT(ISNUMBER($G258)),"No dividend",IF($G258=0,"No dividend",IF(ISNUMBER($H258),"OK","Franking n/a"))))</f>
        <v/>
      </c>
    </row>
    <row r="259">
      <c r="A259" s="16" t="n"/>
      <c r="B259" s="16" t="n"/>
      <c r="C259" s="16">
        <f>IF($A259="","",$A259&amp;" Equity")</f>
        <v/>
      </c>
      <c r="D259" s="16">
        <f>IF($A259="","",BDP($C259,"NAME"))</f>
        <v/>
      </c>
      <c r="E259" s="32">
        <f>IF($A259="","",BDP($C259,"EQY_DVD_SH_12M"))</f>
        <v/>
      </c>
      <c r="F259" s="33">
        <f>IF($A259="","",BDP($C259,"EQY_DVD_YLD_12M"))</f>
        <v/>
      </c>
      <c r="G259" s="33">
        <f>IF($A259="","",BDP($C259,"EQY_DVD_YLD_IND"))</f>
        <v/>
      </c>
      <c r="H259" s="33">
        <f>IF($A259="","",BDP($C259,'Field Check'!$C$4))</f>
        <v/>
      </c>
      <c r="I259" s="34">
        <f>IFERROR(IF($B259="","",$B259/$B$3),"")</f>
        <v/>
      </c>
      <c r="J259" s="34">
        <f>IFERROR(IF($I259="","",$I259*IFERROR($G259,0)/100),"")</f>
        <v/>
      </c>
      <c r="K259" s="34">
        <f>IFERROR(IF($J259="","",IF(ISNUMBER($H259),$J259*$H259/'Index Summary'!$C$7,"")),"")</f>
        <v/>
      </c>
      <c r="L259" s="34">
        <f>IFERROR(IF($K259="","",$J259-$K259),"")</f>
        <v/>
      </c>
      <c r="M259" s="35">
        <f>IF($C259="","",IF(NOT(ISNUMBER($G259)),"No dividend",IF($G259=0,"No dividend",IF(ISNUMBER($H259),"OK","Franking n/a"))))</f>
        <v/>
      </c>
    </row>
    <row r="260">
      <c r="A260" s="27" t="n"/>
      <c r="B260" s="27" t="n"/>
      <c r="C260" s="27">
        <f>IF($A260="","",$A260&amp;" Equity")</f>
        <v/>
      </c>
      <c r="D260" s="27">
        <f>IF($A260="","",BDP($C260,"NAME"))</f>
        <v/>
      </c>
      <c r="E260" s="28">
        <f>IF($A260="","",BDP($C260,"EQY_DVD_SH_12M"))</f>
        <v/>
      </c>
      <c r="F260" s="29">
        <f>IF($A260="","",BDP($C260,"EQY_DVD_YLD_12M"))</f>
        <v/>
      </c>
      <c r="G260" s="29">
        <f>IF($A260="","",BDP($C260,"EQY_DVD_YLD_IND"))</f>
        <v/>
      </c>
      <c r="H260" s="29">
        <f>IF($A260="","",BDP($C260,'Field Check'!$C$4))</f>
        <v/>
      </c>
      <c r="I260" s="30">
        <f>IFERROR(IF($B260="","",$B260/$B$3),"")</f>
        <v/>
      </c>
      <c r="J260" s="30">
        <f>IFERROR(IF($I260="","",$I260*IFERROR($G260,0)/100),"")</f>
        <v/>
      </c>
      <c r="K260" s="30">
        <f>IFERROR(IF($J260="","",IF(ISNUMBER($H260),$J260*$H260/'Index Summary'!$C$7,"")),"")</f>
        <v/>
      </c>
      <c r="L260" s="30">
        <f>IFERROR(IF($K260="","",$J260-$K260),"")</f>
        <v/>
      </c>
      <c r="M260" s="31">
        <f>IF($C260="","",IF(NOT(ISNUMBER($G260)),"No dividend",IF($G260=0,"No dividend",IF(ISNUMBER($H260),"OK","Franking n/a"))))</f>
        <v/>
      </c>
    </row>
    <row r="261">
      <c r="A261" s="16" t="n"/>
      <c r="B261" s="16" t="n"/>
      <c r="C261" s="16">
        <f>IF($A261="","",$A261&amp;" Equity")</f>
        <v/>
      </c>
      <c r="D261" s="16">
        <f>IF($A261="","",BDP($C261,"NAME"))</f>
        <v/>
      </c>
      <c r="E261" s="32">
        <f>IF($A261="","",BDP($C261,"EQY_DVD_SH_12M"))</f>
        <v/>
      </c>
      <c r="F261" s="33">
        <f>IF($A261="","",BDP($C261,"EQY_DVD_YLD_12M"))</f>
        <v/>
      </c>
      <c r="G261" s="33">
        <f>IF($A261="","",BDP($C261,"EQY_DVD_YLD_IND"))</f>
        <v/>
      </c>
      <c r="H261" s="33">
        <f>IF($A261="","",BDP($C261,'Field Check'!$C$4))</f>
        <v/>
      </c>
      <c r="I261" s="34">
        <f>IFERROR(IF($B261="","",$B261/$B$3),"")</f>
        <v/>
      </c>
      <c r="J261" s="34">
        <f>IFERROR(IF($I261="","",$I261*IFERROR($G261,0)/100),"")</f>
        <v/>
      </c>
      <c r="K261" s="34">
        <f>IFERROR(IF($J261="","",IF(ISNUMBER($H261),$J261*$H261/'Index Summary'!$C$7,"")),"")</f>
        <v/>
      </c>
      <c r="L261" s="34">
        <f>IFERROR(IF($K261="","",$J261-$K261),"")</f>
        <v/>
      </c>
      <c r="M261" s="35">
        <f>IF($C261="","",IF(NOT(ISNUMBER($G261)),"No dividend",IF($G261=0,"No dividend",IF(ISNUMBER($H261),"OK","Franking n/a"))))</f>
        <v/>
      </c>
    </row>
    <row r="262">
      <c r="A262" s="27" t="n"/>
      <c r="B262" s="27" t="n"/>
      <c r="C262" s="27">
        <f>IF($A262="","",$A262&amp;" Equity")</f>
        <v/>
      </c>
      <c r="D262" s="27">
        <f>IF($A262="","",BDP($C262,"NAME"))</f>
        <v/>
      </c>
      <c r="E262" s="28">
        <f>IF($A262="","",BDP($C262,"EQY_DVD_SH_12M"))</f>
        <v/>
      </c>
      <c r="F262" s="29">
        <f>IF($A262="","",BDP($C262,"EQY_DVD_YLD_12M"))</f>
        <v/>
      </c>
      <c r="G262" s="29">
        <f>IF($A262="","",BDP($C262,"EQY_DVD_YLD_IND"))</f>
        <v/>
      </c>
      <c r="H262" s="29">
        <f>IF($A262="","",BDP($C262,'Field Check'!$C$4))</f>
        <v/>
      </c>
      <c r="I262" s="30">
        <f>IFERROR(IF($B262="","",$B262/$B$3),"")</f>
        <v/>
      </c>
      <c r="J262" s="30">
        <f>IFERROR(IF($I262="","",$I262*IFERROR($G262,0)/100),"")</f>
        <v/>
      </c>
      <c r="K262" s="30">
        <f>IFERROR(IF($J262="","",IF(ISNUMBER($H262),$J262*$H262/'Index Summary'!$C$7,"")),"")</f>
        <v/>
      </c>
      <c r="L262" s="30">
        <f>IFERROR(IF($K262="","",$J262-$K262),"")</f>
        <v/>
      </c>
      <c r="M262" s="31">
        <f>IF($C262="","",IF(NOT(ISNUMBER($G262)),"No dividend",IF($G262=0,"No dividend",IF(ISNUMBER($H262),"OK","Franking n/a"))))</f>
        <v/>
      </c>
    </row>
    <row r="263">
      <c r="A263" s="16" t="n"/>
      <c r="B263" s="16" t="n"/>
      <c r="C263" s="16">
        <f>IF($A263="","",$A263&amp;" Equity")</f>
        <v/>
      </c>
      <c r="D263" s="16">
        <f>IF($A263="","",BDP($C263,"NAME"))</f>
        <v/>
      </c>
      <c r="E263" s="32">
        <f>IF($A263="","",BDP($C263,"EQY_DVD_SH_12M"))</f>
        <v/>
      </c>
      <c r="F263" s="33">
        <f>IF($A263="","",BDP($C263,"EQY_DVD_YLD_12M"))</f>
        <v/>
      </c>
      <c r="G263" s="33">
        <f>IF($A263="","",BDP($C263,"EQY_DVD_YLD_IND"))</f>
        <v/>
      </c>
      <c r="H263" s="33">
        <f>IF($A263="","",BDP($C263,'Field Check'!$C$4))</f>
        <v/>
      </c>
      <c r="I263" s="34">
        <f>IFERROR(IF($B263="","",$B263/$B$3),"")</f>
        <v/>
      </c>
      <c r="J263" s="34">
        <f>IFERROR(IF($I263="","",$I263*IFERROR($G263,0)/100),"")</f>
        <v/>
      </c>
      <c r="K263" s="34">
        <f>IFERROR(IF($J263="","",IF(ISNUMBER($H263),$J263*$H263/'Index Summary'!$C$7,"")),"")</f>
        <v/>
      </c>
      <c r="L263" s="34">
        <f>IFERROR(IF($K263="","",$J263-$K263),"")</f>
        <v/>
      </c>
      <c r="M263" s="35">
        <f>IF($C263="","",IF(NOT(ISNUMBER($G263)),"No dividend",IF($G263=0,"No dividend",IF(ISNUMBER($H263),"OK","Franking n/a"))))</f>
        <v/>
      </c>
    </row>
    <row r="264">
      <c r="A264" s="27" t="n"/>
      <c r="B264" s="27" t="n"/>
      <c r="C264" s="27">
        <f>IF($A264="","",$A264&amp;" Equity")</f>
        <v/>
      </c>
      <c r="D264" s="27">
        <f>IF($A264="","",BDP($C264,"NAME"))</f>
        <v/>
      </c>
      <c r="E264" s="28">
        <f>IF($A264="","",BDP($C264,"EQY_DVD_SH_12M"))</f>
        <v/>
      </c>
      <c r="F264" s="29">
        <f>IF($A264="","",BDP($C264,"EQY_DVD_YLD_12M"))</f>
        <v/>
      </c>
      <c r="G264" s="29">
        <f>IF($A264="","",BDP($C264,"EQY_DVD_YLD_IND"))</f>
        <v/>
      </c>
      <c r="H264" s="29">
        <f>IF($A264="","",BDP($C264,'Field Check'!$C$4))</f>
        <v/>
      </c>
      <c r="I264" s="30">
        <f>IFERROR(IF($B264="","",$B264/$B$3),"")</f>
        <v/>
      </c>
      <c r="J264" s="30">
        <f>IFERROR(IF($I264="","",$I264*IFERROR($G264,0)/100),"")</f>
        <v/>
      </c>
      <c r="K264" s="30">
        <f>IFERROR(IF($J264="","",IF(ISNUMBER($H264),$J264*$H264/'Index Summary'!$C$7,"")),"")</f>
        <v/>
      </c>
      <c r="L264" s="30">
        <f>IFERROR(IF($K264="","",$J264-$K264),"")</f>
        <v/>
      </c>
      <c r="M264" s="31">
        <f>IF($C264="","",IF(NOT(ISNUMBER($G264)),"No dividend",IF($G264=0,"No dividend",IF(ISNUMBER($H264),"OK","Franking n/a"))))</f>
        <v/>
      </c>
    </row>
    <row r="265">
      <c r="A265" s="16" t="n"/>
      <c r="B265" s="16" t="n"/>
      <c r="C265" s="16">
        <f>IF($A265="","",$A265&amp;" Equity")</f>
        <v/>
      </c>
      <c r="D265" s="16">
        <f>IF($A265="","",BDP($C265,"NAME"))</f>
        <v/>
      </c>
      <c r="E265" s="32">
        <f>IF($A265="","",BDP($C265,"EQY_DVD_SH_12M"))</f>
        <v/>
      </c>
      <c r="F265" s="33">
        <f>IF($A265="","",BDP($C265,"EQY_DVD_YLD_12M"))</f>
        <v/>
      </c>
      <c r="G265" s="33">
        <f>IF($A265="","",BDP($C265,"EQY_DVD_YLD_IND"))</f>
        <v/>
      </c>
      <c r="H265" s="33">
        <f>IF($A265="","",BDP($C265,'Field Check'!$C$4))</f>
        <v/>
      </c>
      <c r="I265" s="34">
        <f>IFERROR(IF($B265="","",$B265/$B$3),"")</f>
        <v/>
      </c>
      <c r="J265" s="34">
        <f>IFERROR(IF($I265="","",$I265*IFERROR($G265,0)/100),"")</f>
        <v/>
      </c>
      <c r="K265" s="34">
        <f>IFERROR(IF($J265="","",IF(ISNUMBER($H265),$J265*$H265/'Index Summary'!$C$7,"")),"")</f>
        <v/>
      </c>
      <c r="L265" s="34">
        <f>IFERROR(IF($K265="","",$J265-$K265),"")</f>
        <v/>
      </c>
      <c r="M265" s="35">
        <f>IF($C265="","",IF(NOT(ISNUMBER($G265)),"No dividend",IF($G265=0,"No dividend",IF(ISNUMBER($H265),"OK","Franking n/a"))))</f>
        <v/>
      </c>
    </row>
    <row r="266">
      <c r="A266" s="27" t="n"/>
      <c r="B266" s="27" t="n"/>
      <c r="C266" s="27">
        <f>IF($A266="","",$A266&amp;" Equity")</f>
        <v/>
      </c>
      <c r="D266" s="27">
        <f>IF($A266="","",BDP($C266,"NAME"))</f>
        <v/>
      </c>
      <c r="E266" s="28">
        <f>IF($A266="","",BDP($C266,"EQY_DVD_SH_12M"))</f>
        <v/>
      </c>
      <c r="F266" s="29">
        <f>IF($A266="","",BDP($C266,"EQY_DVD_YLD_12M"))</f>
        <v/>
      </c>
      <c r="G266" s="29">
        <f>IF($A266="","",BDP($C266,"EQY_DVD_YLD_IND"))</f>
        <v/>
      </c>
      <c r="H266" s="29">
        <f>IF($A266="","",BDP($C266,'Field Check'!$C$4))</f>
        <v/>
      </c>
      <c r="I266" s="30">
        <f>IFERROR(IF($B266="","",$B266/$B$3),"")</f>
        <v/>
      </c>
      <c r="J266" s="30">
        <f>IFERROR(IF($I266="","",$I266*IFERROR($G266,0)/100),"")</f>
        <v/>
      </c>
      <c r="K266" s="30">
        <f>IFERROR(IF($J266="","",IF(ISNUMBER($H266),$J266*$H266/'Index Summary'!$C$7,"")),"")</f>
        <v/>
      </c>
      <c r="L266" s="30">
        <f>IFERROR(IF($K266="","",$J266-$K266),"")</f>
        <v/>
      </c>
      <c r="M266" s="31">
        <f>IF($C266="","",IF(NOT(ISNUMBER($G266)),"No dividend",IF($G266=0,"No dividend",IF(ISNUMBER($H266),"OK","Franking n/a"))))</f>
        <v/>
      </c>
    </row>
    <row r="267">
      <c r="A267" s="16" t="n"/>
      <c r="B267" s="16" t="n"/>
      <c r="C267" s="16">
        <f>IF($A267="","",$A267&amp;" Equity")</f>
        <v/>
      </c>
      <c r="D267" s="16">
        <f>IF($A267="","",BDP($C267,"NAME"))</f>
        <v/>
      </c>
      <c r="E267" s="32">
        <f>IF($A267="","",BDP($C267,"EQY_DVD_SH_12M"))</f>
        <v/>
      </c>
      <c r="F267" s="33">
        <f>IF($A267="","",BDP($C267,"EQY_DVD_YLD_12M"))</f>
        <v/>
      </c>
      <c r="G267" s="33">
        <f>IF($A267="","",BDP($C267,"EQY_DVD_YLD_IND"))</f>
        <v/>
      </c>
      <c r="H267" s="33">
        <f>IF($A267="","",BDP($C267,'Field Check'!$C$4))</f>
        <v/>
      </c>
      <c r="I267" s="34">
        <f>IFERROR(IF($B267="","",$B267/$B$3),"")</f>
        <v/>
      </c>
      <c r="J267" s="34">
        <f>IFERROR(IF($I267="","",$I267*IFERROR($G267,0)/100),"")</f>
        <v/>
      </c>
      <c r="K267" s="34">
        <f>IFERROR(IF($J267="","",IF(ISNUMBER($H267),$J267*$H267/'Index Summary'!$C$7,"")),"")</f>
        <v/>
      </c>
      <c r="L267" s="34">
        <f>IFERROR(IF($K267="","",$J267-$K267),"")</f>
        <v/>
      </c>
      <c r="M267" s="35">
        <f>IF($C267="","",IF(NOT(ISNUMBER($G267)),"No dividend",IF($G267=0,"No dividend",IF(ISNUMBER($H267),"OK","Franking n/a"))))</f>
        <v/>
      </c>
    </row>
    <row r="268">
      <c r="A268" s="27" t="n"/>
      <c r="B268" s="27" t="n"/>
      <c r="C268" s="27">
        <f>IF($A268="","",$A268&amp;" Equity")</f>
        <v/>
      </c>
      <c r="D268" s="27">
        <f>IF($A268="","",BDP($C268,"NAME"))</f>
        <v/>
      </c>
      <c r="E268" s="28">
        <f>IF($A268="","",BDP($C268,"EQY_DVD_SH_12M"))</f>
        <v/>
      </c>
      <c r="F268" s="29">
        <f>IF($A268="","",BDP($C268,"EQY_DVD_YLD_12M"))</f>
        <v/>
      </c>
      <c r="G268" s="29">
        <f>IF($A268="","",BDP($C268,"EQY_DVD_YLD_IND"))</f>
        <v/>
      </c>
      <c r="H268" s="29">
        <f>IF($A268="","",BDP($C268,'Field Check'!$C$4))</f>
        <v/>
      </c>
      <c r="I268" s="30">
        <f>IFERROR(IF($B268="","",$B268/$B$3),"")</f>
        <v/>
      </c>
      <c r="J268" s="30">
        <f>IFERROR(IF($I268="","",$I268*IFERROR($G268,0)/100),"")</f>
        <v/>
      </c>
      <c r="K268" s="30">
        <f>IFERROR(IF($J268="","",IF(ISNUMBER($H268),$J268*$H268/'Index Summary'!$C$7,"")),"")</f>
        <v/>
      </c>
      <c r="L268" s="30">
        <f>IFERROR(IF($K268="","",$J268-$K268),"")</f>
        <v/>
      </c>
      <c r="M268" s="31">
        <f>IF($C268="","",IF(NOT(ISNUMBER($G268)),"No dividend",IF($G268=0,"No dividend",IF(ISNUMBER($H268),"OK","Franking n/a"))))</f>
        <v/>
      </c>
    </row>
    <row r="269">
      <c r="A269" s="16" t="n"/>
      <c r="B269" s="16" t="n"/>
      <c r="C269" s="16">
        <f>IF($A269="","",$A269&amp;" Equity")</f>
        <v/>
      </c>
      <c r="D269" s="16">
        <f>IF($A269="","",BDP($C269,"NAME"))</f>
        <v/>
      </c>
      <c r="E269" s="32">
        <f>IF($A269="","",BDP($C269,"EQY_DVD_SH_12M"))</f>
        <v/>
      </c>
      <c r="F269" s="33">
        <f>IF($A269="","",BDP($C269,"EQY_DVD_YLD_12M"))</f>
        <v/>
      </c>
      <c r="G269" s="33">
        <f>IF($A269="","",BDP($C269,"EQY_DVD_YLD_IND"))</f>
        <v/>
      </c>
      <c r="H269" s="33">
        <f>IF($A269="","",BDP($C269,'Field Check'!$C$4))</f>
        <v/>
      </c>
      <c r="I269" s="34">
        <f>IFERROR(IF($B269="","",$B269/$B$3),"")</f>
        <v/>
      </c>
      <c r="J269" s="34">
        <f>IFERROR(IF($I269="","",$I269*IFERROR($G269,0)/100),"")</f>
        <v/>
      </c>
      <c r="K269" s="34">
        <f>IFERROR(IF($J269="","",IF(ISNUMBER($H269),$J269*$H269/'Index Summary'!$C$7,"")),"")</f>
        <v/>
      </c>
      <c r="L269" s="34">
        <f>IFERROR(IF($K269="","",$J269-$K269),"")</f>
        <v/>
      </c>
      <c r="M269" s="35">
        <f>IF($C269="","",IF(NOT(ISNUMBER($G269)),"No dividend",IF($G269=0,"No dividend",IF(ISNUMBER($H269),"OK","Franking n/a"))))</f>
        <v/>
      </c>
    </row>
    <row r="270">
      <c r="A270" s="27" t="n"/>
      <c r="B270" s="27" t="n"/>
      <c r="C270" s="27">
        <f>IF($A270="","",$A270&amp;" Equity")</f>
        <v/>
      </c>
      <c r="D270" s="27">
        <f>IF($A270="","",BDP($C270,"NAME"))</f>
        <v/>
      </c>
      <c r="E270" s="28">
        <f>IF($A270="","",BDP($C270,"EQY_DVD_SH_12M"))</f>
        <v/>
      </c>
      <c r="F270" s="29">
        <f>IF($A270="","",BDP($C270,"EQY_DVD_YLD_12M"))</f>
        <v/>
      </c>
      <c r="G270" s="29">
        <f>IF($A270="","",BDP($C270,"EQY_DVD_YLD_IND"))</f>
        <v/>
      </c>
      <c r="H270" s="29">
        <f>IF($A270="","",BDP($C270,'Field Check'!$C$4))</f>
        <v/>
      </c>
      <c r="I270" s="30">
        <f>IFERROR(IF($B270="","",$B270/$B$3),"")</f>
        <v/>
      </c>
      <c r="J270" s="30">
        <f>IFERROR(IF($I270="","",$I270*IFERROR($G270,0)/100),"")</f>
        <v/>
      </c>
      <c r="K270" s="30">
        <f>IFERROR(IF($J270="","",IF(ISNUMBER($H270),$J270*$H270/'Index Summary'!$C$7,"")),"")</f>
        <v/>
      </c>
      <c r="L270" s="30">
        <f>IFERROR(IF($K270="","",$J270-$K270),"")</f>
        <v/>
      </c>
      <c r="M270" s="31">
        <f>IF($C270="","",IF(NOT(ISNUMBER($G270)),"No dividend",IF($G270=0,"No dividend",IF(ISNUMBER($H270),"OK","Franking n/a"))))</f>
        <v/>
      </c>
    </row>
    <row r="271">
      <c r="A271" s="16" t="n"/>
      <c r="B271" s="16" t="n"/>
      <c r="C271" s="16">
        <f>IF($A271="","",$A271&amp;" Equity")</f>
        <v/>
      </c>
      <c r="D271" s="16">
        <f>IF($A271="","",BDP($C271,"NAME"))</f>
        <v/>
      </c>
      <c r="E271" s="32">
        <f>IF($A271="","",BDP($C271,"EQY_DVD_SH_12M"))</f>
        <v/>
      </c>
      <c r="F271" s="33">
        <f>IF($A271="","",BDP($C271,"EQY_DVD_YLD_12M"))</f>
        <v/>
      </c>
      <c r="G271" s="33">
        <f>IF($A271="","",BDP($C271,"EQY_DVD_YLD_IND"))</f>
        <v/>
      </c>
      <c r="H271" s="33">
        <f>IF($A271="","",BDP($C271,'Field Check'!$C$4))</f>
        <v/>
      </c>
      <c r="I271" s="34">
        <f>IFERROR(IF($B271="","",$B271/$B$3),"")</f>
        <v/>
      </c>
      <c r="J271" s="34">
        <f>IFERROR(IF($I271="","",$I271*IFERROR($G271,0)/100),"")</f>
        <v/>
      </c>
      <c r="K271" s="34">
        <f>IFERROR(IF($J271="","",IF(ISNUMBER($H271),$J271*$H271/'Index Summary'!$C$7,"")),"")</f>
        <v/>
      </c>
      <c r="L271" s="34">
        <f>IFERROR(IF($K271="","",$J271-$K271),"")</f>
        <v/>
      </c>
      <c r="M271" s="35">
        <f>IF($C271="","",IF(NOT(ISNUMBER($G271)),"No dividend",IF($G271=0,"No dividend",IF(ISNUMBER($H271),"OK","Franking n/a"))))</f>
        <v/>
      </c>
    </row>
    <row r="272">
      <c r="A272" s="27" t="n"/>
      <c r="B272" s="27" t="n"/>
      <c r="C272" s="27">
        <f>IF($A272="","",$A272&amp;" Equity")</f>
        <v/>
      </c>
      <c r="D272" s="27">
        <f>IF($A272="","",BDP($C272,"NAME"))</f>
        <v/>
      </c>
      <c r="E272" s="28">
        <f>IF($A272="","",BDP($C272,"EQY_DVD_SH_12M"))</f>
        <v/>
      </c>
      <c r="F272" s="29">
        <f>IF($A272="","",BDP($C272,"EQY_DVD_YLD_12M"))</f>
        <v/>
      </c>
      <c r="G272" s="29">
        <f>IF($A272="","",BDP($C272,"EQY_DVD_YLD_IND"))</f>
        <v/>
      </c>
      <c r="H272" s="29">
        <f>IF($A272="","",BDP($C272,'Field Check'!$C$4))</f>
        <v/>
      </c>
      <c r="I272" s="30">
        <f>IFERROR(IF($B272="","",$B272/$B$3),"")</f>
        <v/>
      </c>
      <c r="J272" s="30">
        <f>IFERROR(IF($I272="","",$I272*IFERROR($G272,0)/100),"")</f>
        <v/>
      </c>
      <c r="K272" s="30">
        <f>IFERROR(IF($J272="","",IF(ISNUMBER($H272),$J272*$H272/'Index Summary'!$C$7,"")),"")</f>
        <v/>
      </c>
      <c r="L272" s="30">
        <f>IFERROR(IF($K272="","",$J272-$K272),"")</f>
        <v/>
      </c>
      <c r="M272" s="31">
        <f>IF($C272="","",IF(NOT(ISNUMBER($G272)),"No dividend",IF($G272=0,"No dividend",IF(ISNUMBER($H272),"OK","Franking n/a"))))</f>
        <v/>
      </c>
    </row>
    <row r="273">
      <c r="A273" s="16" t="n"/>
      <c r="B273" s="16" t="n"/>
      <c r="C273" s="16">
        <f>IF($A273="","",$A273&amp;" Equity")</f>
        <v/>
      </c>
      <c r="D273" s="16">
        <f>IF($A273="","",BDP($C273,"NAME"))</f>
        <v/>
      </c>
      <c r="E273" s="32">
        <f>IF($A273="","",BDP($C273,"EQY_DVD_SH_12M"))</f>
        <v/>
      </c>
      <c r="F273" s="33">
        <f>IF($A273="","",BDP($C273,"EQY_DVD_YLD_12M"))</f>
        <v/>
      </c>
      <c r="G273" s="33">
        <f>IF($A273="","",BDP($C273,"EQY_DVD_YLD_IND"))</f>
        <v/>
      </c>
      <c r="H273" s="33">
        <f>IF($A273="","",BDP($C273,'Field Check'!$C$4))</f>
        <v/>
      </c>
      <c r="I273" s="34">
        <f>IFERROR(IF($B273="","",$B273/$B$3),"")</f>
        <v/>
      </c>
      <c r="J273" s="34">
        <f>IFERROR(IF($I273="","",$I273*IFERROR($G273,0)/100),"")</f>
        <v/>
      </c>
      <c r="K273" s="34">
        <f>IFERROR(IF($J273="","",IF(ISNUMBER($H273),$J273*$H273/'Index Summary'!$C$7,"")),"")</f>
        <v/>
      </c>
      <c r="L273" s="34">
        <f>IFERROR(IF($K273="","",$J273-$K273),"")</f>
        <v/>
      </c>
      <c r="M273" s="35">
        <f>IF($C273="","",IF(NOT(ISNUMBER($G273)),"No dividend",IF($G273=0,"No dividend",IF(ISNUMBER($H273),"OK","Franking n/a"))))</f>
        <v/>
      </c>
    </row>
    <row r="274">
      <c r="A274" s="27" t="n"/>
      <c r="B274" s="27" t="n"/>
      <c r="C274" s="27">
        <f>IF($A274="","",$A274&amp;" Equity")</f>
        <v/>
      </c>
      <c r="D274" s="27">
        <f>IF($A274="","",BDP($C274,"NAME"))</f>
        <v/>
      </c>
      <c r="E274" s="28">
        <f>IF($A274="","",BDP($C274,"EQY_DVD_SH_12M"))</f>
        <v/>
      </c>
      <c r="F274" s="29">
        <f>IF($A274="","",BDP($C274,"EQY_DVD_YLD_12M"))</f>
        <v/>
      </c>
      <c r="G274" s="29">
        <f>IF($A274="","",BDP($C274,"EQY_DVD_YLD_IND"))</f>
        <v/>
      </c>
      <c r="H274" s="29">
        <f>IF($A274="","",BDP($C274,'Field Check'!$C$4))</f>
        <v/>
      </c>
      <c r="I274" s="30">
        <f>IFERROR(IF($B274="","",$B274/$B$3),"")</f>
        <v/>
      </c>
      <c r="J274" s="30">
        <f>IFERROR(IF($I274="","",$I274*IFERROR($G274,0)/100),"")</f>
        <v/>
      </c>
      <c r="K274" s="30">
        <f>IFERROR(IF($J274="","",IF(ISNUMBER($H274),$J274*$H274/'Index Summary'!$C$7,"")),"")</f>
        <v/>
      </c>
      <c r="L274" s="30">
        <f>IFERROR(IF($K274="","",$J274-$K274),"")</f>
        <v/>
      </c>
      <c r="M274" s="31">
        <f>IF($C274="","",IF(NOT(ISNUMBER($G274)),"No dividend",IF($G274=0,"No dividend",IF(ISNUMBER($H274),"OK","Franking n/a"))))</f>
        <v/>
      </c>
    </row>
    <row r="275">
      <c r="A275" s="16" t="n"/>
      <c r="B275" s="16" t="n"/>
      <c r="C275" s="16">
        <f>IF($A275="","",$A275&amp;" Equity")</f>
        <v/>
      </c>
      <c r="D275" s="16">
        <f>IF($A275="","",BDP($C275,"NAME"))</f>
        <v/>
      </c>
      <c r="E275" s="32">
        <f>IF($A275="","",BDP($C275,"EQY_DVD_SH_12M"))</f>
        <v/>
      </c>
      <c r="F275" s="33">
        <f>IF($A275="","",BDP($C275,"EQY_DVD_YLD_12M"))</f>
        <v/>
      </c>
      <c r="G275" s="33">
        <f>IF($A275="","",BDP($C275,"EQY_DVD_YLD_IND"))</f>
        <v/>
      </c>
      <c r="H275" s="33">
        <f>IF($A275="","",BDP($C275,'Field Check'!$C$4))</f>
        <v/>
      </c>
      <c r="I275" s="34">
        <f>IFERROR(IF($B275="","",$B275/$B$3),"")</f>
        <v/>
      </c>
      <c r="J275" s="34">
        <f>IFERROR(IF($I275="","",$I275*IFERROR($G275,0)/100),"")</f>
        <v/>
      </c>
      <c r="K275" s="34">
        <f>IFERROR(IF($J275="","",IF(ISNUMBER($H275),$J275*$H275/'Index Summary'!$C$7,"")),"")</f>
        <v/>
      </c>
      <c r="L275" s="34">
        <f>IFERROR(IF($K275="","",$J275-$K275),"")</f>
        <v/>
      </c>
      <c r="M275" s="35">
        <f>IF($C275="","",IF(NOT(ISNUMBER($G275)),"No dividend",IF($G275=0,"No dividend",IF(ISNUMBER($H275),"OK","Franking n/a"))))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30" customWidth="1" min="4" max="4"/>
    <col width="12" customWidth="1" min="5" max="5"/>
    <col width="13" customWidth="1" min="6" max="6"/>
    <col width="13" customWidth="1" min="7" max="7"/>
    <col width="13" customWidth="1" min="8" max="8"/>
    <col width="11" customWidth="1" min="9" max="9"/>
    <col width="13" customWidth="1" min="10" max="10"/>
    <col width="15" customWidth="1" min="11" max="11"/>
    <col width="16" customWidth="1" min="12" max="12"/>
    <col width="15" customWidth="1" min="13" max="13"/>
  </cols>
  <sheetData>
    <row r="1">
      <c r="A1" s="1" t="inlineStr">
        <is>
          <t>MSCI Australia (MXAU) - MEMBERS, DIVIDENDS &amp; FRANKING</t>
        </is>
      </c>
    </row>
    <row r="2">
      <c r="A2" s="3" t="inlineStr">
        <is>
          <t>Index ticker</t>
        </is>
      </c>
      <c r="B2" s="10" t="inlineStr">
        <is>
          <t>MXAU Index</t>
        </is>
      </c>
      <c r="C2" s="2" t="inlineStr">
        <is>
          <t>~55-65 members; rows 6:175 pre-built.</t>
        </is>
      </c>
      <c r="E2" s="3" t="inlineStr">
        <is>
          <t>Members returned</t>
        </is>
      </c>
      <c r="G2" s="22">
        <f>COUNTIF($A$6:$A$175,"?*")</f>
        <v/>
      </c>
      <c r="I2" s="3" t="inlineStr">
        <is>
          <t>No dividend</t>
        </is>
      </c>
      <c r="J2" s="22">
        <f>COUNTIF($M$6:$M$175,"No dividend")</f>
        <v/>
      </c>
      <c r="K2" s="2" t="inlineStr">
        <is>
          <t>&lt;- expected, not errors.</t>
        </is>
      </c>
      <c r="L2" s="5">
        <f>IF($G$2=$G$3+$J$2,"reconciles","CHECK: status counts do not sum to members")</f>
        <v/>
      </c>
    </row>
    <row r="3">
      <c r="A3" s="3" t="inlineStr">
        <is>
          <t>Weight scale</t>
        </is>
      </c>
      <c r="B3" s="23">
        <f>IF(SUM($B$6:$B$175)&gt;2,100,1)</f>
        <v/>
      </c>
      <c r="C3" s="2" t="inlineStr">
        <is>
          <t>Auto: 100 if weights came back as percentages, 1 if as fractions.</t>
        </is>
      </c>
      <c r="E3" s="3" t="inlineStr">
        <is>
          <t>Dividend payers</t>
        </is>
      </c>
      <c r="G3" s="22">
        <f>COUNTIF($M$6:$M$175,"OK")+COUNTIF($M$6:$M$175,"Franking n/a")</f>
        <v/>
      </c>
      <c r="I3" s="3" t="inlineStr">
        <is>
          <t>Franking n/a</t>
        </is>
      </c>
      <c r="J3" s="22">
        <f>COUNTIF($M$6:$M$175,"Franking n/a")</f>
        <v/>
      </c>
      <c r="K3" s="2" t="inlineStr">
        <is>
          <t>&lt;- these are excluded from the split.</t>
        </is>
      </c>
    </row>
    <row r="4">
      <c r="A4" s="3" t="inlineStr">
        <is>
          <t>TOTALS</t>
        </is>
      </c>
      <c r="I4" s="24">
        <f>IFERROR(SUM($I$6:$I$175),"")</f>
        <v/>
      </c>
      <c r="J4" s="24">
        <f>IFERROR(SUM($J$6:$J$175),"")</f>
        <v/>
      </c>
      <c r="K4" s="24">
        <f>IFERROR(SUM($K$6:$K$175),"")</f>
        <v/>
      </c>
      <c r="L4" s="24">
        <f>IFERROR(SUM($L$6:$L$175),"")</f>
        <v/>
      </c>
      <c r="M4" s="25">
        <f>IFERROR(($K$4+$L$4)/$J$4,"")</f>
        <v/>
      </c>
      <c r="N4" s="6" t="inlineStr">
        <is>
          <t>&lt;- FRANKING COVERAGE: share of index dividends with a known franking status. Check this before quoting the split.</t>
        </is>
      </c>
    </row>
    <row r="5" ht="32" customHeight="1">
      <c r="A5" s="26" t="inlineStr">
        <is>
          <t>Member
Ticker</t>
        </is>
      </c>
      <c r="B5" s="26" t="inlineStr">
        <is>
          <t>Raw
Weight</t>
        </is>
      </c>
      <c r="C5" s="26" t="inlineStr">
        <is>
          <t>Bloomberg Ticker</t>
        </is>
      </c>
      <c r="D5" s="26" t="inlineStr">
        <is>
          <t>Company Name</t>
        </is>
      </c>
      <c r="E5" s="26" t="inlineStr">
        <is>
          <t>DPS 12M</t>
        </is>
      </c>
      <c r="F5" s="26" t="inlineStr">
        <is>
          <t>Div Yld
12M (%)</t>
        </is>
      </c>
      <c r="G5" s="26" t="inlineStr">
        <is>
          <t>Div Yld
Ind (%)</t>
        </is>
      </c>
      <c r="H5" s="26" t="inlineStr">
        <is>
          <t>Franked
(%)</t>
        </is>
      </c>
      <c r="I5" s="26" t="inlineStr">
        <is>
          <t>Weight</t>
        </is>
      </c>
      <c r="J5" s="26" t="inlineStr">
        <is>
          <t>Yld Contrib</t>
        </is>
      </c>
      <c r="K5" s="26" t="inlineStr">
        <is>
          <t>Franked
Contrib</t>
        </is>
      </c>
      <c r="L5" s="26" t="inlineStr">
        <is>
          <t>Unfranked
Contrib</t>
        </is>
      </c>
      <c r="M5" s="26" t="inlineStr">
        <is>
          <t>Status</t>
        </is>
      </c>
    </row>
    <row r="6">
      <c r="A6" s="16">
        <f>BDS($B$2,"INDX_MWEIGHT")</f>
        <v/>
      </c>
      <c r="B6" s="27" t="n"/>
      <c r="C6" s="27">
        <f>IF($A6="","",$A6&amp;" Equity")</f>
        <v/>
      </c>
      <c r="D6" s="27">
        <f>IF($A6="","",BDP($C6,"NAME"))</f>
        <v/>
      </c>
      <c r="E6" s="28">
        <f>IF($A6="","",BDP($C6,"EQY_DVD_SH_12M"))</f>
        <v/>
      </c>
      <c r="F6" s="29">
        <f>IF($A6="","",BDP($C6,"EQY_DVD_YLD_12M"))</f>
        <v/>
      </c>
      <c r="G6" s="29">
        <f>IF($A6="","",BDP($C6,"EQY_DVD_YLD_IND"))</f>
        <v/>
      </c>
      <c r="H6" s="29">
        <f>IF($A6="","",BDP($C6,'Field Check'!$C$4))</f>
        <v/>
      </c>
      <c r="I6" s="30">
        <f>IFERROR(IF($B6="","",$B6/$B$3),"")</f>
        <v/>
      </c>
      <c r="J6" s="30">
        <f>IFERROR(IF($I6="","",$I6*IFERROR($G6,0)/100),"")</f>
        <v/>
      </c>
      <c r="K6" s="30">
        <f>IFERROR(IF($J6="","",IF(ISNUMBER($H6),$J6*$H6/'Index Summary'!$C$7,"")),"")</f>
        <v/>
      </c>
      <c r="L6" s="30">
        <f>IFERROR(IF($K6="","",$J6-$K6),"")</f>
        <v/>
      </c>
      <c r="M6" s="31">
        <f>IF($C6="","",IF(NOT(ISNUMBER($G6)),"No dividend",IF($G6=0,"No dividend",IF(ISNUMBER($H6),"OK","Franking n/a"))))</f>
        <v/>
      </c>
    </row>
    <row r="7">
      <c r="A7" s="16" t="n"/>
      <c r="B7" s="16" t="n"/>
      <c r="C7" s="16">
        <f>IF($A7="","",$A7&amp;" Equity")</f>
        <v/>
      </c>
      <c r="D7" s="16">
        <f>IF($A7="","",BDP($C7,"NAME"))</f>
        <v/>
      </c>
      <c r="E7" s="32">
        <f>IF($A7="","",BDP($C7,"EQY_DVD_SH_12M"))</f>
        <v/>
      </c>
      <c r="F7" s="33">
        <f>IF($A7="","",BDP($C7,"EQY_DVD_YLD_12M"))</f>
        <v/>
      </c>
      <c r="G7" s="33">
        <f>IF($A7="","",BDP($C7,"EQY_DVD_YLD_IND"))</f>
        <v/>
      </c>
      <c r="H7" s="33">
        <f>IF($A7="","",BDP($C7,'Field Check'!$C$4))</f>
        <v/>
      </c>
      <c r="I7" s="34">
        <f>IFERROR(IF($B7="","",$B7/$B$3),"")</f>
        <v/>
      </c>
      <c r="J7" s="34">
        <f>IFERROR(IF($I7="","",$I7*IFERROR($G7,0)/100),"")</f>
        <v/>
      </c>
      <c r="K7" s="34">
        <f>IFERROR(IF($J7="","",IF(ISNUMBER($H7),$J7*$H7/'Index Summary'!$C$7,"")),"")</f>
        <v/>
      </c>
      <c r="L7" s="34">
        <f>IFERROR(IF($K7="","",$J7-$K7),"")</f>
        <v/>
      </c>
      <c r="M7" s="35">
        <f>IF($C7="","",IF(NOT(ISNUMBER($G7)),"No dividend",IF($G7=0,"No dividend",IF(ISNUMBER($H7),"OK","Franking n/a"))))</f>
        <v/>
      </c>
    </row>
    <row r="8">
      <c r="A8" s="27" t="n"/>
      <c r="B8" s="27" t="n"/>
      <c r="C8" s="27">
        <f>IF($A8="","",$A8&amp;" Equity")</f>
        <v/>
      </c>
      <c r="D8" s="27">
        <f>IF($A8="","",BDP($C8,"NAME"))</f>
        <v/>
      </c>
      <c r="E8" s="28">
        <f>IF($A8="","",BDP($C8,"EQY_DVD_SH_12M"))</f>
        <v/>
      </c>
      <c r="F8" s="29">
        <f>IF($A8="","",BDP($C8,"EQY_DVD_YLD_12M"))</f>
        <v/>
      </c>
      <c r="G8" s="29">
        <f>IF($A8="","",BDP($C8,"EQY_DVD_YLD_IND"))</f>
        <v/>
      </c>
      <c r="H8" s="29">
        <f>IF($A8="","",BDP($C8,'Field Check'!$C$4))</f>
        <v/>
      </c>
      <c r="I8" s="30">
        <f>IFERROR(IF($B8="","",$B8/$B$3),"")</f>
        <v/>
      </c>
      <c r="J8" s="30">
        <f>IFERROR(IF($I8="","",$I8*IFERROR($G8,0)/100),"")</f>
        <v/>
      </c>
      <c r="K8" s="30">
        <f>IFERROR(IF($J8="","",IF(ISNUMBER($H8),$J8*$H8/'Index Summary'!$C$7,"")),"")</f>
        <v/>
      </c>
      <c r="L8" s="30">
        <f>IFERROR(IF($K8="","",$J8-$K8),"")</f>
        <v/>
      </c>
      <c r="M8" s="31">
        <f>IF($C8="","",IF(NOT(ISNUMBER($G8)),"No dividend",IF($G8=0,"No dividend",IF(ISNUMBER($H8),"OK","Franking n/a"))))</f>
        <v/>
      </c>
    </row>
    <row r="9">
      <c r="A9" s="16" t="n"/>
      <c r="B9" s="16" t="n"/>
      <c r="C9" s="16">
        <f>IF($A9="","",$A9&amp;" Equity")</f>
        <v/>
      </c>
      <c r="D9" s="16">
        <f>IF($A9="","",BDP($C9,"NAME"))</f>
        <v/>
      </c>
      <c r="E9" s="32">
        <f>IF($A9="","",BDP($C9,"EQY_DVD_SH_12M"))</f>
        <v/>
      </c>
      <c r="F9" s="33">
        <f>IF($A9="","",BDP($C9,"EQY_DVD_YLD_12M"))</f>
        <v/>
      </c>
      <c r="G9" s="33">
        <f>IF($A9="","",BDP($C9,"EQY_DVD_YLD_IND"))</f>
        <v/>
      </c>
      <c r="H9" s="33">
        <f>IF($A9="","",BDP($C9,'Field Check'!$C$4))</f>
        <v/>
      </c>
      <c r="I9" s="34">
        <f>IFERROR(IF($B9="","",$B9/$B$3),"")</f>
        <v/>
      </c>
      <c r="J9" s="34">
        <f>IFERROR(IF($I9="","",$I9*IFERROR($G9,0)/100),"")</f>
        <v/>
      </c>
      <c r="K9" s="34">
        <f>IFERROR(IF($J9="","",IF(ISNUMBER($H9),$J9*$H9/'Index Summary'!$C$7,"")),"")</f>
        <v/>
      </c>
      <c r="L9" s="34">
        <f>IFERROR(IF($K9="","",$J9-$K9),"")</f>
        <v/>
      </c>
      <c r="M9" s="35">
        <f>IF($C9="","",IF(NOT(ISNUMBER($G9)),"No dividend",IF($G9=0,"No dividend",IF(ISNUMBER($H9),"OK","Franking n/a"))))</f>
        <v/>
      </c>
    </row>
    <row r="10">
      <c r="A10" s="27" t="n"/>
      <c r="B10" s="27" t="n"/>
      <c r="C10" s="27">
        <f>IF($A10="","",$A10&amp;" Equity")</f>
        <v/>
      </c>
      <c r="D10" s="27">
        <f>IF($A10="","",BDP($C10,"NAME"))</f>
        <v/>
      </c>
      <c r="E10" s="28">
        <f>IF($A10="","",BDP($C10,"EQY_DVD_SH_12M"))</f>
        <v/>
      </c>
      <c r="F10" s="29">
        <f>IF($A10="","",BDP($C10,"EQY_DVD_YLD_12M"))</f>
        <v/>
      </c>
      <c r="G10" s="29">
        <f>IF($A10="","",BDP($C10,"EQY_DVD_YLD_IND"))</f>
        <v/>
      </c>
      <c r="H10" s="29">
        <f>IF($A10="","",BDP($C10,'Field Check'!$C$4))</f>
        <v/>
      </c>
      <c r="I10" s="30">
        <f>IFERROR(IF($B10="","",$B10/$B$3),"")</f>
        <v/>
      </c>
      <c r="J10" s="30">
        <f>IFERROR(IF($I10="","",$I10*IFERROR($G10,0)/100),"")</f>
        <v/>
      </c>
      <c r="K10" s="30">
        <f>IFERROR(IF($J10="","",IF(ISNUMBER($H10),$J10*$H10/'Index Summary'!$C$7,"")),"")</f>
        <v/>
      </c>
      <c r="L10" s="30">
        <f>IFERROR(IF($K10="","",$J10-$K10),"")</f>
        <v/>
      </c>
      <c r="M10" s="31">
        <f>IF($C10="","",IF(NOT(ISNUMBER($G10)),"No dividend",IF($G10=0,"No dividend",IF(ISNUMBER($H10),"OK","Franking n/a"))))</f>
        <v/>
      </c>
    </row>
    <row r="11">
      <c r="A11" s="16" t="n"/>
      <c r="B11" s="16" t="n"/>
      <c r="C11" s="16">
        <f>IF($A11="","",$A11&amp;" Equity")</f>
        <v/>
      </c>
      <c r="D11" s="16">
        <f>IF($A11="","",BDP($C11,"NAME"))</f>
        <v/>
      </c>
      <c r="E11" s="32">
        <f>IF($A11="","",BDP($C11,"EQY_DVD_SH_12M"))</f>
        <v/>
      </c>
      <c r="F11" s="33">
        <f>IF($A11="","",BDP($C11,"EQY_DVD_YLD_12M"))</f>
        <v/>
      </c>
      <c r="G11" s="33">
        <f>IF($A11="","",BDP($C11,"EQY_DVD_YLD_IND"))</f>
        <v/>
      </c>
      <c r="H11" s="33">
        <f>IF($A11="","",BDP($C11,'Field Check'!$C$4))</f>
        <v/>
      </c>
      <c r="I11" s="34">
        <f>IFERROR(IF($B11="","",$B11/$B$3),"")</f>
        <v/>
      </c>
      <c r="J11" s="34">
        <f>IFERROR(IF($I11="","",$I11*IFERROR($G11,0)/100),"")</f>
        <v/>
      </c>
      <c r="K11" s="34">
        <f>IFERROR(IF($J11="","",IF(ISNUMBER($H11),$J11*$H11/'Index Summary'!$C$7,"")),"")</f>
        <v/>
      </c>
      <c r="L11" s="34">
        <f>IFERROR(IF($K11="","",$J11-$K11),"")</f>
        <v/>
      </c>
      <c r="M11" s="35">
        <f>IF($C11="","",IF(NOT(ISNUMBER($G11)),"No dividend",IF($G11=0,"No dividend",IF(ISNUMBER($H11),"OK","Franking n/a"))))</f>
        <v/>
      </c>
    </row>
    <row r="12">
      <c r="A12" s="27" t="n"/>
      <c r="B12" s="27" t="n"/>
      <c r="C12" s="27">
        <f>IF($A12="","",$A12&amp;" Equity")</f>
        <v/>
      </c>
      <c r="D12" s="27">
        <f>IF($A12="","",BDP($C12,"NAME"))</f>
        <v/>
      </c>
      <c r="E12" s="28">
        <f>IF($A12="","",BDP($C12,"EQY_DVD_SH_12M"))</f>
        <v/>
      </c>
      <c r="F12" s="29">
        <f>IF($A12="","",BDP($C12,"EQY_DVD_YLD_12M"))</f>
        <v/>
      </c>
      <c r="G12" s="29">
        <f>IF($A12="","",BDP($C12,"EQY_DVD_YLD_IND"))</f>
        <v/>
      </c>
      <c r="H12" s="29">
        <f>IF($A12="","",BDP($C12,'Field Check'!$C$4))</f>
        <v/>
      </c>
      <c r="I12" s="30">
        <f>IFERROR(IF($B12="","",$B12/$B$3),"")</f>
        <v/>
      </c>
      <c r="J12" s="30">
        <f>IFERROR(IF($I12="","",$I12*IFERROR($G12,0)/100),"")</f>
        <v/>
      </c>
      <c r="K12" s="30">
        <f>IFERROR(IF($J12="","",IF(ISNUMBER($H12),$J12*$H12/'Index Summary'!$C$7,"")),"")</f>
        <v/>
      </c>
      <c r="L12" s="30">
        <f>IFERROR(IF($K12="","",$J12-$K12),"")</f>
        <v/>
      </c>
      <c r="M12" s="31">
        <f>IF($C12="","",IF(NOT(ISNUMBER($G12)),"No dividend",IF($G12=0,"No dividend",IF(ISNUMBER($H12),"OK","Franking n/a"))))</f>
        <v/>
      </c>
    </row>
    <row r="13">
      <c r="A13" s="16" t="n"/>
      <c r="B13" s="16" t="n"/>
      <c r="C13" s="16">
        <f>IF($A13="","",$A13&amp;" Equity")</f>
        <v/>
      </c>
      <c r="D13" s="16">
        <f>IF($A13="","",BDP($C13,"NAME"))</f>
        <v/>
      </c>
      <c r="E13" s="32">
        <f>IF($A13="","",BDP($C13,"EQY_DVD_SH_12M"))</f>
        <v/>
      </c>
      <c r="F13" s="33">
        <f>IF($A13="","",BDP($C13,"EQY_DVD_YLD_12M"))</f>
        <v/>
      </c>
      <c r="G13" s="33">
        <f>IF($A13="","",BDP($C13,"EQY_DVD_YLD_IND"))</f>
        <v/>
      </c>
      <c r="H13" s="33">
        <f>IF($A13="","",BDP($C13,'Field Check'!$C$4))</f>
        <v/>
      </c>
      <c r="I13" s="34">
        <f>IFERROR(IF($B13="","",$B13/$B$3),"")</f>
        <v/>
      </c>
      <c r="J13" s="34">
        <f>IFERROR(IF($I13="","",$I13*IFERROR($G13,0)/100),"")</f>
        <v/>
      </c>
      <c r="K13" s="34">
        <f>IFERROR(IF($J13="","",IF(ISNUMBER($H13),$J13*$H13/'Index Summary'!$C$7,"")),"")</f>
        <v/>
      </c>
      <c r="L13" s="34">
        <f>IFERROR(IF($K13="","",$J13-$K13),"")</f>
        <v/>
      </c>
      <c r="M13" s="35">
        <f>IF($C13="","",IF(NOT(ISNUMBER($G13)),"No dividend",IF($G13=0,"No dividend",IF(ISNUMBER($H13),"OK","Franking n/a"))))</f>
        <v/>
      </c>
    </row>
    <row r="14">
      <c r="A14" s="27" t="n"/>
      <c r="B14" s="27" t="n"/>
      <c r="C14" s="27">
        <f>IF($A14="","",$A14&amp;" Equity")</f>
        <v/>
      </c>
      <c r="D14" s="27">
        <f>IF($A14="","",BDP($C14,"NAME"))</f>
        <v/>
      </c>
      <c r="E14" s="28">
        <f>IF($A14="","",BDP($C14,"EQY_DVD_SH_12M"))</f>
        <v/>
      </c>
      <c r="F14" s="29">
        <f>IF($A14="","",BDP($C14,"EQY_DVD_YLD_12M"))</f>
        <v/>
      </c>
      <c r="G14" s="29">
        <f>IF($A14="","",BDP($C14,"EQY_DVD_YLD_IND"))</f>
        <v/>
      </c>
      <c r="H14" s="29">
        <f>IF($A14="","",BDP($C14,'Field Check'!$C$4))</f>
        <v/>
      </c>
      <c r="I14" s="30">
        <f>IFERROR(IF($B14="","",$B14/$B$3),"")</f>
        <v/>
      </c>
      <c r="J14" s="30">
        <f>IFERROR(IF($I14="","",$I14*IFERROR($G14,0)/100),"")</f>
        <v/>
      </c>
      <c r="K14" s="30">
        <f>IFERROR(IF($J14="","",IF(ISNUMBER($H14),$J14*$H14/'Index Summary'!$C$7,"")),"")</f>
        <v/>
      </c>
      <c r="L14" s="30">
        <f>IFERROR(IF($K14="","",$J14-$K14),"")</f>
        <v/>
      </c>
      <c r="M14" s="31">
        <f>IF($C14="","",IF(NOT(ISNUMBER($G14)),"No dividend",IF($G14=0,"No dividend",IF(ISNUMBER($H14),"OK","Franking n/a"))))</f>
        <v/>
      </c>
    </row>
    <row r="15">
      <c r="A15" s="16" t="n"/>
      <c r="B15" s="16" t="n"/>
      <c r="C15" s="16">
        <f>IF($A15="","",$A15&amp;" Equity")</f>
        <v/>
      </c>
      <c r="D15" s="16">
        <f>IF($A15="","",BDP($C15,"NAME"))</f>
        <v/>
      </c>
      <c r="E15" s="32">
        <f>IF($A15="","",BDP($C15,"EQY_DVD_SH_12M"))</f>
        <v/>
      </c>
      <c r="F15" s="33">
        <f>IF($A15="","",BDP($C15,"EQY_DVD_YLD_12M"))</f>
        <v/>
      </c>
      <c r="G15" s="33">
        <f>IF($A15="","",BDP($C15,"EQY_DVD_YLD_IND"))</f>
        <v/>
      </c>
      <c r="H15" s="33">
        <f>IF($A15="","",BDP($C15,'Field Check'!$C$4))</f>
        <v/>
      </c>
      <c r="I15" s="34">
        <f>IFERROR(IF($B15="","",$B15/$B$3),"")</f>
        <v/>
      </c>
      <c r="J15" s="34">
        <f>IFERROR(IF($I15="","",$I15*IFERROR($G15,0)/100),"")</f>
        <v/>
      </c>
      <c r="K15" s="34">
        <f>IFERROR(IF($J15="","",IF(ISNUMBER($H15),$J15*$H15/'Index Summary'!$C$7,"")),"")</f>
        <v/>
      </c>
      <c r="L15" s="34">
        <f>IFERROR(IF($K15="","",$J15-$K15),"")</f>
        <v/>
      </c>
      <c r="M15" s="35">
        <f>IF($C15="","",IF(NOT(ISNUMBER($G15)),"No dividend",IF($G15=0,"No dividend",IF(ISNUMBER($H15),"OK","Franking n/a"))))</f>
        <v/>
      </c>
    </row>
    <row r="16">
      <c r="A16" s="27" t="n"/>
      <c r="B16" s="27" t="n"/>
      <c r="C16" s="27">
        <f>IF($A16="","",$A16&amp;" Equity")</f>
        <v/>
      </c>
      <c r="D16" s="27">
        <f>IF($A16="","",BDP($C16,"NAME"))</f>
        <v/>
      </c>
      <c r="E16" s="28">
        <f>IF($A16="","",BDP($C16,"EQY_DVD_SH_12M"))</f>
        <v/>
      </c>
      <c r="F16" s="29">
        <f>IF($A16="","",BDP($C16,"EQY_DVD_YLD_12M"))</f>
        <v/>
      </c>
      <c r="G16" s="29">
        <f>IF($A16="","",BDP($C16,"EQY_DVD_YLD_IND"))</f>
        <v/>
      </c>
      <c r="H16" s="29">
        <f>IF($A16="","",BDP($C16,'Field Check'!$C$4))</f>
        <v/>
      </c>
      <c r="I16" s="30">
        <f>IFERROR(IF($B16="","",$B16/$B$3),"")</f>
        <v/>
      </c>
      <c r="J16" s="30">
        <f>IFERROR(IF($I16="","",$I16*IFERROR($G16,0)/100),"")</f>
        <v/>
      </c>
      <c r="K16" s="30">
        <f>IFERROR(IF($J16="","",IF(ISNUMBER($H16),$J16*$H16/'Index Summary'!$C$7,"")),"")</f>
        <v/>
      </c>
      <c r="L16" s="30">
        <f>IFERROR(IF($K16="","",$J16-$K16),"")</f>
        <v/>
      </c>
      <c r="M16" s="31">
        <f>IF($C16="","",IF(NOT(ISNUMBER($G16)),"No dividend",IF($G16=0,"No dividend",IF(ISNUMBER($H16),"OK","Franking n/a"))))</f>
        <v/>
      </c>
    </row>
    <row r="17">
      <c r="A17" s="16" t="n"/>
      <c r="B17" s="16" t="n"/>
      <c r="C17" s="16">
        <f>IF($A17="","",$A17&amp;" Equity")</f>
        <v/>
      </c>
      <c r="D17" s="16">
        <f>IF($A17="","",BDP($C17,"NAME"))</f>
        <v/>
      </c>
      <c r="E17" s="32">
        <f>IF($A17="","",BDP($C17,"EQY_DVD_SH_12M"))</f>
        <v/>
      </c>
      <c r="F17" s="33">
        <f>IF($A17="","",BDP($C17,"EQY_DVD_YLD_12M"))</f>
        <v/>
      </c>
      <c r="G17" s="33">
        <f>IF($A17="","",BDP($C17,"EQY_DVD_YLD_IND"))</f>
        <v/>
      </c>
      <c r="H17" s="33">
        <f>IF($A17="","",BDP($C17,'Field Check'!$C$4))</f>
        <v/>
      </c>
      <c r="I17" s="34">
        <f>IFERROR(IF($B17="","",$B17/$B$3),"")</f>
        <v/>
      </c>
      <c r="J17" s="34">
        <f>IFERROR(IF($I17="","",$I17*IFERROR($G17,0)/100),"")</f>
        <v/>
      </c>
      <c r="K17" s="34">
        <f>IFERROR(IF($J17="","",IF(ISNUMBER($H17),$J17*$H17/'Index Summary'!$C$7,"")),"")</f>
        <v/>
      </c>
      <c r="L17" s="34">
        <f>IFERROR(IF($K17="","",$J17-$K17),"")</f>
        <v/>
      </c>
      <c r="M17" s="35">
        <f>IF($C17="","",IF(NOT(ISNUMBER($G17)),"No dividend",IF($G17=0,"No dividend",IF(ISNUMBER($H17),"OK","Franking n/a"))))</f>
        <v/>
      </c>
    </row>
    <row r="18">
      <c r="A18" s="27" t="n"/>
      <c r="B18" s="27" t="n"/>
      <c r="C18" s="27">
        <f>IF($A18="","",$A18&amp;" Equity")</f>
        <v/>
      </c>
      <c r="D18" s="27">
        <f>IF($A18="","",BDP($C18,"NAME"))</f>
        <v/>
      </c>
      <c r="E18" s="28">
        <f>IF($A18="","",BDP($C18,"EQY_DVD_SH_12M"))</f>
        <v/>
      </c>
      <c r="F18" s="29">
        <f>IF($A18="","",BDP($C18,"EQY_DVD_YLD_12M"))</f>
        <v/>
      </c>
      <c r="G18" s="29">
        <f>IF($A18="","",BDP($C18,"EQY_DVD_YLD_IND"))</f>
        <v/>
      </c>
      <c r="H18" s="29">
        <f>IF($A18="","",BDP($C18,'Field Check'!$C$4))</f>
        <v/>
      </c>
      <c r="I18" s="30">
        <f>IFERROR(IF($B18="","",$B18/$B$3),"")</f>
        <v/>
      </c>
      <c r="J18" s="30">
        <f>IFERROR(IF($I18="","",$I18*IFERROR($G18,0)/100),"")</f>
        <v/>
      </c>
      <c r="K18" s="30">
        <f>IFERROR(IF($J18="","",IF(ISNUMBER($H18),$J18*$H18/'Index Summary'!$C$7,"")),"")</f>
        <v/>
      </c>
      <c r="L18" s="30">
        <f>IFERROR(IF($K18="","",$J18-$K18),"")</f>
        <v/>
      </c>
      <c r="M18" s="31">
        <f>IF($C18="","",IF(NOT(ISNUMBER($G18)),"No dividend",IF($G18=0,"No dividend",IF(ISNUMBER($H18),"OK","Franking n/a"))))</f>
        <v/>
      </c>
    </row>
    <row r="19">
      <c r="A19" s="16" t="n"/>
      <c r="B19" s="16" t="n"/>
      <c r="C19" s="16">
        <f>IF($A19="","",$A19&amp;" Equity")</f>
        <v/>
      </c>
      <c r="D19" s="16">
        <f>IF($A19="","",BDP($C19,"NAME"))</f>
        <v/>
      </c>
      <c r="E19" s="32">
        <f>IF($A19="","",BDP($C19,"EQY_DVD_SH_12M"))</f>
        <v/>
      </c>
      <c r="F19" s="33">
        <f>IF($A19="","",BDP($C19,"EQY_DVD_YLD_12M"))</f>
        <v/>
      </c>
      <c r="G19" s="33">
        <f>IF($A19="","",BDP($C19,"EQY_DVD_YLD_IND"))</f>
        <v/>
      </c>
      <c r="H19" s="33">
        <f>IF($A19="","",BDP($C19,'Field Check'!$C$4))</f>
        <v/>
      </c>
      <c r="I19" s="34">
        <f>IFERROR(IF($B19="","",$B19/$B$3),"")</f>
        <v/>
      </c>
      <c r="J19" s="34">
        <f>IFERROR(IF($I19="","",$I19*IFERROR($G19,0)/100),"")</f>
        <v/>
      </c>
      <c r="K19" s="34">
        <f>IFERROR(IF($J19="","",IF(ISNUMBER($H19),$J19*$H19/'Index Summary'!$C$7,"")),"")</f>
        <v/>
      </c>
      <c r="L19" s="34">
        <f>IFERROR(IF($K19="","",$J19-$K19),"")</f>
        <v/>
      </c>
      <c r="M19" s="35">
        <f>IF($C19="","",IF(NOT(ISNUMBER($G19)),"No dividend",IF($G19=0,"No dividend",IF(ISNUMBER($H19),"OK","Franking n/a"))))</f>
        <v/>
      </c>
    </row>
    <row r="20">
      <c r="A20" s="27" t="n"/>
      <c r="B20" s="27" t="n"/>
      <c r="C20" s="27">
        <f>IF($A20="","",$A20&amp;" Equity")</f>
        <v/>
      </c>
      <c r="D20" s="27">
        <f>IF($A20="","",BDP($C20,"NAME"))</f>
        <v/>
      </c>
      <c r="E20" s="28">
        <f>IF($A20="","",BDP($C20,"EQY_DVD_SH_12M"))</f>
        <v/>
      </c>
      <c r="F20" s="29">
        <f>IF($A20="","",BDP($C20,"EQY_DVD_YLD_12M"))</f>
        <v/>
      </c>
      <c r="G20" s="29">
        <f>IF($A20="","",BDP($C20,"EQY_DVD_YLD_IND"))</f>
        <v/>
      </c>
      <c r="H20" s="29">
        <f>IF($A20="","",BDP($C20,'Field Check'!$C$4))</f>
        <v/>
      </c>
      <c r="I20" s="30">
        <f>IFERROR(IF($B20="","",$B20/$B$3),"")</f>
        <v/>
      </c>
      <c r="J20" s="30">
        <f>IFERROR(IF($I20="","",$I20*IFERROR($G20,0)/100),"")</f>
        <v/>
      </c>
      <c r="K20" s="30">
        <f>IFERROR(IF($J20="","",IF(ISNUMBER($H20),$J20*$H20/'Index Summary'!$C$7,"")),"")</f>
        <v/>
      </c>
      <c r="L20" s="30">
        <f>IFERROR(IF($K20="","",$J20-$K20),"")</f>
        <v/>
      </c>
      <c r="M20" s="31">
        <f>IF($C20="","",IF(NOT(ISNUMBER($G20)),"No dividend",IF($G20=0,"No dividend",IF(ISNUMBER($H20),"OK","Franking n/a"))))</f>
        <v/>
      </c>
    </row>
    <row r="21">
      <c r="A21" s="16" t="n"/>
      <c r="B21" s="16" t="n"/>
      <c r="C21" s="16">
        <f>IF($A21="","",$A21&amp;" Equity")</f>
        <v/>
      </c>
      <c r="D21" s="16">
        <f>IF($A21="","",BDP($C21,"NAME"))</f>
        <v/>
      </c>
      <c r="E21" s="32">
        <f>IF($A21="","",BDP($C21,"EQY_DVD_SH_12M"))</f>
        <v/>
      </c>
      <c r="F21" s="33">
        <f>IF($A21="","",BDP($C21,"EQY_DVD_YLD_12M"))</f>
        <v/>
      </c>
      <c r="G21" s="33">
        <f>IF($A21="","",BDP($C21,"EQY_DVD_YLD_IND"))</f>
        <v/>
      </c>
      <c r="H21" s="33">
        <f>IF($A21="","",BDP($C21,'Field Check'!$C$4))</f>
        <v/>
      </c>
      <c r="I21" s="34">
        <f>IFERROR(IF($B21="","",$B21/$B$3),"")</f>
        <v/>
      </c>
      <c r="J21" s="34">
        <f>IFERROR(IF($I21="","",$I21*IFERROR($G21,0)/100),"")</f>
        <v/>
      </c>
      <c r="K21" s="34">
        <f>IFERROR(IF($J21="","",IF(ISNUMBER($H21),$J21*$H21/'Index Summary'!$C$7,"")),"")</f>
        <v/>
      </c>
      <c r="L21" s="34">
        <f>IFERROR(IF($K21="","",$J21-$K21),"")</f>
        <v/>
      </c>
      <c r="M21" s="35">
        <f>IF($C21="","",IF(NOT(ISNUMBER($G21)),"No dividend",IF($G21=0,"No dividend",IF(ISNUMBER($H21),"OK","Franking n/a"))))</f>
        <v/>
      </c>
    </row>
    <row r="22">
      <c r="A22" s="27" t="n"/>
      <c r="B22" s="27" t="n"/>
      <c r="C22" s="27">
        <f>IF($A22="","",$A22&amp;" Equity")</f>
        <v/>
      </c>
      <c r="D22" s="27">
        <f>IF($A22="","",BDP($C22,"NAME"))</f>
        <v/>
      </c>
      <c r="E22" s="28">
        <f>IF($A22="","",BDP($C22,"EQY_DVD_SH_12M"))</f>
        <v/>
      </c>
      <c r="F22" s="29">
        <f>IF($A22="","",BDP($C22,"EQY_DVD_YLD_12M"))</f>
        <v/>
      </c>
      <c r="G22" s="29">
        <f>IF($A22="","",BDP($C22,"EQY_DVD_YLD_IND"))</f>
        <v/>
      </c>
      <c r="H22" s="29">
        <f>IF($A22="","",BDP($C22,'Field Check'!$C$4))</f>
        <v/>
      </c>
      <c r="I22" s="30">
        <f>IFERROR(IF($B22="","",$B22/$B$3),"")</f>
        <v/>
      </c>
      <c r="J22" s="30">
        <f>IFERROR(IF($I22="","",$I22*IFERROR($G22,0)/100),"")</f>
        <v/>
      </c>
      <c r="K22" s="30">
        <f>IFERROR(IF($J22="","",IF(ISNUMBER($H22),$J22*$H22/'Index Summary'!$C$7,"")),"")</f>
        <v/>
      </c>
      <c r="L22" s="30">
        <f>IFERROR(IF($K22="","",$J22-$K22),"")</f>
        <v/>
      </c>
      <c r="M22" s="31">
        <f>IF($C22="","",IF(NOT(ISNUMBER($G22)),"No dividend",IF($G22=0,"No dividend",IF(ISNUMBER($H22),"OK","Franking n/a"))))</f>
        <v/>
      </c>
    </row>
    <row r="23">
      <c r="A23" s="16" t="n"/>
      <c r="B23" s="16" t="n"/>
      <c r="C23" s="16">
        <f>IF($A23="","",$A23&amp;" Equity")</f>
        <v/>
      </c>
      <c r="D23" s="16">
        <f>IF($A23="","",BDP($C23,"NAME"))</f>
        <v/>
      </c>
      <c r="E23" s="32">
        <f>IF($A23="","",BDP($C23,"EQY_DVD_SH_12M"))</f>
        <v/>
      </c>
      <c r="F23" s="33">
        <f>IF($A23="","",BDP($C23,"EQY_DVD_YLD_12M"))</f>
        <v/>
      </c>
      <c r="G23" s="33">
        <f>IF($A23="","",BDP($C23,"EQY_DVD_YLD_IND"))</f>
        <v/>
      </c>
      <c r="H23" s="33">
        <f>IF($A23="","",BDP($C23,'Field Check'!$C$4))</f>
        <v/>
      </c>
      <c r="I23" s="34">
        <f>IFERROR(IF($B23="","",$B23/$B$3),"")</f>
        <v/>
      </c>
      <c r="J23" s="34">
        <f>IFERROR(IF($I23="","",$I23*IFERROR($G23,0)/100),"")</f>
        <v/>
      </c>
      <c r="K23" s="34">
        <f>IFERROR(IF($J23="","",IF(ISNUMBER($H23),$J23*$H23/'Index Summary'!$C$7,"")),"")</f>
        <v/>
      </c>
      <c r="L23" s="34">
        <f>IFERROR(IF($K23="","",$J23-$K23),"")</f>
        <v/>
      </c>
      <c r="M23" s="35">
        <f>IF($C23="","",IF(NOT(ISNUMBER($G23)),"No dividend",IF($G23=0,"No dividend",IF(ISNUMBER($H23),"OK","Franking n/a"))))</f>
        <v/>
      </c>
    </row>
    <row r="24">
      <c r="A24" s="27" t="n"/>
      <c r="B24" s="27" t="n"/>
      <c r="C24" s="27">
        <f>IF($A24="","",$A24&amp;" Equity")</f>
        <v/>
      </c>
      <c r="D24" s="27">
        <f>IF($A24="","",BDP($C24,"NAME"))</f>
        <v/>
      </c>
      <c r="E24" s="28">
        <f>IF($A24="","",BDP($C24,"EQY_DVD_SH_12M"))</f>
        <v/>
      </c>
      <c r="F24" s="29">
        <f>IF($A24="","",BDP($C24,"EQY_DVD_YLD_12M"))</f>
        <v/>
      </c>
      <c r="G24" s="29">
        <f>IF($A24="","",BDP($C24,"EQY_DVD_YLD_IND"))</f>
        <v/>
      </c>
      <c r="H24" s="29">
        <f>IF($A24="","",BDP($C24,'Field Check'!$C$4))</f>
        <v/>
      </c>
      <c r="I24" s="30">
        <f>IFERROR(IF($B24="","",$B24/$B$3),"")</f>
        <v/>
      </c>
      <c r="J24" s="30">
        <f>IFERROR(IF($I24="","",$I24*IFERROR($G24,0)/100),"")</f>
        <v/>
      </c>
      <c r="K24" s="30">
        <f>IFERROR(IF($J24="","",IF(ISNUMBER($H24),$J24*$H24/'Index Summary'!$C$7,"")),"")</f>
        <v/>
      </c>
      <c r="L24" s="30">
        <f>IFERROR(IF($K24="","",$J24-$K24),"")</f>
        <v/>
      </c>
      <c r="M24" s="31">
        <f>IF($C24="","",IF(NOT(ISNUMBER($G24)),"No dividend",IF($G24=0,"No dividend",IF(ISNUMBER($H24),"OK","Franking n/a"))))</f>
        <v/>
      </c>
    </row>
    <row r="25">
      <c r="A25" s="16" t="n"/>
      <c r="B25" s="16" t="n"/>
      <c r="C25" s="16">
        <f>IF($A25="","",$A25&amp;" Equity")</f>
        <v/>
      </c>
      <c r="D25" s="16">
        <f>IF($A25="","",BDP($C25,"NAME"))</f>
        <v/>
      </c>
      <c r="E25" s="32">
        <f>IF($A25="","",BDP($C25,"EQY_DVD_SH_12M"))</f>
        <v/>
      </c>
      <c r="F25" s="33">
        <f>IF($A25="","",BDP($C25,"EQY_DVD_YLD_12M"))</f>
        <v/>
      </c>
      <c r="G25" s="33">
        <f>IF($A25="","",BDP($C25,"EQY_DVD_YLD_IND"))</f>
        <v/>
      </c>
      <c r="H25" s="33">
        <f>IF($A25="","",BDP($C25,'Field Check'!$C$4))</f>
        <v/>
      </c>
      <c r="I25" s="34">
        <f>IFERROR(IF($B25="","",$B25/$B$3),"")</f>
        <v/>
      </c>
      <c r="J25" s="34">
        <f>IFERROR(IF($I25="","",$I25*IFERROR($G25,0)/100),"")</f>
        <v/>
      </c>
      <c r="K25" s="34">
        <f>IFERROR(IF($J25="","",IF(ISNUMBER($H25),$J25*$H25/'Index Summary'!$C$7,"")),"")</f>
        <v/>
      </c>
      <c r="L25" s="34">
        <f>IFERROR(IF($K25="","",$J25-$K25),"")</f>
        <v/>
      </c>
      <c r="M25" s="35">
        <f>IF($C25="","",IF(NOT(ISNUMBER($G25)),"No dividend",IF($G25=0,"No dividend",IF(ISNUMBER($H25),"OK","Franking n/a"))))</f>
        <v/>
      </c>
    </row>
    <row r="26">
      <c r="A26" s="27" t="n"/>
      <c r="B26" s="27" t="n"/>
      <c r="C26" s="27">
        <f>IF($A26="","",$A26&amp;" Equity")</f>
        <v/>
      </c>
      <c r="D26" s="27">
        <f>IF($A26="","",BDP($C26,"NAME"))</f>
        <v/>
      </c>
      <c r="E26" s="28">
        <f>IF($A26="","",BDP($C26,"EQY_DVD_SH_12M"))</f>
        <v/>
      </c>
      <c r="F26" s="29">
        <f>IF($A26="","",BDP($C26,"EQY_DVD_YLD_12M"))</f>
        <v/>
      </c>
      <c r="G26" s="29">
        <f>IF($A26="","",BDP($C26,"EQY_DVD_YLD_IND"))</f>
        <v/>
      </c>
      <c r="H26" s="29">
        <f>IF($A26="","",BDP($C26,'Field Check'!$C$4))</f>
        <v/>
      </c>
      <c r="I26" s="30">
        <f>IFERROR(IF($B26="","",$B26/$B$3),"")</f>
        <v/>
      </c>
      <c r="J26" s="30">
        <f>IFERROR(IF($I26="","",$I26*IFERROR($G26,0)/100),"")</f>
        <v/>
      </c>
      <c r="K26" s="30">
        <f>IFERROR(IF($J26="","",IF(ISNUMBER($H26),$J26*$H26/'Index Summary'!$C$7,"")),"")</f>
        <v/>
      </c>
      <c r="L26" s="30">
        <f>IFERROR(IF($K26="","",$J26-$K26),"")</f>
        <v/>
      </c>
      <c r="M26" s="31">
        <f>IF($C26="","",IF(NOT(ISNUMBER($G26)),"No dividend",IF($G26=0,"No dividend",IF(ISNUMBER($H26),"OK","Franking n/a"))))</f>
        <v/>
      </c>
    </row>
    <row r="27">
      <c r="A27" s="16" t="n"/>
      <c r="B27" s="16" t="n"/>
      <c r="C27" s="16">
        <f>IF($A27="","",$A27&amp;" Equity")</f>
        <v/>
      </c>
      <c r="D27" s="16">
        <f>IF($A27="","",BDP($C27,"NAME"))</f>
        <v/>
      </c>
      <c r="E27" s="32">
        <f>IF($A27="","",BDP($C27,"EQY_DVD_SH_12M"))</f>
        <v/>
      </c>
      <c r="F27" s="33">
        <f>IF($A27="","",BDP($C27,"EQY_DVD_YLD_12M"))</f>
        <v/>
      </c>
      <c r="G27" s="33">
        <f>IF($A27="","",BDP($C27,"EQY_DVD_YLD_IND"))</f>
        <v/>
      </c>
      <c r="H27" s="33">
        <f>IF($A27="","",BDP($C27,'Field Check'!$C$4))</f>
        <v/>
      </c>
      <c r="I27" s="34">
        <f>IFERROR(IF($B27="","",$B27/$B$3),"")</f>
        <v/>
      </c>
      <c r="J27" s="34">
        <f>IFERROR(IF($I27="","",$I27*IFERROR($G27,0)/100),"")</f>
        <v/>
      </c>
      <c r="K27" s="34">
        <f>IFERROR(IF($J27="","",IF(ISNUMBER($H27),$J27*$H27/'Index Summary'!$C$7,"")),"")</f>
        <v/>
      </c>
      <c r="L27" s="34">
        <f>IFERROR(IF($K27="","",$J27-$K27),"")</f>
        <v/>
      </c>
      <c r="M27" s="35">
        <f>IF($C27="","",IF(NOT(ISNUMBER($G27)),"No dividend",IF($G27=0,"No dividend",IF(ISNUMBER($H27),"OK","Franking n/a"))))</f>
        <v/>
      </c>
    </row>
    <row r="28">
      <c r="A28" s="27" t="n"/>
      <c r="B28" s="27" t="n"/>
      <c r="C28" s="27">
        <f>IF($A28="","",$A28&amp;" Equity")</f>
        <v/>
      </c>
      <c r="D28" s="27">
        <f>IF($A28="","",BDP($C28,"NAME"))</f>
        <v/>
      </c>
      <c r="E28" s="28">
        <f>IF($A28="","",BDP($C28,"EQY_DVD_SH_12M"))</f>
        <v/>
      </c>
      <c r="F28" s="29">
        <f>IF($A28="","",BDP($C28,"EQY_DVD_YLD_12M"))</f>
        <v/>
      </c>
      <c r="G28" s="29">
        <f>IF($A28="","",BDP($C28,"EQY_DVD_YLD_IND"))</f>
        <v/>
      </c>
      <c r="H28" s="29">
        <f>IF($A28="","",BDP($C28,'Field Check'!$C$4))</f>
        <v/>
      </c>
      <c r="I28" s="30">
        <f>IFERROR(IF($B28="","",$B28/$B$3),"")</f>
        <v/>
      </c>
      <c r="J28" s="30">
        <f>IFERROR(IF($I28="","",$I28*IFERROR($G28,0)/100),"")</f>
        <v/>
      </c>
      <c r="K28" s="30">
        <f>IFERROR(IF($J28="","",IF(ISNUMBER($H28),$J28*$H28/'Index Summary'!$C$7,"")),"")</f>
        <v/>
      </c>
      <c r="L28" s="30">
        <f>IFERROR(IF($K28="","",$J28-$K28),"")</f>
        <v/>
      </c>
      <c r="M28" s="31">
        <f>IF($C28="","",IF(NOT(ISNUMBER($G28)),"No dividend",IF($G28=0,"No dividend",IF(ISNUMBER($H28),"OK","Franking n/a"))))</f>
        <v/>
      </c>
    </row>
    <row r="29">
      <c r="A29" s="16" t="n"/>
      <c r="B29" s="16" t="n"/>
      <c r="C29" s="16">
        <f>IF($A29="","",$A29&amp;" Equity")</f>
        <v/>
      </c>
      <c r="D29" s="16">
        <f>IF($A29="","",BDP($C29,"NAME"))</f>
        <v/>
      </c>
      <c r="E29" s="32">
        <f>IF($A29="","",BDP($C29,"EQY_DVD_SH_12M"))</f>
        <v/>
      </c>
      <c r="F29" s="33">
        <f>IF($A29="","",BDP($C29,"EQY_DVD_YLD_12M"))</f>
        <v/>
      </c>
      <c r="G29" s="33">
        <f>IF($A29="","",BDP($C29,"EQY_DVD_YLD_IND"))</f>
        <v/>
      </c>
      <c r="H29" s="33">
        <f>IF($A29="","",BDP($C29,'Field Check'!$C$4))</f>
        <v/>
      </c>
      <c r="I29" s="34">
        <f>IFERROR(IF($B29="","",$B29/$B$3),"")</f>
        <v/>
      </c>
      <c r="J29" s="34">
        <f>IFERROR(IF($I29="","",$I29*IFERROR($G29,0)/100),"")</f>
        <v/>
      </c>
      <c r="K29" s="34">
        <f>IFERROR(IF($J29="","",IF(ISNUMBER($H29),$J29*$H29/'Index Summary'!$C$7,"")),"")</f>
        <v/>
      </c>
      <c r="L29" s="34">
        <f>IFERROR(IF($K29="","",$J29-$K29),"")</f>
        <v/>
      </c>
      <c r="M29" s="35">
        <f>IF($C29="","",IF(NOT(ISNUMBER($G29)),"No dividend",IF($G29=0,"No dividend",IF(ISNUMBER($H29),"OK","Franking n/a"))))</f>
        <v/>
      </c>
    </row>
    <row r="30">
      <c r="A30" s="27" t="n"/>
      <c r="B30" s="27" t="n"/>
      <c r="C30" s="27">
        <f>IF($A30="","",$A30&amp;" Equity")</f>
        <v/>
      </c>
      <c r="D30" s="27">
        <f>IF($A30="","",BDP($C30,"NAME"))</f>
        <v/>
      </c>
      <c r="E30" s="28">
        <f>IF($A30="","",BDP($C30,"EQY_DVD_SH_12M"))</f>
        <v/>
      </c>
      <c r="F30" s="29">
        <f>IF($A30="","",BDP($C30,"EQY_DVD_YLD_12M"))</f>
        <v/>
      </c>
      <c r="G30" s="29">
        <f>IF($A30="","",BDP($C30,"EQY_DVD_YLD_IND"))</f>
        <v/>
      </c>
      <c r="H30" s="29">
        <f>IF($A30="","",BDP($C30,'Field Check'!$C$4))</f>
        <v/>
      </c>
      <c r="I30" s="30">
        <f>IFERROR(IF($B30="","",$B30/$B$3),"")</f>
        <v/>
      </c>
      <c r="J30" s="30">
        <f>IFERROR(IF($I30="","",$I30*IFERROR($G30,0)/100),"")</f>
        <v/>
      </c>
      <c r="K30" s="30">
        <f>IFERROR(IF($J30="","",IF(ISNUMBER($H30),$J30*$H30/'Index Summary'!$C$7,"")),"")</f>
        <v/>
      </c>
      <c r="L30" s="30">
        <f>IFERROR(IF($K30="","",$J30-$K30),"")</f>
        <v/>
      </c>
      <c r="M30" s="31">
        <f>IF($C30="","",IF(NOT(ISNUMBER($G30)),"No dividend",IF($G30=0,"No dividend",IF(ISNUMBER($H30),"OK","Franking n/a"))))</f>
        <v/>
      </c>
    </row>
    <row r="31">
      <c r="A31" s="16" t="n"/>
      <c r="B31" s="16" t="n"/>
      <c r="C31" s="16">
        <f>IF($A31="","",$A31&amp;" Equity")</f>
        <v/>
      </c>
      <c r="D31" s="16">
        <f>IF($A31="","",BDP($C31,"NAME"))</f>
        <v/>
      </c>
      <c r="E31" s="32">
        <f>IF($A31="","",BDP($C31,"EQY_DVD_SH_12M"))</f>
        <v/>
      </c>
      <c r="F31" s="33">
        <f>IF($A31="","",BDP($C31,"EQY_DVD_YLD_12M"))</f>
        <v/>
      </c>
      <c r="G31" s="33">
        <f>IF($A31="","",BDP($C31,"EQY_DVD_YLD_IND"))</f>
        <v/>
      </c>
      <c r="H31" s="33">
        <f>IF($A31="","",BDP($C31,'Field Check'!$C$4))</f>
        <v/>
      </c>
      <c r="I31" s="34">
        <f>IFERROR(IF($B31="","",$B31/$B$3),"")</f>
        <v/>
      </c>
      <c r="J31" s="34">
        <f>IFERROR(IF($I31="","",$I31*IFERROR($G31,0)/100),"")</f>
        <v/>
      </c>
      <c r="K31" s="34">
        <f>IFERROR(IF($J31="","",IF(ISNUMBER($H31),$J31*$H31/'Index Summary'!$C$7,"")),"")</f>
        <v/>
      </c>
      <c r="L31" s="34">
        <f>IFERROR(IF($K31="","",$J31-$K31),"")</f>
        <v/>
      </c>
      <c r="M31" s="35">
        <f>IF($C31="","",IF(NOT(ISNUMBER($G31)),"No dividend",IF($G31=0,"No dividend",IF(ISNUMBER($H31),"OK","Franking n/a"))))</f>
        <v/>
      </c>
    </row>
    <row r="32">
      <c r="A32" s="27" t="n"/>
      <c r="B32" s="27" t="n"/>
      <c r="C32" s="27">
        <f>IF($A32="","",$A32&amp;" Equity")</f>
        <v/>
      </c>
      <c r="D32" s="27">
        <f>IF($A32="","",BDP($C32,"NAME"))</f>
        <v/>
      </c>
      <c r="E32" s="28">
        <f>IF($A32="","",BDP($C32,"EQY_DVD_SH_12M"))</f>
        <v/>
      </c>
      <c r="F32" s="29">
        <f>IF($A32="","",BDP($C32,"EQY_DVD_YLD_12M"))</f>
        <v/>
      </c>
      <c r="G32" s="29">
        <f>IF($A32="","",BDP($C32,"EQY_DVD_YLD_IND"))</f>
        <v/>
      </c>
      <c r="H32" s="29">
        <f>IF($A32="","",BDP($C32,'Field Check'!$C$4))</f>
        <v/>
      </c>
      <c r="I32" s="30">
        <f>IFERROR(IF($B32="","",$B32/$B$3),"")</f>
        <v/>
      </c>
      <c r="J32" s="30">
        <f>IFERROR(IF($I32="","",$I32*IFERROR($G32,0)/100),"")</f>
        <v/>
      </c>
      <c r="K32" s="30">
        <f>IFERROR(IF($J32="","",IF(ISNUMBER($H32),$J32*$H32/'Index Summary'!$C$7,"")),"")</f>
        <v/>
      </c>
      <c r="L32" s="30">
        <f>IFERROR(IF($K32="","",$J32-$K32),"")</f>
        <v/>
      </c>
      <c r="M32" s="31">
        <f>IF($C32="","",IF(NOT(ISNUMBER($G32)),"No dividend",IF($G32=0,"No dividend",IF(ISNUMBER($H32),"OK","Franking n/a"))))</f>
        <v/>
      </c>
    </row>
    <row r="33">
      <c r="A33" s="16" t="n"/>
      <c r="B33" s="16" t="n"/>
      <c r="C33" s="16">
        <f>IF($A33="","",$A33&amp;" Equity")</f>
        <v/>
      </c>
      <c r="D33" s="16">
        <f>IF($A33="","",BDP($C33,"NAME"))</f>
        <v/>
      </c>
      <c r="E33" s="32">
        <f>IF($A33="","",BDP($C33,"EQY_DVD_SH_12M"))</f>
        <v/>
      </c>
      <c r="F33" s="33">
        <f>IF($A33="","",BDP($C33,"EQY_DVD_YLD_12M"))</f>
        <v/>
      </c>
      <c r="G33" s="33">
        <f>IF($A33="","",BDP($C33,"EQY_DVD_YLD_IND"))</f>
        <v/>
      </c>
      <c r="H33" s="33">
        <f>IF($A33="","",BDP($C33,'Field Check'!$C$4))</f>
        <v/>
      </c>
      <c r="I33" s="34">
        <f>IFERROR(IF($B33="","",$B33/$B$3),"")</f>
        <v/>
      </c>
      <c r="J33" s="34">
        <f>IFERROR(IF($I33="","",$I33*IFERROR($G33,0)/100),"")</f>
        <v/>
      </c>
      <c r="K33" s="34">
        <f>IFERROR(IF($J33="","",IF(ISNUMBER($H33),$J33*$H33/'Index Summary'!$C$7,"")),"")</f>
        <v/>
      </c>
      <c r="L33" s="34">
        <f>IFERROR(IF($K33="","",$J33-$K33),"")</f>
        <v/>
      </c>
      <c r="M33" s="35">
        <f>IF($C33="","",IF(NOT(ISNUMBER($G33)),"No dividend",IF($G33=0,"No dividend",IF(ISNUMBER($H33),"OK","Franking n/a"))))</f>
        <v/>
      </c>
    </row>
    <row r="34">
      <c r="A34" s="27" t="n"/>
      <c r="B34" s="27" t="n"/>
      <c r="C34" s="27">
        <f>IF($A34="","",$A34&amp;" Equity")</f>
        <v/>
      </c>
      <c r="D34" s="27">
        <f>IF($A34="","",BDP($C34,"NAME"))</f>
        <v/>
      </c>
      <c r="E34" s="28">
        <f>IF($A34="","",BDP($C34,"EQY_DVD_SH_12M"))</f>
        <v/>
      </c>
      <c r="F34" s="29">
        <f>IF($A34="","",BDP($C34,"EQY_DVD_YLD_12M"))</f>
        <v/>
      </c>
      <c r="G34" s="29">
        <f>IF($A34="","",BDP($C34,"EQY_DVD_YLD_IND"))</f>
        <v/>
      </c>
      <c r="H34" s="29">
        <f>IF($A34="","",BDP($C34,'Field Check'!$C$4))</f>
        <v/>
      </c>
      <c r="I34" s="30">
        <f>IFERROR(IF($B34="","",$B34/$B$3),"")</f>
        <v/>
      </c>
      <c r="J34" s="30">
        <f>IFERROR(IF($I34="","",$I34*IFERROR($G34,0)/100),"")</f>
        <v/>
      </c>
      <c r="K34" s="30">
        <f>IFERROR(IF($J34="","",IF(ISNUMBER($H34),$J34*$H34/'Index Summary'!$C$7,"")),"")</f>
        <v/>
      </c>
      <c r="L34" s="30">
        <f>IFERROR(IF($K34="","",$J34-$K34),"")</f>
        <v/>
      </c>
      <c r="M34" s="31">
        <f>IF($C34="","",IF(NOT(ISNUMBER($G34)),"No dividend",IF($G34=0,"No dividend",IF(ISNUMBER($H34),"OK","Franking n/a"))))</f>
        <v/>
      </c>
    </row>
    <row r="35">
      <c r="A35" s="16" t="n"/>
      <c r="B35" s="16" t="n"/>
      <c r="C35" s="16">
        <f>IF($A35="","",$A35&amp;" Equity")</f>
        <v/>
      </c>
      <c r="D35" s="16">
        <f>IF($A35="","",BDP($C35,"NAME"))</f>
        <v/>
      </c>
      <c r="E35" s="32">
        <f>IF($A35="","",BDP($C35,"EQY_DVD_SH_12M"))</f>
        <v/>
      </c>
      <c r="F35" s="33">
        <f>IF($A35="","",BDP($C35,"EQY_DVD_YLD_12M"))</f>
        <v/>
      </c>
      <c r="G35" s="33">
        <f>IF($A35="","",BDP($C35,"EQY_DVD_YLD_IND"))</f>
        <v/>
      </c>
      <c r="H35" s="33">
        <f>IF($A35="","",BDP($C35,'Field Check'!$C$4))</f>
        <v/>
      </c>
      <c r="I35" s="34">
        <f>IFERROR(IF($B35="","",$B35/$B$3),"")</f>
        <v/>
      </c>
      <c r="J35" s="34">
        <f>IFERROR(IF($I35="","",$I35*IFERROR($G35,0)/100),"")</f>
        <v/>
      </c>
      <c r="K35" s="34">
        <f>IFERROR(IF($J35="","",IF(ISNUMBER($H35),$J35*$H35/'Index Summary'!$C$7,"")),"")</f>
        <v/>
      </c>
      <c r="L35" s="34">
        <f>IFERROR(IF($K35="","",$J35-$K35),"")</f>
        <v/>
      </c>
      <c r="M35" s="35">
        <f>IF($C35="","",IF(NOT(ISNUMBER($G35)),"No dividend",IF($G35=0,"No dividend",IF(ISNUMBER($H35),"OK","Franking n/a"))))</f>
        <v/>
      </c>
    </row>
    <row r="36">
      <c r="A36" s="27" t="n"/>
      <c r="B36" s="27" t="n"/>
      <c r="C36" s="27">
        <f>IF($A36="","",$A36&amp;" Equity")</f>
        <v/>
      </c>
      <c r="D36" s="27">
        <f>IF($A36="","",BDP($C36,"NAME"))</f>
        <v/>
      </c>
      <c r="E36" s="28">
        <f>IF($A36="","",BDP($C36,"EQY_DVD_SH_12M"))</f>
        <v/>
      </c>
      <c r="F36" s="29">
        <f>IF($A36="","",BDP($C36,"EQY_DVD_YLD_12M"))</f>
        <v/>
      </c>
      <c r="G36" s="29">
        <f>IF($A36="","",BDP($C36,"EQY_DVD_YLD_IND"))</f>
        <v/>
      </c>
      <c r="H36" s="29">
        <f>IF($A36="","",BDP($C36,'Field Check'!$C$4))</f>
        <v/>
      </c>
      <c r="I36" s="30">
        <f>IFERROR(IF($B36="","",$B36/$B$3),"")</f>
        <v/>
      </c>
      <c r="J36" s="30">
        <f>IFERROR(IF($I36="","",$I36*IFERROR($G36,0)/100),"")</f>
        <v/>
      </c>
      <c r="K36" s="30">
        <f>IFERROR(IF($J36="","",IF(ISNUMBER($H36),$J36*$H36/'Index Summary'!$C$7,"")),"")</f>
        <v/>
      </c>
      <c r="L36" s="30">
        <f>IFERROR(IF($K36="","",$J36-$K36),"")</f>
        <v/>
      </c>
      <c r="M36" s="31">
        <f>IF($C36="","",IF(NOT(ISNUMBER($G36)),"No dividend",IF($G36=0,"No dividend",IF(ISNUMBER($H36),"OK","Franking n/a"))))</f>
        <v/>
      </c>
    </row>
    <row r="37">
      <c r="A37" s="16" t="n"/>
      <c r="B37" s="16" t="n"/>
      <c r="C37" s="16">
        <f>IF($A37="","",$A37&amp;" Equity")</f>
        <v/>
      </c>
      <c r="D37" s="16">
        <f>IF($A37="","",BDP($C37,"NAME"))</f>
        <v/>
      </c>
      <c r="E37" s="32">
        <f>IF($A37="","",BDP($C37,"EQY_DVD_SH_12M"))</f>
        <v/>
      </c>
      <c r="F37" s="33">
        <f>IF($A37="","",BDP($C37,"EQY_DVD_YLD_12M"))</f>
        <v/>
      </c>
      <c r="G37" s="33">
        <f>IF($A37="","",BDP($C37,"EQY_DVD_YLD_IND"))</f>
        <v/>
      </c>
      <c r="H37" s="33">
        <f>IF($A37="","",BDP($C37,'Field Check'!$C$4))</f>
        <v/>
      </c>
      <c r="I37" s="34">
        <f>IFERROR(IF($B37="","",$B37/$B$3),"")</f>
        <v/>
      </c>
      <c r="J37" s="34">
        <f>IFERROR(IF($I37="","",$I37*IFERROR($G37,0)/100),"")</f>
        <v/>
      </c>
      <c r="K37" s="34">
        <f>IFERROR(IF($J37="","",IF(ISNUMBER($H37),$J37*$H37/'Index Summary'!$C$7,"")),"")</f>
        <v/>
      </c>
      <c r="L37" s="34">
        <f>IFERROR(IF($K37="","",$J37-$K37),"")</f>
        <v/>
      </c>
      <c r="M37" s="35">
        <f>IF($C37="","",IF(NOT(ISNUMBER($G37)),"No dividend",IF($G37=0,"No dividend",IF(ISNUMBER($H37),"OK","Franking n/a"))))</f>
        <v/>
      </c>
    </row>
    <row r="38">
      <c r="A38" s="27" t="n"/>
      <c r="B38" s="27" t="n"/>
      <c r="C38" s="27">
        <f>IF($A38="","",$A38&amp;" Equity")</f>
        <v/>
      </c>
      <c r="D38" s="27">
        <f>IF($A38="","",BDP($C38,"NAME"))</f>
        <v/>
      </c>
      <c r="E38" s="28">
        <f>IF($A38="","",BDP($C38,"EQY_DVD_SH_12M"))</f>
        <v/>
      </c>
      <c r="F38" s="29">
        <f>IF($A38="","",BDP($C38,"EQY_DVD_YLD_12M"))</f>
        <v/>
      </c>
      <c r="G38" s="29">
        <f>IF($A38="","",BDP($C38,"EQY_DVD_YLD_IND"))</f>
        <v/>
      </c>
      <c r="H38" s="29">
        <f>IF($A38="","",BDP($C38,'Field Check'!$C$4))</f>
        <v/>
      </c>
      <c r="I38" s="30">
        <f>IFERROR(IF($B38="","",$B38/$B$3),"")</f>
        <v/>
      </c>
      <c r="J38" s="30">
        <f>IFERROR(IF($I38="","",$I38*IFERROR($G38,0)/100),"")</f>
        <v/>
      </c>
      <c r="K38" s="30">
        <f>IFERROR(IF($J38="","",IF(ISNUMBER($H38),$J38*$H38/'Index Summary'!$C$7,"")),"")</f>
        <v/>
      </c>
      <c r="L38" s="30">
        <f>IFERROR(IF($K38="","",$J38-$K38),"")</f>
        <v/>
      </c>
      <c r="M38" s="31">
        <f>IF($C38="","",IF(NOT(ISNUMBER($G38)),"No dividend",IF($G38=0,"No dividend",IF(ISNUMBER($H38),"OK","Franking n/a"))))</f>
        <v/>
      </c>
    </row>
    <row r="39">
      <c r="A39" s="16" t="n"/>
      <c r="B39" s="16" t="n"/>
      <c r="C39" s="16">
        <f>IF($A39="","",$A39&amp;" Equity")</f>
        <v/>
      </c>
      <c r="D39" s="16">
        <f>IF($A39="","",BDP($C39,"NAME"))</f>
        <v/>
      </c>
      <c r="E39" s="32">
        <f>IF($A39="","",BDP($C39,"EQY_DVD_SH_12M"))</f>
        <v/>
      </c>
      <c r="F39" s="33">
        <f>IF($A39="","",BDP($C39,"EQY_DVD_YLD_12M"))</f>
        <v/>
      </c>
      <c r="G39" s="33">
        <f>IF($A39="","",BDP($C39,"EQY_DVD_YLD_IND"))</f>
        <v/>
      </c>
      <c r="H39" s="33">
        <f>IF($A39="","",BDP($C39,'Field Check'!$C$4))</f>
        <v/>
      </c>
      <c r="I39" s="34">
        <f>IFERROR(IF($B39="","",$B39/$B$3),"")</f>
        <v/>
      </c>
      <c r="J39" s="34">
        <f>IFERROR(IF($I39="","",$I39*IFERROR($G39,0)/100),"")</f>
        <v/>
      </c>
      <c r="K39" s="34">
        <f>IFERROR(IF($J39="","",IF(ISNUMBER($H39),$J39*$H39/'Index Summary'!$C$7,"")),"")</f>
        <v/>
      </c>
      <c r="L39" s="34">
        <f>IFERROR(IF($K39="","",$J39-$K39),"")</f>
        <v/>
      </c>
      <c r="M39" s="35">
        <f>IF($C39="","",IF(NOT(ISNUMBER($G39)),"No dividend",IF($G39=0,"No dividend",IF(ISNUMBER($H39),"OK","Franking n/a"))))</f>
        <v/>
      </c>
    </row>
    <row r="40">
      <c r="A40" s="27" t="n"/>
      <c r="B40" s="27" t="n"/>
      <c r="C40" s="27">
        <f>IF($A40="","",$A40&amp;" Equity")</f>
        <v/>
      </c>
      <c r="D40" s="27">
        <f>IF($A40="","",BDP($C40,"NAME"))</f>
        <v/>
      </c>
      <c r="E40" s="28">
        <f>IF($A40="","",BDP($C40,"EQY_DVD_SH_12M"))</f>
        <v/>
      </c>
      <c r="F40" s="29">
        <f>IF($A40="","",BDP($C40,"EQY_DVD_YLD_12M"))</f>
        <v/>
      </c>
      <c r="G40" s="29">
        <f>IF($A40="","",BDP($C40,"EQY_DVD_YLD_IND"))</f>
        <v/>
      </c>
      <c r="H40" s="29">
        <f>IF($A40="","",BDP($C40,'Field Check'!$C$4))</f>
        <v/>
      </c>
      <c r="I40" s="30">
        <f>IFERROR(IF($B40="","",$B40/$B$3),"")</f>
        <v/>
      </c>
      <c r="J40" s="30">
        <f>IFERROR(IF($I40="","",$I40*IFERROR($G40,0)/100),"")</f>
        <v/>
      </c>
      <c r="K40" s="30">
        <f>IFERROR(IF($J40="","",IF(ISNUMBER($H40),$J40*$H40/'Index Summary'!$C$7,"")),"")</f>
        <v/>
      </c>
      <c r="L40" s="30">
        <f>IFERROR(IF($K40="","",$J40-$K40),"")</f>
        <v/>
      </c>
      <c r="M40" s="31">
        <f>IF($C40="","",IF(NOT(ISNUMBER($G40)),"No dividend",IF($G40=0,"No dividend",IF(ISNUMBER($H40),"OK","Franking n/a"))))</f>
        <v/>
      </c>
    </row>
    <row r="41">
      <c r="A41" s="16" t="n"/>
      <c r="B41" s="16" t="n"/>
      <c r="C41" s="16">
        <f>IF($A41="","",$A41&amp;" Equity")</f>
        <v/>
      </c>
      <c r="D41" s="16">
        <f>IF($A41="","",BDP($C41,"NAME"))</f>
        <v/>
      </c>
      <c r="E41" s="32">
        <f>IF($A41="","",BDP($C41,"EQY_DVD_SH_12M"))</f>
        <v/>
      </c>
      <c r="F41" s="33">
        <f>IF($A41="","",BDP($C41,"EQY_DVD_YLD_12M"))</f>
        <v/>
      </c>
      <c r="G41" s="33">
        <f>IF($A41="","",BDP($C41,"EQY_DVD_YLD_IND"))</f>
        <v/>
      </c>
      <c r="H41" s="33">
        <f>IF($A41="","",BDP($C41,'Field Check'!$C$4))</f>
        <v/>
      </c>
      <c r="I41" s="34">
        <f>IFERROR(IF($B41="","",$B41/$B$3),"")</f>
        <v/>
      </c>
      <c r="J41" s="34">
        <f>IFERROR(IF($I41="","",$I41*IFERROR($G41,0)/100),"")</f>
        <v/>
      </c>
      <c r="K41" s="34">
        <f>IFERROR(IF($J41="","",IF(ISNUMBER($H41),$J41*$H41/'Index Summary'!$C$7,"")),"")</f>
        <v/>
      </c>
      <c r="L41" s="34">
        <f>IFERROR(IF($K41="","",$J41-$K41),"")</f>
        <v/>
      </c>
      <c r="M41" s="35">
        <f>IF($C41="","",IF(NOT(ISNUMBER($G41)),"No dividend",IF($G41=0,"No dividend",IF(ISNUMBER($H41),"OK","Franking n/a"))))</f>
        <v/>
      </c>
    </row>
    <row r="42">
      <c r="A42" s="27" t="n"/>
      <c r="B42" s="27" t="n"/>
      <c r="C42" s="27">
        <f>IF($A42="","",$A42&amp;" Equity")</f>
        <v/>
      </c>
      <c r="D42" s="27">
        <f>IF($A42="","",BDP($C42,"NAME"))</f>
        <v/>
      </c>
      <c r="E42" s="28">
        <f>IF($A42="","",BDP($C42,"EQY_DVD_SH_12M"))</f>
        <v/>
      </c>
      <c r="F42" s="29">
        <f>IF($A42="","",BDP($C42,"EQY_DVD_YLD_12M"))</f>
        <v/>
      </c>
      <c r="G42" s="29">
        <f>IF($A42="","",BDP($C42,"EQY_DVD_YLD_IND"))</f>
        <v/>
      </c>
      <c r="H42" s="29">
        <f>IF($A42="","",BDP($C42,'Field Check'!$C$4))</f>
        <v/>
      </c>
      <c r="I42" s="30">
        <f>IFERROR(IF($B42="","",$B42/$B$3),"")</f>
        <v/>
      </c>
      <c r="J42" s="30">
        <f>IFERROR(IF($I42="","",$I42*IFERROR($G42,0)/100),"")</f>
        <v/>
      </c>
      <c r="K42" s="30">
        <f>IFERROR(IF($J42="","",IF(ISNUMBER($H42),$J42*$H42/'Index Summary'!$C$7,"")),"")</f>
        <v/>
      </c>
      <c r="L42" s="30">
        <f>IFERROR(IF($K42="","",$J42-$K42),"")</f>
        <v/>
      </c>
      <c r="M42" s="31">
        <f>IF($C42="","",IF(NOT(ISNUMBER($G42)),"No dividend",IF($G42=0,"No dividend",IF(ISNUMBER($H42),"OK","Franking n/a"))))</f>
        <v/>
      </c>
    </row>
    <row r="43">
      <c r="A43" s="16" t="n"/>
      <c r="B43" s="16" t="n"/>
      <c r="C43" s="16">
        <f>IF($A43="","",$A43&amp;" Equity")</f>
        <v/>
      </c>
      <c r="D43" s="16">
        <f>IF($A43="","",BDP($C43,"NAME"))</f>
        <v/>
      </c>
      <c r="E43" s="32">
        <f>IF($A43="","",BDP($C43,"EQY_DVD_SH_12M"))</f>
        <v/>
      </c>
      <c r="F43" s="33">
        <f>IF($A43="","",BDP($C43,"EQY_DVD_YLD_12M"))</f>
        <v/>
      </c>
      <c r="G43" s="33">
        <f>IF($A43="","",BDP($C43,"EQY_DVD_YLD_IND"))</f>
        <v/>
      </c>
      <c r="H43" s="33">
        <f>IF($A43="","",BDP($C43,'Field Check'!$C$4))</f>
        <v/>
      </c>
      <c r="I43" s="34">
        <f>IFERROR(IF($B43="","",$B43/$B$3),"")</f>
        <v/>
      </c>
      <c r="J43" s="34">
        <f>IFERROR(IF($I43="","",$I43*IFERROR($G43,0)/100),"")</f>
        <v/>
      </c>
      <c r="K43" s="34">
        <f>IFERROR(IF($J43="","",IF(ISNUMBER($H43),$J43*$H43/'Index Summary'!$C$7,"")),"")</f>
        <v/>
      </c>
      <c r="L43" s="34">
        <f>IFERROR(IF($K43="","",$J43-$K43),"")</f>
        <v/>
      </c>
      <c r="M43" s="35">
        <f>IF($C43="","",IF(NOT(ISNUMBER($G43)),"No dividend",IF($G43=0,"No dividend",IF(ISNUMBER($H43),"OK","Franking n/a"))))</f>
        <v/>
      </c>
    </row>
    <row r="44">
      <c r="A44" s="27" t="n"/>
      <c r="B44" s="27" t="n"/>
      <c r="C44" s="27">
        <f>IF($A44="","",$A44&amp;" Equity")</f>
        <v/>
      </c>
      <c r="D44" s="27">
        <f>IF($A44="","",BDP($C44,"NAME"))</f>
        <v/>
      </c>
      <c r="E44" s="28">
        <f>IF($A44="","",BDP($C44,"EQY_DVD_SH_12M"))</f>
        <v/>
      </c>
      <c r="F44" s="29">
        <f>IF($A44="","",BDP($C44,"EQY_DVD_YLD_12M"))</f>
        <v/>
      </c>
      <c r="G44" s="29">
        <f>IF($A44="","",BDP($C44,"EQY_DVD_YLD_IND"))</f>
        <v/>
      </c>
      <c r="H44" s="29">
        <f>IF($A44="","",BDP($C44,'Field Check'!$C$4))</f>
        <v/>
      </c>
      <c r="I44" s="30">
        <f>IFERROR(IF($B44="","",$B44/$B$3),"")</f>
        <v/>
      </c>
      <c r="J44" s="30">
        <f>IFERROR(IF($I44="","",$I44*IFERROR($G44,0)/100),"")</f>
        <v/>
      </c>
      <c r="K44" s="30">
        <f>IFERROR(IF($J44="","",IF(ISNUMBER($H44),$J44*$H44/'Index Summary'!$C$7,"")),"")</f>
        <v/>
      </c>
      <c r="L44" s="30">
        <f>IFERROR(IF($K44="","",$J44-$K44),"")</f>
        <v/>
      </c>
      <c r="M44" s="31">
        <f>IF($C44="","",IF(NOT(ISNUMBER($G44)),"No dividend",IF($G44=0,"No dividend",IF(ISNUMBER($H44),"OK","Franking n/a"))))</f>
        <v/>
      </c>
    </row>
    <row r="45">
      <c r="A45" s="16" t="n"/>
      <c r="B45" s="16" t="n"/>
      <c r="C45" s="16">
        <f>IF($A45="","",$A45&amp;" Equity")</f>
        <v/>
      </c>
      <c r="D45" s="16">
        <f>IF($A45="","",BDP($C45,"NAME"))</f>
        <v/>
      </c>
      <c r="E45" s="32">
        <f>IF($A45="","",BDP($C45,"EQY_DVD_SH_12M"))</f>
        <v/>
      </c>
      <c r="F45" s="33">
        <f>IF($A45="","",BDP($C45,"EQY_DVD_YLD_12M"))</f>
        <v/>
      </c>
      <c r="G45" s="33">
        <f>IF($A45="","",BDP($C45,"EQY_DVD_YLD_IND"))</f>
        <v/>
      </c>
      <c r="H45" s="33">
        <f>IF($A45="","",BDP($C45,'Field Check'!$C$4))</f>
        <v/>
      </c>
      <c r="I45" s="34">
        <f>IFERROR(IF($B45="","",$B45/$B$3),"")</f>
        <v/>
      </c>
      <c r="J45" s="34">
        <f>IFERROR(IF($I45="","",$I45*IFERROR($G45,0)/100),"")</f>
        <v/>
      </c>
      <c r="K45" s="34">
        <f>IFERROR(IF($J45="","",IF(ISNUMBER($H45),$J45*$H45/'Index Summary'!$C$7,"")),"")</f>
        <v/>
      </c>
      <c r="L45" s="34">
        <f>IFERROR(IF($K45="","",$J45-$K45),"")</f>
        <v/>
      </c>
      <c r="M45" s="35">
        <f>IF($C45="","",IF(NOT(ISNUMBER($G45)),"No dividend",IF($G45=0,"No dividend",IF(ISNUMBER($H45),"OK","Franking n/a"))))</f>
        <v/>
      </c>
    </row>
    <row r="46">
      <c r="A46" s="27" t="n"/>
      <c r="B46" s="27" t="n"/>
      <c r="C46" s="27">
        <f>IF($A46="","",$A46&amp;" Equity")</f>
        <v/>
      </c>
      <c r="D46" s="27">
        <f>IF($A46="","",BDP($C46,"NAME"))</f>
        <v/>
      </c>
      <c r="E46" s="28">
        <f>IF($A46="","",BDP($C46,"EQY_DVD_SH_12M"))</f>
        <v/>
      </c>
      <c r="F46" s="29">
        <f>IF($A46="","",BDP($C46,"EQY_DVD_YLD_12M"))</f>
        <v/>
      </c>
      <c r="G46" s="29">
        <f>IF($A46="","",BDP($C46,"EQY_DVD_YLD_IND"))</f>
        <v/>
      </c>
      <c r="H46" s="29">
        <f>IF($A46="","",BDP($C46,'Field Check'!$C$4))</f>
        <v/>
      </c>
      <c r="I46" s="30">
        <f>IFERROR(IF($B46="","",$B46/$B$3),"")</f>
        <v/>
      </c>
      <c r="J46" s="30">
        <f>IFERROR(IF($I46="","",$I46*IFERROR($G46,0)/100),"")</f>
        <v/>
      </c>
      <c r="K46" s="30">
        <f>IFERROR(IF($J46="","",IF(ISNUMBER($H46),$J46*$H46/'Index Summary'!$C$7,"")),"")</f>
        <v/>
      </c>
      <c r="L46" s="30">
        <f>IFERROR(IF($K46="","",$J46-$K46),"")</f>
        <v/>
      </c>
      <c r="M46" s="31">
        <f>IF($C46="","",IF(NOT(ISNUMBER($G46)),"No dividend",IF($G46=0,"No dividend",IF(ISNUMBER($H46),"OK","Franking n/a"))))</f>
        <v/>
      </c>
    </row>
    <row r="47">
      <c r="A47" s="16" t="n"/>
      <c r="B47" s="16" t="n"/>
      <c r="C47" s="16">
        <f>IF($A47="","",$A47&amp;" Equity")</f>
        <v/>
      </c>
      <c r="D47" s="16">
        <f>IF($A47="","",BDP($C47,"NAME"))</f>
        <v/>
      </c>
      <c r="E47" s="32">
        <f>IF($A47="","",BDP($C47,"EQY_DVD_SH_12M"))</f>
        <v/>
      </c>
      <c r="F47" s="33">
        <f>IF($A47="","",BDP($C47,"EQY_DVD_YLD_12M"))</f>
        <v/>
      </c>
      <c r="G47" s="33">
        <f>IF($A47="","",BDP($C47,"EQY_DVD_YLD_IND"))</f>
        <v/>
      </c>
      <c r="H47" s="33">
        <f>IF($A47="","",BDP($C47,'Field Check'!$C$4))</f>
        <v/>
      </c>
      <c r="I47" s="34">
        <f>IFERROR(IF($B47="","",$B47/$B$3),"")</f>
        <v/>
      </c>
      <c r="J47" s="34">
        <f>IFERROR(IF($I47="","",$I47*IFERROR($G47,0)/100),"")</f>
        <v/>
      </c>
      <c r="K47" s="34">
        <f>IFERROR(IF($J47="","",IF(ISNUMBER($H47),$J47*$H47/'Index Summary'!$C$7,"")),"")</f>
        <v/>
      </c>
      <c r="L47" s="34">
        <f>IFERROR(IF($K47="","",$J47-$K47),"")</f>
        <v/>
      </c>
      <c r="M47" s="35">
        <f>IF($C47="","",IF(NOT(ISNUMBER($G47)),"No dividend",IF($G47=0,"No dividend",IF(ISNUMBER($H47),"OK","Franking n/a"))))</f>
        <v/>
      </c>
    </row>
    <row r="48">
      <c r="A48" s="27" t="n"/>
      <c r="B48" s="27" t="n"/>
      <c r="C48" s="27">
        <f>IF($A48="","",$A48&amp;" Equity")</f>
        <v/>
      </c>
      <c r="D48" s="27">
        <f>IF($A48="","",BDP($C48,"NAME"))</f>
        <v/>
      </c>
      <c r="E48" s="28">
        <f>IF($A48="","",BDP($C48,"EQY_DVD_SH_12M"))</f>
        <v/>
      </c>
      <c r="F48" s="29">
        <f>IF($A48="","",BDP($C48,"EQY_DVD_YLD_12M"))</f>
        <v/>
      </c>
      <c r="G48" s="29">
        <f>IF($A48="","",BDP($C48,"EQY_DVD_YLD_IND"))</f>
        <v/>
      </c>
      <c r="H48" s="29">
        <f>IF($A48="","",BDP($C48,'Field Check'!$C$4))</f>
        <v/>
      </c>
      <c r="I48" s="30">
        <f>IFERROR(IF($B48="","",$B48/$B$3),"")</f>
        <v/>
      </c>
      <c r="J48" s="30">
        <f>IFERROR(IF($I48="","",$I48*IFERROR($G48,0)/100),"")</f>
        <v/>
      </c>
      <c r="K48" s="30">
        <f>IFERROR(IF($J48="","",IF(ISNUMBER($H48),$J48*$H48/'Index Summary'!$C$7,"")),"")</f>
        <v/>
      </c>
      <c r="L48" s="30">
        <f>IFERROR(IF($K48="","",$J48-$K48),"")</f>
        <v/>
      </c>
      <c r="M48" s="31">
        <f>IF($C48="","",IF(NOT(ISNUMBER($G48)),"No dividend",IF($G48=0,"No dividend",IF(ISNUMBER($H48),"OK","Franking n/a"))))</f>
        <v/>
      </c>
    </row>
    <row r="49">
      <c r="A49" s="16" t="n"/>
      <c r="B49" s="16" t="n"/>
      <c r="C49" s="16">
        <f>IF($A49="","",$A49&amp;" Equity")</f>
        <v/>
      </c>
      <c r="D49" s="16">
        <f>IF($A49="","",BDP($C49,"NAME"))</f>
        <v/>
      </c>
      <c r="E49" s="32">
        <f>IF($A49="","",BDP($C49,"EQY_DVD_SH_12M"))</f>
        <v/>
      </c>
      <c r="F49" s="33">
        <f>IF($A49="","",BDP($C49,"EQY_DVD_YLD_12M"))</f>
        <v/>
      </c>
      <c r="G49" s="33">
        <f>IF($A49="","",BDP($C49,"EQY_DVD_YLD_IND"))</f>
        <v/>
      </c>
      <c r="H49" s="33">
        <f>IF($A49="","",BDP($C49,'Field Check'!$C$4))</f>
        <v/>
      </c>
      <c r="I49" s="34">
        <f>IFERROR(IF($B49="","",$B49/$B$3),"")</f>
        <v/>
      </c>
      <c r="J49" s="34">
        <f>IFERROR(IF($I49="","",$I49*IFERROR($G49,0)/100),"")</f>
        <v/>
      </c>
      <c r="K49" s="34">
        <f>IFERROR(IF($J49="","",IF(ISNUMBER($H49),$J49*$H49/'Index Summary'!$C$7,"")),"")</f>
        <v/>
      </c>
      <c r="L49" s="34">
        <f>IFERROR(IF($K49="","",$J49-$K49),"")</f>
        <v/>
      </c>
      <c r="M49" s="35">
        <f>IF($C49="","",IF(NOT(ISNUMBER($G49)),"No dividend",IF($G49=0,"No dividend",IF(ISNUMBER($H49),"OK","Franking n/a"))))</f>
        <v/>
      </c>
    </row>
    <row r="50">
      <c r="A50" s="27" t="n"/>
      <c r="B50" s="27" t="n"/>
      <c r="C50" s="27">
        <f>IF($A50="","",$A50&amp;" Equity")</f>
        <v/>
      </c>
      <c r="D50" s="27">
        <f>IF($A50="","",BDP($C50,"NAME"))</f>
        <v/>
      </c>
      <c r="E50" s="28">
        <f>IF($A50="","",BDP($C50,"EQY_DVD_SH_12M"))</f>
        <v/>
      </c>
      <c r="F50" s="29">
        <f>IF($A50="","",BDP($C50,"EQY_DVD_YLD_12M"))</f>
        <v/>
      </c>
      <c r="G50" s="29">
        <f>IF($A50="","",BDP($C50,"EQY_DVD_YLD_IND"))</f>
        <v/>
      </c>
      <c r="H50" s="29">
        <f>IF($A50="","",BDP($C50,'Field Check'!$C$4))</f>
        <v/>
      </c>
      <c r="I50" s="30">
        <f>IFERROR(IF($B50="","",$B50/$B$3),"")</f>
        <v/>
      </c>
      <c r="J50" s="30">
        <f>IFERROR(IF($I50="","",$I50*IFERROR($G50,0)/100),"")</f>
        <v/>
      </c>
      <c r="K50" s="30">
        <f>IFERROR(IF($J50="","",IF(ISNUMBER($H50),$J50*$H50/'Index Summary'!$C$7,"")),"")</f>
        <v/>
      </c>
      <c r="L50" s="30">
        <f>IFERROR(IF($K50="","",$J50-$K50),"")</f>
        <v/>
      </c>
      <c r="M50" s="31">
        <f>IF($C50="","",IF(NOT(ISNUMBER($G50)),"No dividend",IF($G50=0,"No dividend",IF(ISNUMBER($H50),"OK","Franking n/a"))))</f>
        <v/>
      </c>
    </row>
    <row r="51">
      <c r="A51" s="16" t="n"/>
      <c r="B51" s="16" t="n"/>
      <c r="C51" s="16">
        <f>IF($A51="","",$A51&amp;" Equity")</f>
        <v/>
      </c>
      <c r="D51" s="16">
        <f>IF($A51="","",BDP($C51,"NAME"))</f>
        <v/>
      </c>
      <c r="E51" s="32">
        <f>IF($A51="","",BDP($C51,"EQY_DVD_SH_12M"))</f>
        <v/>
      </c>
      <c r="F51" s="33">
        <f>IF($A51="","",BDP($C51,"EQY_DVD_YLD_12M"))</f>
        <v/>
      </c>
      <c r="G51" s="33">
        <f>IF($A51="","",BDP($C51,"EQY_DVD_YLD_IND"))</f>
        <v/>
      </c>
      <c r="H51" s="33">
        <f>IF($A51="","",BDP($C51,'Field Check'!$C$4))</f>
        <v/>
      </c>
      <c r="I51" s="34">
        <f>IFERROR(IF($B51="","",$B51/$B$3),"")</f>
        <v/>
      </c>
      <c r="J51" s="34">
        <f>IFERROR(IF($I51="","",$I51*IFERROR($G51,0)/100),"")</f>
        <v/>
      </c>
      <c r="K51" s="34">
        <f>IFERROR(IF($J51="","",IF(ISNUMBER($H51),$J51*$H51/'Index Summary'!$C$7,"")),"")</f>
        <v/>
      </c>
      <c r="L51" s="34">
        <f>IFERROR(IF($K51="","",$J51-$K51),"")</f>
        <v/>
      </c>
      <c r="M51" s="35">
        <f>IF($C51="","",IF(NOT(ISNUMBER($G51)),"No dividend",IF($G51=0,"No dividend",IF(ISNUMBER($H51),"OK","Franking n/a"))))</f>
        <v/>
      </c>
    </row>
    <row r="52">
      <c r="A52" s="27" t="n"/>
      <c r="B52" s="27" t="n"/>
      <c r="C52" s="27">
        <f>IF($A52="","",$A52&amp;" Equity")</f>
        <v/>
      </c>
      <c r="D52" s="27">
        <f>IF($A52="","",BDP($C52,"NAME"))</f>
        <v/>
      </c>
      <c r="E52" s="28">
        <f>IF($A52="","",BDP($C52,"EQY_DVD_SH_12M"))</f>
        <v/>
      </c>
      <c r="F52" s="29">
        <f>IF($A52="","",BDP($C52,"EQY_DVD_YLD_12M"))</f>
        <v/>
      </c>
      <c r="G52" s="29">
        <f>IF($A52="","",BDP($C52,"EQY_DVD_YLD_IND"))</f>
        <v/>
      </c>
      <c r="H52" s="29">
        <f>IF($A52="","",BDP($C52,'Field Check'!$C$4))</f>
        <v/>
      </c>
      <c r="I52" s="30">
        <f>IFERROR(IF($B52="","",$B52/$B$3),"")</f>
        <v/>
      </c>
      <c r="J52" s="30">
        <f>IFERROR(IF($I52="","",$I52*IFERROR($G52,0)/100),"")</f>
        <v/>
      </c>
      <c r="K52" s="30">
        <f>IFERROR(IF($J52="","",IF(ISNUMBER($H52),$J52*$H52/'Index Summary'!$C$7,"")),"")</f>
        <v/>
      </c>
      <c r="L52" s="30">
        <f>IFERROR(IF($K52="","",$J52-$K52),"")</f>
        <v/>
      </c>
      <c r="M52" s="31">
        <f>IF($C52="","",IF(NOT(ISNUMBER($G52)),"No dividend",IF($G52=0,"No dividend",IF(ISNUMBER($H52),"OK","Franking n/a"))))</f>
        <v/>
      </c>
    </row>
    <row r="53">
      <c r="A53" s="16" t="n"/>
      <c r="B53" s="16" t="n"/>
      <c r="C53" s="16">
        <f>IF($A53="","",$A53&amp;" Equity")</f>
        <v/>
      </c>
      <c r="D53" s="16">
        <f>IF($A53="","",BDP($C53,"NAME"))</f>
        <v/>
      </c>
      <c r="E53" s="32">
        <f>IF($A53="","",BDP($C53,"EQY_DVD_SH_12M"))</f>
        <v/>
      </c>
      <c r="F53" s="33">
        <f>IF($A53="","",BDP($C53,"EQY_DVD_YLD_12M"))</f>
        <v/>
      </c>
      <c r="G53" s="33">
        <f>IF($A53="","",BDP($C53,"EQY_DVD_YLD_IND"))</f>
        <v/>
      </c>
      <c r="H53" s="33">
        <f>IF($A53="","",BDP($C53,'Field Check'!$C$4))</f>
        <v/>
      </c>
      <c r="I53" s="34">
        <f>IFERROR(IF($B53="","",$B53/$B$3),"")</f>
        <v/>
      </c>
      <c r="J53" s="34">
        <f>IFERROR(IF($I53="","",$I53*IFERROR($G53,0)/100),"")</f>
        <v/>
      </c>
      <c r="K53" s="34">
        <f>IFERROR(IF($J53="","",IF(ISNUMBER($H53),$J53*$H53/'Index Summary'!$C$7,"")),"")</f>
        <v/>
      </c>
      <c r="L53" s="34">
        <f>IFERROR(IF($K53="","",$J53-$K53),"")</f>
        <v/>
      </c>
      <c r="M53" s="35">
        <f>IF($C53="","",IF(NOT(ISNUMBER($G53)),"No dividend",IF($G53=0,"No dividend",IF(ISNUMBER($H53),"OK","Franking n/a"))))</f>
        <v/>
      </c>
    </row>
    <row r="54">
      <c r="A54" s="27" t="n"/>
      <c r="B54" s="27" t="n"/>
      <c r="C54" s="27">
        <f>IF($A54="","",$A54&amp;" Equity")</f>
        <v/>
      </c>
      <c r="D54" s="27">
        <f>IF($A54="","",BDP($C54,"NAME"))</f>
        <v/>
      </c>
      <c r="E54" s="28">
        <f>IF($A54="","",BDP($C54,"EQY_DVD_SH_12M"))</f>
        <v/>
      </c>
      <c r="F54" s="29">
        <f>IF($A54="","",BDP($C54,"EQY_DVD_YLD_12M"))</f>
        <v/>
      </c>
      <c r="G54" s="29">
        <f>IF($A54="","",BDP($C54,"EQY_DVD_YLD_IND"))</f>
        <v/>
      </c>
      <c r="H54" s="29">
        <f>IF($A54="","",BDP($C54,'Field Check'!$C$4))</f>
        <v/>
      </c>
      <c r="I54" s="30">
        <f>IFERROR(IF($B54="","",$B54/$B$3),"")</f>
        <v/>
      </c>
      <c r="J54" s="30">
        <f>IFERROR(IF($I54="","",$I54*IFERROR($G54,0)/100),"")</f>
        <v/>
      </c>
      <c r="K54" s="30">
        <f>IFERROR(IF($J54="","",IF(ISNUMBER($H54),$J54*$H54/'Index Summary'!$C$7,"")),"")</f>
        <v/>
      </c>
      <c r="L54" s="30">
        <f>IFERROR(IF($K54="","",$J54-$K54),"")</f>
        <v/>
      </c>
      <c r="M54" s="31">
        <f>IF($C54="","",IF(NOT(ISNUMBER($G54)),"No dividend",IF($G54=0,"No dividend",IF(ISNUMBER($H54),"OK","Franking n/a"))))</f>
        <v/>
      </c>
    </row>
    <row r="55">
      <c r="A55" s="16" t="n"/>
      <c r="B55" s="16" t="n"/>
      <c r="C55" s="16">
        <f>IF($A55="","",$A55&amp;" Equity")</f>
        <v/>
      </c>
      <c r="D55" s="16">
        <f>IF($A55="","",BDP($C55,"NAME"))</f>
        <v/>
      </c>
      <c r="E55" s="32">
        <f>IF($A55="","",BDP($C55,"EQY_DVD_SH_12M"))</f>
        <v/>
      </c>
      <c r="F55" s="33">
        <f>IF($A55="","",BDP($C55,"EQY_DVD_YLD_12M"))</f>
        <v/>
      </c>
      <c r="G55" s="33">
        <f>IF($A55="","",BDP($C55,"EQY_DVD_YLD_IND"))</f>
        <v/>
      </c>
      <c r="H55" s="33">
        <f>IF($A55="","",BDP($C55,'Field Check'!$C$4))</f>
        <v/>
      </c>
      <c r="I55" s="34">
        <f>IFERROR(IF($B55="","",$B55/$B$3),"")</f>
        <v/>
      </c>
      <c r="J55" s="34">
        <f>IFERROR(IF($I55="","",$I55*IFERROR($G55,0)/100),"")</f>
        <v/>
      </c>
      <c r="K55" s="34">
        <f>IFERROR(IF($J55="","",IF(ISNUMBER($H55),$J55*$H55/'Index Summary'!$C$7,"")),"")</f>
        <v/>
      </c>
      <c r="L55" s="34">
        <f>IFERROR(IF($K55="","",$J55-$K55),"")</f>
        <v/>
      </c>
      <c r="M55" s="35">
        <f>IF($C55="","",IF(NOT(ISNUMBER($G55)),"No dividend",IF($G55=0,"No dividend",IF(ISNUMBER($H55),"OK","Franking n/a"))))</f>
        <v/>
      </c>
    </row>
    <row r="56">
      <c r="A56" s="27" t="n"/>
      <c r="B56" s="27" t="n"/>
      <c r="C56" s="27">
        <f>IF($A56="","",$A56&amp;" Equity")</f>
        <v/>
      </c>
      <c r="D56" s="27">
        <f>IF($A56="","",BDP($C56,"NAME"))</f>
        <v/>
      </c>
      <c r="E56" s="28">
        <f>IF($A56="","",BDP($C56,"EQY_DVD_SH_12M"))</f>
        <v/>
      </c>
      <c r="F56" s="29">
        <f>IF($A56="","",BDP($C56,"EQY_DVD_YLD_12M"))</f>
        <v/>
      </c>
      <c r="G56" s="29">
        <f>IF($A56="","",BDP($C56,"EQY_DVD_YLD_IND"))</f>
        <v/>
      </c>
      <c r="H56" s="29">
        <f>IF($A56="","",BDP($C56,'Field Check'!$C$4))</f>
        <v/>
      </c>
      <c r="I56" s="30">
        <f>IFERROR(IF($B56="","",$B56/$B$3),"")</f>
        <v/>
      </c>
      <c r="J56" s="30">
        <f>IFERROR(IF($I56="","",$I56*IFERROR($G56,0)/100),"")</f>
        <v/>
      </c>
      <c r="K56" s="30">
        <f>IFERROR(IF($J56="","",IF(ISNUMBER($H56),$J56*$H56/'Index Summary'!$C$7,"")),"")</f>
        <v/>
      </c>
      <c r="L56" s="30">
        <f>IFERROR(IF($K56="","",$J56-$K56),"")</f>
        <v/>
      </c>
      <c r="M56" s="31">
        <f>IF($C56="","",IF(NOT(ISNUMBER($G56)),"No dividend",IF($G56=0,"No dividend",IF(ISNUMBER($H56),"OK","Franking n/a"))))</f>
        <v/>
      </c>
    </row>
    <row r="57">
      <c r="A57" s="16" t="n"/>
      <c r="B57" s="16" t="n"/>
      <c r="C57" s="16">
        <f>IF($A57="","",$A57&amp;" Equity")</f>
        <v/>
      </c>
      <c r="D57" s="16">
        <f>IF($A57="","",BDP($C57,"NAME"))</f>
        <v/>
      </c>
      <c r="E57" s="32">
        <f>IF($A57="","",BDP($C57,"EQY_DVD_SH_12M"))</f>
        <v/>
      </c>
      <c r="F57" s="33">
        <f>IF($A57="","",BDP($C57,"EQY_DVD_YLD_12M"))</f>
        <v/>
      </c>
      <c r="G57" s="33">
        <f>IF($A57="","",BDP($C57,"EQY_DVD_YLD_IND"))</f>
        <v/>
      </c>
      <c r="H57" s="33">
        <f>IF($A57="","",BDP($C57,'Field Check'!$C$4))</f>
        <v/>
      </c>
      <c r="I57" s="34">
        <f>IFERROR(IF($B57="","",$B57/$B$3),"")</f>
        <v/>
      </c>
      <c r="J57" s="34">
        <f>IFERROR(IF($I57="","",$I57*IFERROR($G57,0)/100),"")</f>
        <v/>
      </c>
      <c r="K57" s="34">
        <f>IFERROR(IF($J57="","",IF(ISNUMBER($H57),$J57*$H57/'Index Summary'!$C$7,"")),"")</f>
        <v/>
      </c>
      <c r="L57" s="34">
        <f>IFERROR(IF($K57="","",$J57-$K57),"")</f>
        <v/>
      </c>
      <c r="M57" s="35">
        <f>IF($C57="","",IF(NOT(ISNUMBER($G57)),"No dividend",IF($G57=0,"No dividend",IF(ISNUMBER($H57),"OK","Franking n/a"))))</f>
        <v/>
      </c>
    </row>
    <row r="58">
      <c r="A58" s="27" t="n"/>
      <c r="B58" s="27" t="n"/>
      <c r="C58" s="27">
        <f>IF($A58="","",$A58&amp;" Equity")</f>
        <v/>
      </c>
      <c r="D58" s="27">
        <f>IF($A58="","",BDP($C58,"NAME"))</f>
        <v/>
      </c>
      <c r="E58" s="28">
        <f>IF($A58="","",BDP($C58,"EQY_DVD_SH_12M"))</f>
        <v/>
      </c>
      <c r="F58" s="29">
        <f>IF($A58="","",BDP($C58,"EQY_DVD_YLD_12M"))</f>
        <v/>
      </c>
      <c r="G58" s="29">
        <f>IF($A58="","",BDP($C58,"EQY_DVD_YLD_IND"))</f>
        <v/>
      </c>
      <c r="H58" s="29">
        <f>IF($A58="","",BDP($C58,'Field Check'!$C$4))</f>
        <v/>
      </c>
      <c r="I58" s="30">
        <f>IFERROR(IF($B58="","",$B58/$B$3),"")</f>
        <v/>
      </c>
      <c r="J58" s="30">
        <f>IFERROR(IF($I58="","",$I58*IFERROR($G58,0)/100),"")</f>
        <v/>
      </c>
      <c r="K58" s="30">
        <f>IFERROR(IF($J58="","",IF(ISNUMBER($H58),$J58*$H58/'Index Summary'!$C$7,"")),"")</f>
        <v/>
      </c>
      <c r="L58" s="30">
        <f>IFERROR(IF($K58="","",$J58-$K58),"")</f>
        <v/>
      </c>
      <c r="M58" s="31">
        <f>IF($C58="","",IF(NOT(ISNUMBER($G58)),"No dividend",IF($G58=0,"No dividend",IF(ISNUMBER($H58),"OK","Franking n/a"))))</f>
        <v/>
      </c>
    </row>
    <row r="59">
      <c r="A59" s="16" t="n"/>
      <c r="B59" s="16" t="n"/>
      <c r="C59" s="16">
        <f>IF($A59="","",$A59&amp;" Equity")</f>
        <v/>
      </c>
      <c r="D59" s="16">
        <f>IF($A59="","",BDP($C59,"NAME"))</f>
        <v/>
      </c>
      <c r="E59" s="32">
        <f>IF($A59="","",BDP($C59,"EQY_DVD_SH_12M"))</f>
        <v/>
      </c>
      <c r="F59" s="33">
        <f>IF($A59="","",BDP($C59,"EQY_DVD_YLD_12M"))</f>
        <v/>
      </c>
      <c r="G59" s="33">
        <f>IF($A59="","",BDP($C59,"EQY_DVD_YLD_IND"))</f>
        <v/>
      </c>
      <c r="H59" s="33">
        <f>IF($A59="","",BDP($C59,'Field Check'!$C$4))</f>
        <v/>
      </c>
      <c r="I59" s="34">
        <f>IFERROR(IF($B59="","",$B59/$B$3),"")</f>
        <v/>
      </c>
      <c r="J59" s="34">
        <f>IFERROR(IF($I59="","",$I59*IFERROR($G59,0)/100),"")</f>
        <v/>
      </c>
      <c r="K59" s="34">
        <f>IFERROR(IF($J59="","",IF(ISNUMBER($H59),$J59*$H59/'Index Summary'!$C$7,"")),"")</f>
        <v/>
      </c>
      <c r="L59" s="34">
        <f>IFERROR(IF($K59="","",$J59-$K59),"")</f>
        <v/>
      </c>
      <c r="M59" s="35">
        <f>IF($C59="","",IF(NOT(ISNUMBER($G59)),"No dividend",IF($G59=0,"No dividend",IF(ISNUMBER($H59),"OK","Franking n/a"))))</f>
        <v/>
      </c>
    </row>
    <row r="60">
      <c r="A60" s="27" t="n"/>
      <c r="B60" s="27" t="n"/>
      <c r="C60" s="27">
        <f>IF($A60="","",$A60&amp;" Equity")</f>
        <v/>
      </c>
      <c r="D60" s="27">
        <f>IF($A60="","",BDP($C60,"NAME"))</f>
        <v/>
      </c>
      <c r="E60" s="28">
        <f>IF($A60="","",BDP($C60,"EQY_DVD_SH_12M"))</f>
        <v/>
      </c>
      <c r="F60" s="29">
        <f>IF($A60="","",BDP($C60,"EQY_DVD_YLD_12M"))</f>
        <v/>
      </c>
      <c r="G60" s="29">
        <f>IF($A60="","",BDP($C60,"EQY_DVD_YLD_IND"))</f>
        <v/>
      </c>
      <c r="H60" s="29">
        <f>IF($A60="","",BDP($C60,'Field Check'!$C$4))</f>
        <v/>
      </c>
      <c r="I60" s="30">
        <f>IFERROR(IF($B60="","",$B60/$B$3),"")</f>
        <v/>
      </c>
      <c r="J60" s="30">
        <f>IFERROR(IF($I60="","",$I60*IFERROR($G60,0)/100),"")</f>
        <v/>
      </c>
      <c r="K60" s="30">
        <f>IFERROR(IF($J60="","",IF(ISNUMBER($H60),$J60*$H60/'Index Summary'!$C$7,"")),"")</f>
        <v/>
      </c>
      <c r="L60" s="30">
        <f>IFERROR(IF($K60="","",$J60-$K60),"")</f>
        <v/>
      </c>
      <c r="M60" s="31">
        <f>IF($C60="","",IF(NOT(ISNUMBER($G60)),"No dividend",IF($G60=0,"No dividend",IF(ISNUMBER($H60),"OK","Franking n/a"))))</f>
        <v/>
      </c>
    </row>
    <row r="61">
      <c r="A61" s="16" t="n"/>
      <c r="B61" s="16" t="n"/>
      <c r="C61" s="16">
        <f>IF($A61="","",$A61&amp;" Equity")</f>
        <v/>
      </c>
      <c r="D61" s="16">
        <f>IF($A61="","",BDP($C61,"NAME"))</f>
        <v/>
      </c>
      <c r="E61" s="32">
        <f>IF($A61="","",BDP($C61,"EQY_DVD_SH_12M"))</f>
        <v/>
      </c>
      <c r="F61" s="33">
        <f>IF($A61="","",BDP($C61,"EQY_DVD_YLD_12M"))</f>
        <v/>
      </c>
      <c r="G61" s="33">
        <f>IF($A61="","",BDP($C61,"EQY_DVD_YLD_IND"))</f>
        <v/>
      </c>
      <c r="H61" s="33">
        <f>IF($A61="","",BDP($C61,'Field Check'!$C$4))</f>
        <v/>
      </c>
      <c r="I61" s="34">
        <f>IFERROR(IF($B61="","",$B61/$B$3),"")</f>
        <v/>
      </c>
      <c r="J61" s="34">
        <f>IFERROR(IF($I61="","",$I61*IFERROR($G61,0)/100),"")</f>
        <v/>
      </c>
      <c r="K61" s="34">
        <f>IFERROR(IF($J61="","",IF(ISNUMBER($H61),$J61*$H61/'Index Summary'!$C$7,"")),"")</f>
        <v/>
      </c>
      <c r="L61" s="34">
        <f>IFERROR(IF($K61="","",$J61-$K61),"")</f>
        <v/>
      </c>
      <c r="M61" s="35">
        <f>IF($C61="","",IF(NOT(ISNUMBER($G61)),"No dividend",IF($G61=0,"No dividend",IF(ISNUMBER($H61),"OK","Franking n/a"))))</f>
        <v/>
      </c>
    </row>
    <row r="62">
      <c r="A62" s="27" t="n"/>
      <c r="B62" s="27" t="n"/>
      <c r="C62" s="27">
        <f>IF($A62="","",$A62&amp;" Equity")</f>
        <v/>
      </c>
      <c r="D62" s="27">
        <f>IF($A62="","",BDP($C62,"NAME"))</f>
        <v/>
      </c>
      <c r="E62" s="28">
        <f>IF($A62="","",BDP($C62,"EQY_DVD_SH_12M"))</f>
        <v/>
      </c>
      <c r="F62" s="29">
        <f>IF($A62="","",BDP($C62,"EQY_DVD_YLD_12M"))</f>
        <v/>
      </c>
      <c r="G62" s="29">
        <f>IF($A62="","",BDP($C62,"EQY_DVD_YLD_IND"))</f>
        <v/>
      </c>
      <c r="H62" s="29">
        <f>IF($A62="","",BDP($C62,'Field Check'!$C$4))</f>
        <v/>
      </c>
      <c r="I62" s="30">
        <f>IFERROR(IF($B62="","",$B62/$B$3),"")</f>
        <v/>
      </c>
      <c r="J62" s="30">
        <f>IFERROR(IF($I62="","",$I62*IFERROR($G62,0)/100),"")</f>
        <v/>
      </c>
      <c r="K62" s="30">
        <f>IFERROR(IF($J62="","",IF(ISNUMBER($H62),$J62*$H62/'Index Summary'!$C$7,"")),"")</f>
        <v/>
      </c>
      <c r="L62" s="30">
        <f>IFERROR(IF($K62="","",$J62-$K62),"")</f>
        <v/>
      </c>
      <c r="M62" s="31">
        <f>IF($C62="","",IF(NOT(ISNUMBER($G62)),"No dividend",IF($G62=0,"No dividend",IF(ISNUMBER($H62),"OK","Franking n/a"))))</f>
        <v/>
      </c>
    </row>
    <row r="63">
      <c r="A63" s="16" t="n"/>
      <c r="B63" s="16" t="n"/>
      <c r="C63" s="16">
        <f>IF($A63="","",$A63&amp;" Equity")</f>
        <v/>
      </c>
      <c r="D63" s="16">
        <f>IF($A63="","",BDP($C63,"NAME"))</f>
        <v/>
      </c>
      <c r="E63" s="32">
        <f>IF($A63="","",BDP($C63,"EQY_DVD_SH_12M"))</f>
        <v/>
      </c>
      <c r="F63" s="33">
        <f>IF($A63="","",BDP($C63,"EQY_DVD_YLD_12M"))</f>
        <v/>
      </c>
      <c r="G63" s="33">
        <f>IF($A63="","",BDP($C63,"EQY_DVD_YLD_IND"))</f>
        <v/>
      </c>
      <c r="H63" s="33">
        <f>IF($A63="","",BDP($C63,'Field Check'!$C$4))</f>
        <v/>
      </c>
      <c r="I63" s="34">
        <f>IFERROR(IF($B63="","",$B63/$B$3),"")</f>
        <v/>
      </c>
      <c r="J63" s="34">
        <f>IFERROR(IF($I63="","",$I63*IFERROR($G63,0)/100),"")</f>
        <v/>
      </c>
      <c r="K63" s="34">
        <f>IFERROR(IF($J63="","",IF(ISNUMBER($H63),$J63*$H63/'Index Summary'!$C$7,"")),"")</f>
        <v/>
      </c>
      <c r="L63" s="34">
        <f>IFERROR(IF($K63="","",$J63-$K63),"")</f>
        <v/>
      </c>
      <c r="M63" s="35">
        <f>IF($C63="","",IF(NOT(ISNUMBER($G63)),"No dividend",IF($G63=0,"No dividend",IF(ISNUMBER($H63),"OK","Franking n/a"))))</f>
        <v/>
      </c>
    </row>
    <row r="64">
      <c r="A64" s="27" t="n"/>
      <c r="B64" s="27" t="n"/>
      <c r="C64" s="27">
        <f>IF($A64="","",$A64&amp;" Equity")</f>
        <v/>
      </c>
      <c r="D64" s="27">
        <f>IF($A64="","",BDP($C64,"NAME"))</f>
        <v/>
      </c>
      <c r="E64" s="28">
        <f>IF($A64="","",BDP($C64,"EQY_DVD_SH_12M"))</f>
        <v/>
      </c>
      <c r="F64" s="29">
        <f>IF($A64="","",BDP($C64,"EQY_DVD_YLD_12M"))</f>
        <v/>
      </c>
      <c r="G64" s="29">
        <f>IF($A64="","",BDP($C64,"EQY_DVD_YLD_IND"))</f>
        <v/>
      </c>
      <c r="H64" s="29">
        <f>IF($A64="","",BDP($C64,'Field Check'!$C$4))</f>
        <v/>
      </c>
      <c r="I64" s="30">
        <f>IFERROR(IF($B64="","",$B64/$B$3),"")</f>
        <v/>
      </c>
      <c r="J64" s="30">
        <f>IFERROR(IF($I64="","",$I64*IFERROR($G64,0)/100),"")</f>
        <v/>
      </c>
      <c r="K64" s="30">
        <f>IFERROR(IF($J64="","",IF(ISNUMBER($H64),$J64*$H64/'Index Summary'!$C$7,"")),"")</f>
        <v/>
      </c>
      <c r="L64" s="30">
        <f>IFERROR(IF($K64="","",$J64-$K64),"")</f>
        <v/>
      </c>
      <c r="M64" s="31">
        <f>IF($C64="","",IF(NOT(ISNUMBER($G64)),"No dividend",IF($G64=0,"No dividend",IF(ISNUMBER($H64),"OK","Franking n/a"))))</f>
        <v/>
      </c>
    </row>
    <row r="65">
      <c r="A65" s="16" t="n"/>
      <c r="B65" s="16" t="n"/>
      <c r="C65" s="16">
        <f>IF($A65="","",$A65&amp;" Equity")</f>
        <v/>
      </c>
      <c r="D65" s="16">
        <f>IF($A65="","",BDP($C65,"NAME"))</f>
        <v/>
      </c>
      <c r="E65" s="32">
        <f>IF($A65="","",BDP($C65,"EQY_DVD_SH_12M"))</f>
        <v/>
      </c>
      <c r="F65" s="33">
        <f>IF($A65="","",BDP($C65,"EQY_DVD_YLD_12M"))</f>
        <v/>
      </c>
      <c r="G65" s="33">
        <f>IF($A65="","",BDP($C65,"EQY_DVD_YLD_IND"))</f>
        <v/>
      </c>
      <c r="H65" s="33">
        <f>IF($A65="","",BDP($C65,'Field Check'!$C$4))</f>
        <v/>
      </c>
      <c r="I65" s="34">
        <f>IFERROR(IF($B65="","",$B65/$B$3),"")</f>
        <v/>
      </c>
      <c r="J65" s="34">
        <f>IFERROR(IF($I65="","",$I65*IFERROR($G65,0)/100),"")</f>
        <v/>
      </c>
      <c r="K65" s="34">
        <f>IFERROR(IF($J65="","",IF(ISNUMBER($H65),$J65*$H65/'Index Summary'!$C$7,"")),"")</f>
        <v/>
      </c>
      <c r="L65" s="34">
        <f>IFERROR(IF($K65="","",$J65-$K65),"")</f>
        <v/>
      </c>
      <c r="M65" s="35">
        <f>IF($C65="","",IF(NOT(ISNUMBER($G65)),"No dividend",IF($G65=0,"No dividend",IF(ISNUMBER($H65),"OK","Franking n/a"))))</f>
        <v/>
      </c>
    </row>
    <row r="66">
      <c r="A66" s="27" t="n"/>
      <c r="B66" s="27" t="n"/>
      <c r="C66" s="27">
        <f>IF($A66="","",$A66&amp;" Equity")</f>
        <v/>
      </c>
      <c r="D66" s="27">
        <f>IF($A66="","",BDP($C66,"NAME"))</f>
        <v/>
      </c>
      <c r="E66" s="28">
        <f>IF($A66="","",BDP($C66,"EQY_DVD_SH_12M"))</f>
        <v/>
      </c>
      <c r="F66" s="29">
        <f>IF($A66="","",BDP($C66,"EQY_DVD_YLD_12M"))</f>
        <v/>
      </c>
      <c r="G66" s="29">
        <f>IF($A66="","",BDP($C66,"EQY_DVD_YLD_IND"))</f>
        <v/>
      </c>
      <c r="H66" s="29">
        <f>IF($A66="","",BDP($C66,'Field Check'!$C$4))</f>
        <v/>
      </c>
      <c r="I66" s="30">
        <f>IFERROR(IF($B66="","",$B66/$B$3),"")</f>
        <v/>
      </c>
      <c r="J66" s="30">
        <f>IFERROR(IF($I66="","",$I66*IFERROR($G66,0)/100),"")</f>
        <v/>
      </c>
      <c r="K66" s="30">
        <f>IFERROR(IF($J66="","",IF(ISNUMBER($H66),$J66*$H66/'Index Summary'!$C$7,"")),"")</f>
        <v/>
      </c>
      <c r="L66" s="30">
        <f>IFERROR(IF($K66="","",$J66-$K66),"")</f>
        <v/>
      </c>
      <c r="M66" s="31">
        <f>IF($C66="","",IF(NOT(ISNUMBER($G66)),"No dividend",IF($G66=0,"No dividend",IF(ISNUMBER($H66),"OK","Franking n/a"))))</f>
        <v/>
      </c>
    </row>
    <row r="67">
      <c r="A67" s="16" t="n"/>
      <c r="B67" s="16" t="n"/>
      <c r="C67" s="16">
        <f>IF($A67="","",$A67&amp;" Equity")</f>
        <v/>
      </c>
      <c r="D67" s="16">
        <f>IF($A67="","",BDP($C67,"NAME"))</f>
        <v/>
      </c>
      <c r="E67" s="32">
        <f>IF($A67="","",BDP($C67,"EQY_DVD_SH_12M"))</f>
        <v/>
      </c>
      <c r="F67" s="33">
        <f>IF($A67="","",BDP($C67,"EQY_DVD_YLD_12M"))</f>
        <v/>
      </c>
      <c r="G67" s="33">
        <f>IF($A67="","",BDP($C67,"EQY_DVD_YLD_IND"))</f>
        <v/>
      </c>
      <c r="H67" s="33">
        <f>IF($A67="","",BDP($C67,'Field Check'!$C$4))</f>
        <v/>
      </c>
      <c r="I67" s="34">
        <f>IFERROR(IF($B67="","",$B67/$B$3),"")</f>
        <v/>
      </c>
      <c r="J67" s="34">
        <f>IFERROR(IF($I67="","",$I67*IFERROR($G67,0)/100),"")</f>
        <v/>
      </c>
      <c r="K67" s="34">
        <f>IFERROR(IF($J67="","",IF(ISNUMBER($H67),$J67*$H67/'Index Summary'!$C$7,"")),"")</f>
        <v/>
      </c>
      <c r="L67" s="34">
        <f>IFERROR(IF($K67="","",$J67-$K67),"")</f>
        <v/>
      </c>
      <c r="M67" s="35">
        <f>IF($C67="","",IF(NOT(ISNUMBER($G67)),"No dividend",IF($G67=0,"No dividend",IF(ISNUMBER($H67),"OK","Franking n/a"))))</f>
        <v/>
      </c>
    </row>
    <row r="68">
      <c r="A68" s="27" t="n"/>
      <c r="B68" s="27" t="n"/>
      <c r="C68" s="27">
        <f>IF($A68="","",$A68&amp;" Equity")</f>
        <v/>
      </c>
      <c r="D68" s="27">
        <f>IF($A68="","",BDP($C68,"NAME"))</f>
        <v/>
      </c>
      <c r="E68" s="28">
        <f>IF($A68="","",BDP($C68,"EQY_DVD_SH_12M"))</f>
        <v/>
      </c>
      <c r="F68" s="29">
        <f>IF($A68="","",BDP($C68,"EQY_DVD_YLD_12M"))</f>
        <v/>
      </c>
      <c r="G68" s="29">
        <f>IF($A68="","",BDP($C68,"EQY_DVD_YLD_IND"))</f>
        <v/>
      </c>
      <c r="H68" s="29">
        <f>IF($A68="","",BDP($C68,'Field Check'!$C$4))</f>
        <v/>
      </c>
      <c r="I68" s="30">
        <f>IFERROR(IF($B68="","",$B68/$B$3),"")</f>
        <v/>
      </c>
      <c r="J68" s="30">
        <f>IFERROR(IF($I68="","",$I68*IFERROR($G68,0)/100),"")</f>
        <v/>
      </c>
      <c r="K68" s="30">
        <f>IFERROR(IF($J68="","",IF(ISNUMBER($H68),$J68*$H68/'Index Summary'!$C$7,"")),"")</f>
        <v/>
      </c>
      <c r="L68" s="30">
        <f>IFERROR(IF($K68="","",$J68-$K68),"")</f>
        <v/>
      </c>
      <c r="M68" s="31">
        <f>IF($C68="","",IF(NOT(ISNUMBER($G68)),"No dividend",IF($G68=0,"No dividend",IF(ISNUMBER($H68),"OK","Franking n/a"))))</f>
        <v/>
      </c>
    </row>
    <row r="69">
      <c r="A69" s="16" t="n"/>
      <c r="B69" s="16" t="n"/>
      <c r="C69" s="16">
        <f>IF($A69="","",$A69&amp;" Equity")</f>
        <v/>
      </c>
      <c r="D69" s="16">
        <f>IF($A69="","",BDP($C69,"NAME"))</f>
        <v/>
      </c>
      <c r="E69" s="32">
        <f>IF($A69="","",BDP($C69,"EQY_DVD_SH_12M"))</f>
        <v/>
      </c>
      <c r="F69" s="33">
        <f>IF($A69="","",BDP($C69,"EQY_DVD_YLD_12M"))</f>
        <v/>
      </c>
      <c r="G69" s="33">
        <f>IF($A69="","",BDP($C69,"EQY_DVD_YLD_IND"))</f>
        <v/>
      </c>
      <c r="H69" s="33">
        <f>IF($A69="","",BDP($C69,'Field Check'!$C$4))</f>
        <v/>
      </c>
      <c r="I69" s="34">
        <f>IFERROR(IF($B69="","",$B69/$B$3),"")</f>
        <v/>
      </c>
      <c r="J69" s="34">
        <f>IFERROR(IF($I69="","",$I69*IFERROR($G69,0)/100),"")</f>
        <v/>
      </c>
      <c r="K69" s="34">
        <f>IFERROR(IF($J69="","",IF(ISNUMBER($H69),$J69*$H69/'Index Summary'!$C$7,"")),"")</f>
        <v/>
      </c>
      <c r="L69" s="34">
        <f>IFERROR(IF($K69="","",$J69-$K69),"")</f>
        <v/>
      </c>
      <c r="M69" s="35">
        <f>IF($C69="","",IF(NOT(ISNUMBER($G69)),"No dividend",IF($G69=0,"No dividend",IF(ISNUMBER($H69),"OK","Franking n/a"))))</f>
        <v/>
      </c>
    </row>
    <row r="70">
      <c r="A70" s="27" t="n"/>
      <c r="B70" s="27" t="n"/>
      <c r="C70" s="27">
        <f>IF($A70="","",$A70&amp;" Equity")</f>
        <v/>
      </c>
      <c r="D70" s="27">
        <f>IF($A70="","",BDP($C70,"NAME"))</f>
        <v/>
      </c>
      <c r="E70" s="28">
        <f>IF($A70="","",BDP($C70,"EQY_DVD_SH_12M"))</f>
        <v/>
      </c>
      <c r="F70" s="29">
        <f>IF($A70="","",BDP($C70,"EQY_DVD_YLD_12M"))</f>
        <v/>
      </c>
      <c r="G70" s="29">
        <f>IF($A70="","",BDP($C70,"EQY_DVD_YLD_IND"))</f>
        <v/>
      </c>
      <c r="H70" s="29">
        <f>IF($A70="","",BDP($C70,'Field Check'!$C$4))</f>
        <v/>
      </c>
      <c r="I70" s="30">
        <f>IFERROR(IF($B70="","",$B70/$B$3),"")</f>
        <v/>
      </c>
      <c r="J70" s="30">
        <f>IFERROR(IF($I70="","",$I70*IFERROR($G70,0)/100),"")</f>
        <v/>
      </c>
      <c r="K70" s="30">
        <f>IFERROR(IF($J70="","",IF(ISNUMBER($H70),$J70*$H70/'Index Summary'!$C$7,"")),"")</f>
        <v/>
      </c>
      <c r="L70" s="30">
        <f>IFERROR(IF($K70="","",$J70-$K70),"")</f>
        <v/>
      </c>
      <c r="M70" s="31">
        <f>IF($C70="","",IF(NOT(ISNUMBER($G70)),"No dividend",IF($G70=0,"No dividend",IF(ISNUMBER($H70),"OK","Franking n/a"))))</f>
        <v/>
      </c>
    </row>
    <row r="71">
      <c r="A71" s="16" t="n"/>
      <c r="B71" s="16" t="n"/>
      <c r="C71" s="16">
        <f>IF($A71="","",$A71&amp;" Equity")</f>
        <v/>
      </c>
      <c r="D71" s="16">
        <f>IF($A71="","",BDP($C71,"NAME"))</f>
        <v/>
      </c>
      <c r="E71" s="32">
        <f>IF($A71="","",BDP($C71,"EQY_DVD_SH_12M"))</f>
        <v/>
      </c>
      <c r="F71" s="33">
        <f>IF($A71="","",BDP($C71,"EQY_DVD_YLD_12M"))</f>
        <v/>
      </c>
      <c r="G71" s="33">
        <f>IF($A71="","",BDP($C71,"EQY_DVD_YLD_IND"))</f>
        <v/>
      </c>
      <c r="H71" s="33">
        <f>IF($A71="","",BDP($C71,'Field Check'!$C$4))</f>
        <v/>
      </c>
      <c r="I71" s="34">
        <f>IFERROR(IF($B71="","",$B71/$B$3),"")</f>
        <v/>
      </c>
      <c r="J71" s="34">
        <f>IFERROR(IF($I71="","",$I71*IFERROR($G71,0)/100),"")</f>
        <v/>
      </c>
      <c r="K71" s="34">
        <f>IFERROR(IF($J71="","",IF(ISNUMBER($H71),$J71*$H71/'Index Summary'!$C$7,"")),"")</f>
        <v/>
      </c>
      <c r="L71" s="34">
        <f>IFERROR(IF($K71="","",$J71-$K71),"")</f>
        <v/>
      </c>
      <c r="M71" s="35">
        <f>IF($C71="","",IF(NOT(ISNUMBER($G71)),"No dividend",IF($G71=0,"No dividend",IF(ISNUMBER($H71),"OK","Franking n/a"))))</f>
        <v/>
      </c>
    </row>
    <row r="72">
      <c r="A72" s="27" t="n"/>
      <c r="B72" s="27" t="n"/>
      <c r="C72" s="27">
        <f>IF($A72="","",$A72&amp;" Equity")</f>
        <v/>
      </c>
      <c r="D72" s="27">
        <f>IF($A72="","",BDP($C72,"NAME"))</f>
        <v/>
      </c>
      <c r="E72" s="28">
        <f>IF($A72="","",BDP($C72,"EQY_DVD_SH_12M"))</f>
        <v/>
      </c>
      <c r="F72" s="29">
        <f>IF($A72="","",BDP($C72,"EQY_DVD_YLD_12M"))</f>
        <v/>
      </c>
      <c r="G72" s="29">
        <f>IF($A72="","",BDP($C72,"EQY_DVD_YLD_IND"))</f>
        <v/>
      </c>
      <c r="H72" s="29">
        <f>IF($A72="","",BDP($C72,'Field Check'!$C$4))</f>
        <v/>
      </c>
      <c r="I72" s="30">
        <f>IFERROR(IF($B72="","",$B72/$B$3),"")</f>
        <v/>
      </c>
      <c r="J72" s="30">
        <f>IFERROR(IF($I72="","",$I72*IFERROR($G72,0)/100),"")</f>
        <v/>
      </c>
      <c r="K72" s="30">
        <f>IFERROR(IF($J72="","",IF(ISNUMBER($H72),$J72*$H72/'Index Summary'!$C$7,"")),"")</f>
        <v/>
      </c>
      <c r="L72" s="30">
        <f>IFERROR(IF($K72="","",$J72-$K72),"")</f>
        <v/>
      </c>
      <c r="M72" s="31">
        <f>IF($C72="","",IF(NOT(ISNUMBER($G72)),"No dividend",IF($G72=0,"No dividend",IF(ISNUMBER($H72),"OK","Franking n/a"))))</f>
        <v/>
      </c>
    </row>
    <row r="73">
      <c r="A73" s="16" t="n"/>
      <c r="B73" s="16" t="n"/>
      <c r="C73" s="16">
        <f>IF($A73="","",$A73&amp;" Equity")</f>
        <v/>
      </c>
      <c r="D73" s="16">
        <f>IF($A73="","",BDP($C73,"NAME"))</f>
        <v/>
      </c>
      <c r="E73" s="32">
        <f>IF($A73="","",BDP($C73,"EQY_DVD_SH_12M"))</f>
        <v/>
      </c>
      <c r="F73" s="33">
        <f>IF($A73="","",BDP($C73,"EQY_DVD_YLD_12M"))</f>
        <v/>
      </c>
      <c r="G73" s="33">
        <f>IF($A73="","",BDP($C73,"EQY_DVD_YLD_IND"))</f>
        <v/>
      </c>
      <c r="H73" s="33">
        <f>IF($A73="","",BDP($C73,'Field Check'!$C$4))</f>
        <v/>
      </c>
      <c r="I73" s="34">
        <f>IFERROR(IF($B73="","",$B73/$B$3),"")</f>
        <v/>
      </c>
      <c r="J73" s="34">
        <f>IFERROR(IF($I73="","",$I73*IFERROR($G73,0)/100),"")</f>
        <v/>
      </c>
      <c r="K73" s="34">
        <f>IFERROR(IF($J73="","",IF(ISNUMBER($H73),$J73*$H73/'Index Summary'!$C$7,"")),"")</f>
        <v/>
      </c>
      <c r="L73" s="34">
        <f>IFERROR(IF($K73="","",$J73-$K73),"")</f>
        <v/>
      </c>
      <c r="M73" s="35">
        <f>IF($C73="","",IF(NOT(ISNUMBER($G73)),"No dividend",IF($G73=0,"No dividend",IF(ISNUMBER($H73),"OK","Franking n/a"))))</f>
        <v/>
      </c>
    </row>
    <row r="74">
      <c r="A74" s="27" t="n"/>
      <c r="B74" s="27" t="n"/>
      <c r="C74" s="27">
        <f>IF($A74="","",$A74&amp;" Equity")</f>
        <v/>
      </c>
      <c r="D74" s="27">
        <f>IF($A74="","",BDP($C74,"NAME"))</f>
        <v/>
      </c>
      <c r="E74" s="28">
        <f>IF($A74="","",BDP($C74,"EQY_DVD_SH_12M"))</f>
        <v/>
      </c>
      <c r="F74" s="29">
        <f>IF($A74="","",BDP($C74,"EQY_DVD_YLD_12M"))</f>
        <v/>
      </c>
      <c r="G74" s="29">
        <f>IF($A74="","",BDP($C74,"EQY_DVD_YLD_IND"))</f>
        <v/>
      </c>
      <c r="H74" s="29">
        <f>IF($A74="","",BDP($C74,'Field Check'!$C$4))</f>
        <v/>
      </c>
      <c r="I74" s="30">
        <f>IFERROR(IF($B74="","",$B74/$B$3),"")</f>
        <v/>
      </c>
      <c r="J74" s="30">
        <f>IFERROR(IF($I74="","",$I74*IFERROR($G74,0)/100),"")</f>
        <v/>
      </c>
      <c r="K74" s="30">
        <f>IFERROR(IF($J74="","",IF(ISNUMBER($H74),$J74*$H74/'Index Summary'!$C$7,"")),"")</f>
        <v/>
      </c>
      <c r="L74" s="30">
        <f>IFERROR(IF($K74="","",$J74-$K74),"")</f>
        <v/>
      </c>
      <c r="M74" s="31">
        <f>IF($C74="","",IF(NOT(ISNUMBER($G74)),"No dividend",IF($G74=0,"No dividend",IF(ISNUMBER($H74),"OK","Franking n/a"))))</f>
        <v/>
      </c>
    </row>
    <row r="75">
      <c r="A75" s="16" t="n"/>
      <c r="B75" s="16" t="n"/>
      <c r="C75" s="16">
        <f>IF($A75="","",$A75&amp;" Equity")</f>
        <v/>
      </c>
      <c r="D75" s="16">
        <f>IF($A75="","",BDP($C75,"NAME"))</f>
        <v/>
      </c>
      <c r="E75" s="32">
        <f>IF($A75="","",BDP($C75,"EQY_DVD_SH_12M"))</f>
        <v/>
      </c>
      <c r="F75" s="33">
        <f>IF($A75="","",BDP($C75,"EQY_DVD_YLD_12M"))</f>
        <v/>
      </c>
      <c r="G75" s="33">
        <f>IF($A75="","",BDP($C75,"EQY_DVD_YLD_IND"))</f>
        <v/>
      </c>
      <c r="H75" s="33">
        <f>IF($A75="","",BDP($C75,'Field Check'!$C$4))</f>
        <v/>
      </c>
      <c r="I75" s="34">
        <f>IFERROR(IF($B75="","",$B75/$B$3),"")</f>
        <v/>
      </c>
      <c r="J75" s="34">
        <f>IFERROR(IF($I75="","",$I75*IFERROR($G75,0)/100),"")</f>
        <v/>
      </c>
      <c r="K75" s="34">
        <f>IFERROR(IF($J75="","",IF(ISNUMBER($H75),$J75*$H75/'Index Summary'!$C$7,"")),"")</f>
        <v/>
      </c>
      <c r="L75" s="34">
        <f>IFERROR(IF($K75="","",$J75-$K75),"")</f>
        <v/>
      </c>
      <c r="M75" s="35">
        <f>IF($C75="","",IF(NOT(ISNUMBER($G75)),"No dividend",IF($G75=0,"No dividend",IF(ISNUMBER($H75),"OK","Franking n/a"))))</f>
        <v/>
      </c>
    </row>
    <row r="76">
      <c r="A76" s="27" t="n"/>
      <c r="B76" s="27" t="n"/>
      <c r="C76" s="27">
        <f>IF($A76="","",$A76&amp;" Equity")</f>
        <v/>
      </c>
      <c r="D76" s="27">
        <f>IF($A76="","",BDP($C76,"NAME"))</f>
        <v/>
      </c>
      <c r="E76" s="28">
        <f>IF($A76="","",BDP($C76,"EQY_DVD_SH_12M"))</f>
        <v/>
      </c>
      <c r="F76" s="29">
        <f>IF($A76="","",BDP($C76,"EQY_DVD_YLD_12M"))</f>
        <v/>
      </c>
      <c r="G76" s="29">
        <f>IF($A76="","",BDP($C76,"EQY_DVD_YLD_IND"))</f>
        <v/>
      </c>
      <c r="H76" s="29">
        <f>IF($A76="","",BDP($C76,'Field Check'!$C$4))</f>
        <v/>
      </c>
      <c r="I76" s="30">
        <f>IFERROR(IF($B76="","",$B76/$B$3),"")</f>
        <v/>
      </c>
      <c r="J76" s="30">
        <f>IFERROR(IF($I76="","",$I76*IFERROR($G76,0)/100),"")</f>
        <v/>
      </c>
      <c r="K76" s="30">
        <f>IFERROR(IF($J76="","",IF(ISNUMBER($H76),$J76*$H76/'Index Summary'!$C$7,"")),"")</f>
        <v/>
      </c>
      <c r="L76" s="30">
        <f>IFERROR(IF($K76="","",$J76-$K76),"")</f>
        <v/>
      </c>
      <c r="M76" s="31">
        <f>IF($C76="","",IF(NOT(ISNUMBER($G76)),"No dividend",IF($G76=0,"No dividend",IF(ISNUMBER($H76),"OK","Franking n/a"))))</f>
        <v/>
      </c>
    </row>
    <row r="77">
      <c r="A77" s="16" t="n"/>
      <c r="B77" s="16" t="n"/>
      <c r="C77" s="16">
        <f>IF($A77="","",$A77&amp;" Equity")</f>
        <v/>
      </c>
      <c r="D77" s="16">
        <f>IF($A77="","",BDP($C77,"NAME"))</f>
        <v/>
      </c>
      <c r="E77" s="32">
        <f>IF($A77="","",BDP($C77,"EQY_DVD_SH_12M"))</f>
        <v/>
      </c>
      <c r="F77" s="33">
        <f>IF($A77="","",BDP($C77,"EQY_DVD_YLD_12M"))</f>
        <v/>
      </c>
      <c r="G77" s="33">
        <f>IF($A77="","",BDP($C77,"EQY_DVD_YLD_IND"))</f>
        <v/>
      </c>
      <c r="H77" s="33">
        <f>IF($A77="","",BDP($C77,'Field Check'!$C$4))</f>
        <v/>
      </c>
      <c r="I77" s="34">
        <f>IFERROR(IF($B77="","",$B77/$B$3),"")</f>
        <v/>
      </c>
      <c r="J77" s="34">
        <f>IFERROR(IF($I77="","",$I77*IFERROR($G77,0)/100),"")</f>
        <v/>
      </c>
      <c r="K77" s="34">
        <f>IFERROR(IF($J77="","",IF(ISNUMBER($H77),$J77*$H77/'Index Summary'!$C$7,"")),"")</f>
        <v/>
      </c>
      <c r="L77" s="34">
        <f>IFERROR(IF($K77="","",$J77-$K77),"")</f>
        <v/>
      </c>
      <c r="M77" s="35">
        <f>IF($C77="","",IF(NOT(ISNUMBER($G77)),"No dividend",IF($G77=0,"No dividend",IF(ISNUMBER($H77),"OK","Franking n/a"))))</f>
        <v/>
      </c>
    </row>
    <row r="78">
      <c r="A78" s="27" t="n"/>
      <c r="B78" s="27" t="n"/>
      <c r="C78" s="27">
        <f>IF($A78="","",$A78&amp;" Equity")</f>
        <v/>
      </c>
      <c r="D78" s="27">
        <f>IF($A78="","",BDP($C78,"NAME"))</f>
        <v/>
      </c>
      <c r="E78" s="28">
        <f>IF($A78="","",BDP($C78,"EQY_DVD_SH_12M"))</f>
        <v/>
      </c>
      <c r="F78" s="29">
        <f>IF($A78="","",BDP($C78,"EQY_DVD_YLD_12M"))</f>
        <v/>
      </c>
      <c r="G78" s="29">
        <f>IF($A78="","",BDP($C78,"EQY_DVD_YLD_IND"))</f>
        <v/>
      </c>
      <c r="H78" s="29">
        <f>IF($A78="","",BDP($C78,'Field Check'!$C$4))</f>
        <v/>
      </c>
      <c r="I78" s="30">
        <f>IFERROR(IF($B78="","",$B78/$B$3),"")</f>
        <v/>
      </c>
      <c r="J78" s="30">
        <f>IFERROR(IF($I78="","",$I78*IFERROR($G78,0)/100),"")</f>
        <v/>
      </c>
      <c r="K78" s="30">
        <f>IFERROR(IF($J78="","",IF(ISNUMBER($H78),$J78*$H78/'Index Summary'!$C$7,"")),"")</f>
        <v/>
      </c>
      <c r="L78" s="30">
        <f>IFERROR(IF($K78="","",$J78-$K78),"")</f>
        <v/>
      </c>
      <c r="M78" s="31">
        <f>IF($C78="","",IF(NOT(ISNUMBER($G78)),"No dividend",IF($G78=0,"No dividend",IF(ISNUMBER($H78),"OK","Franking n/a"))))</f>
        <v/>
      </c>
    </row>
    <row r="79">
      <c r="A79" s="16" t="n"/>
      <c r="B79" s="16" t="n"/>
      <c r="C79" s="16">
        <f>IF($A79="","",$A79&amp;" Equity")</f>
        <v/>
      </c>
      <c r="D79" s="16">
        <f>IF($A79="","",BDP($C79,"NAME"))</f>
        <v/>
      </c>
      <c r="E79" s="32">
        <f>IF($A79="","",BDP($C79,"EQY_DVD_SH_12M"))</f>
        <v/>
      </c>
      <c r="F79" s="33">
        <f>IF($A79="","",BDP($C79,"EQY_DVD_YLD_12M"))</f>
        <v/>
      </c>
      <c r="G79" s="33">
        <f>IF($A79="","",BDP($C79,"EQY_DVD_YLD_IND"))</f>
        <v/>
      </c>
      <c r="H79" s="33">
        <f>IF($A79="","",BDP($C79,'Field Check'!$C$4))</f>
        <v/>
      </c>
      <c r="I79" s="34">
        <f>IFERROR(IF($B79="","",$B79/$B$3),"")</f>
        <v/>
      </c>
      <c r="J79" s="34">
        <f>IFERROR(IF($I79="","",$I79*IFERROR($G79,0)/100),"")</f>
        <v/>
      </c>
      <c r="K79" s="34">
        <f>IFERROR(IF($J79="","",IF(ISNUMBER($H79),$J79*$H79/'Index Summary'!$C$7,"")),"")</f>
        <v/>
      </c>
      <c r="L79" s="34">
        <f>IFERROR(IF($K79="","",$J79-$K79),"")</f>
        <v/>
      </c>
      <c r="M79" s="35">
        <f>IF($C79="","",IF(NOT(ISNUMBER($G79)),"No dividend",IF($G79=0,"No dividend",IF(ISNUMBER($H79),"OK","Franking n/a"))))</f>
        <v/>
      </c>
    </row>
    <row r="80">
      <c r="A80" s="27" t="n"/>
      <c r="B80" s="27" t="n"/>
      <c r="C80" s="27">
        <f>IF($A80="","",$A80&amp;" Equity")</f>
        <v/>
      </c>
      <c r="D80" s="27">
        <f>IF($A80="","",BDP($C80,"NAME"))</f>
        <v/>
      </c>
      <c r="E80" s="28">
        <f>IF($A80="","",BDP($C80,"EQY_DVD_SH_12M"))</f>
        <v/>
      </c>
      <c r="F80" s="29">
        <f>IF($A80="","",BDP($C80,"EQY_DVD_YLD_12M"))</f>
        <v/>
      </c>
      <c r="G80" s="29">
        <f>IF($A80="","",BDP($C80,"EQY_DVD_YLD_IND"))</f>
        <v/>
      </c>
      <c r="H80" s="29">
        <f>IF($A80="","",BDP($C80,'Field Check'!$C$4))</f>
        <v/>
      </c>
      <c r="I80" s="30">
        <f>IFERROR(IF($B80="","",$B80/$B$3),"")</f>
        <v/>
      </c>
      <c r="J80" s="30">
        <f>IFERROR(IF($I80="","",$I80*IFERROR($G80,0)/100),"")</f>
        <v/>
      </c>
      <c r="K80" s="30">
        <f>IFERROR(IF($J80="","",IF(ISNUMBER($H80),$J80*$H80/'Index Summary'!$C$7,"")),"")</f>
        <v/>
      </c>
      <c r="L80" s="30">
        <f>IFERROR(IF($K80="","",$J80-$K80),"")</f>
        <v/>
      </c>
      <c r="M80" s="31">
        <f>IF($C80="","",IF(NOT(ISNUMBER($G80)),"No dividend",IF($G80=0,"No dividend",IF(ISNUMBER($H80),"OK","Franking n/a"))))</f>
        <v/>
      </c>
    </row>
    <row r="81">
      <c r="A81" s="16" t="n"/>
      <c r="B81" s="16" t="n"/>
      <c r="C81" s="16">
        <f>IF($A81="","",$A81&amp;" Equity")</f>
        <v/>
      </c>
      <c r="D81" s="16">
        <f>IF($A81="","",BDP($C81,"NAME"))</f>
        <v/>
      </c>
      <c r="E81" s="32">
        <f>IF($A81="","",BDP($C81,"EQY_DVD_SH_12M"))</f>
        <v/>
      </c>
      <c r="F81" s="33">
        <f>IF($A81="","",BDP($C81,"EQY_DVD_YLD_12M"))</f>
        <v/>
      </c>
      <c r="G81" s="33">
        <f>IF($A81="","",BDP($C81,"EQY_DVD_YLD_IND"))</f>
        <v/>
      </c>
      <c r="H81" s="33">
        <f>IF($A81="","",BDP($C81,'Field Check'!$C$4))</f>
        <v/>
      </c>
      <c r="I81" s="34">
        <f>IFERROR(IF($B81="","",$B81/$B$3),"")</f>
        <v/>
      </c>
      <c r="J81" s="34">
        <f>IFERROR(IF($I81="","",$I81*IFERROR($G81,0)/100),"")</f>
        <v/>
      </c>
      <c r="K81" s="34">
        <f>IFERROR(IF($J81="","",IF(ISNUMBER($H81),$J81*$H81/'Index Summary'!$C$7,"")),"")</f>
        <v/>
      </c>
      <c r="L81" s="34">
        <f>IFERROR(IF($K81="","",$J81-$K81),"")</f>
        <v/>
      </c>
      <c r="M81" s="35">
        <f>IF($C81="","",IF(NOT(ISNUMBER($G81)),"No dividend",IF($G81=0,"No dividend",IF(ISNUMBER($H81),"OK","Franking n/a"))))</f>
        <v/>
      </c>
    </row>
    <row r="82">
      <c r="A82" s="27" t="n"/>
      <c r="B82" s="27" t="n"/>
      <c r="C82" s="27">
        <f>IF($A82="","",$A82&amp;" Equity")</f>
        <v/>
      </c>
      <c r="D82" s="27">
        <f>IF($A82="","",BDP($C82,"NAME"))</f>
        <v/>
      </c>
      <c r="E82" s="28">
        <f>IF($A82="","",BDP($C82,"EQY_DVD_SH_12M"))</f>
        <v/>
      </c>
      <c r="F82" s="29">
        <f>IF($A82="","",BDP($C82,"EQY_DVD_YLD_12M"))</f>
        <v/>
      </c>
      <c r="G82" s="29">
        <f>IF($A82="","",BDP($C82,"EQY_DVD_YLD_IND"))</f>
        <v/>
      </c>
      <c r="H82" s="29">
        <f>IF($A82="","",BDP($C82,'Field Check'!$C$4))</f>
        <v/>
      </c>
      <c r="I82" s="30">
        <f>IFERROR(IF($B82="","",$B82/$B$3),"")</f>
        <v/>
      </c>
      <c r="J82" s="30">
        <f>IFERROR(IF($I82="","",$I82*IFERROR($G82,0)/100),"")</f>
        <v/>
      </c>
      <c r="K82" s="30">
        <f>IFERROR(IF($J82="","",IF(ISNUMBER($H82),$J82*$H82/'Index Summary'!$C$7,"")),"")</f>
        <v/>
      </c>
      <c r="L82" s="30">
        <f>IFERROR(IF($K82="","",$J82-$K82),"")</f>
        <v/>
      </c>
      <c r="M82" s="31">
        <f>IF($C82="","",IF(NOT(ISNUMBER($G82)),"No dividend",IF($G82=0,"No dividend",IF(ISNUMBER($H82),"OK","Franking n/a"))))</f>
        <v/>
      </c>
    </row>
    <row r="83">
      <c r="A83" s="16" t="n"/>
      <c r="B83" s="16" t="n"/>
      <c r="C83" s="16">
        <f>IF($A83="","",$A83&amp;" Equity")</f>
        <v/>
      </c>
      <c r="D83" s="16">
        <f>IF($A83="","",BDP($C83,"NAME"))</f>
        <v/>
      </c>
      <c r="E83" s="32">
        <f>IF($A83="","",BDP($C83,"EQY_DVD_SH_12M"))</f>
        <v/>
      </c>
      <c r="F83" s="33">
        <f>IF($A83="","",BDP($C83,"EQY_DVD_YLD_12M"))</f>
        <v/>
      </c>
      <c r="G83" s="33">
        <f>IF($A83="","",BDP($C83,"EQY_DVD_YLD_IND"))</f>
        <v/>
      </c>
      <c r="H83" s="33">
        <f>IF($A83="","",BDP($C83,'Field Check'!$C$4))</f>
        <v/>
      </c>
      <c r="I83" s="34">
        <f>IFERROR(IF($B83="","",$B83/$B$3),"")</f>
        <v/>
      </c>
      <c r="J83" s="34">
        <f>IFERROR(IF($I83="","",$I83*IFERROR($G83,0)/100),"")</f>
        <v/>
      </c>
      <c r="K83" s="34">
        <f>IFERROR(IF($J83="","",IF(ISNUMBER($H83),$J83*$H83/'Index Summary'!$C$7,"")),"")</f>
        <v/>
      </c>
      <c r="L83" s="34">
        <f>IFERROR(IF($K83="","",$J83-$K83),"")</f>
        <v/>
      </c>
      <c r="M83" s="35">
        <f>IF($C83="","",IF(NOT(ISNUMBER($G83)),"No dividend",IF($G83=0,"No dividend",IF(ISNUMBER($H83),"OK","Franking n/a"))))</f>
        <v/>
      </c>
    </row>
    <row r="84">
      <c r="A84" s="27" t="n"/>
      <c r="B84" s="27" t="n"/>
      <c r="C84" s="27">
        <f>IF($A84="","",$A84&amp;" Equity")</f>
        <v/>
      </c>
      <c r="D84" s="27">
        <f>IF($A84="","",BDP($C84,"NAME"))</f>
        <v/>
      </c>
      <c r="E84" s="28">
        <f>IF($A84="","",BDP($C84,"EQY_DVD_SH_12M"))</f>
        <v/>
      </c>
      <c r="F84" s="29">
        <f>IF($A84="","",BDP($C84,"EQY_DVD_YLD_12M"))</f>
        <v/>
      </c>
      <c r="G84" s="29">
        <f>IF($A84="","",BDP($C84,"EQY_DVD_YLD_IND"))</f>
        <v/>
      </c>
      <c r="H84" s="29">
        <f>IF($A84="","",BDP($C84,'Field Check'!$C$4))</f>
        <v/>
      </c>
      <c r="I84" s="30">
        <f>IFERROR(IF($B84="","",$B84/$B$3),"")</f>
        <v/>
      </c>
      <c r="J84" s="30">
        <f>IFERROR(IF($I84="","",$I84*IFERROR($G84,0)/100),"")</f>
        <v/>
      </c>
      <c r="K84" s="30">
        <f>IFERROR(IF($J84="","",IF(ISNUMBER($H84),$J84*$H84/'Index Summary'!$C$7,"")),"")</f>
        <v/>
      </c>
      <c r="L84" s="30">
        <f>IFERROR(IF($K84="","",$J84-$K84),"")</f>
        <v/>
      </c>
      <c r="M84" s="31">
        <f>IF($C84="","",IF(NOT(ISNUMBER($G84)),"No dividend",IF($G84=0,"No dividend",IF(ISNUMBER($H84),"OK","Franking n/a"))))</f>
        <v/>
      </c>
    </row>
    <row r="85">
      <c r="A85" s="16" t="n"/>
      <c r="B85" s="16" t="n"/>
      <c r="C85" s="16">
        <f>IF($A85="","",$A85&amp;" Equity")</f>
        <v/>
      </c>
      <c r="D85" s="16">
        <f>IF($A85="","",BDP($C85,"NAME"))</f>
        <v/>
      </c>
      <c r="E85" s="32">
        <f>IF($A85="","",BDP($C85,"EQY_DVD_SH_12M"))</f>
        <v/>
      </c>
      <c r="F85" s="33">
        <f>IF($A85="","",BDP($C85,"EQY_DVD_YLD_12M"))</f>
        <v/>
      </c>
      <c r="G85" s="33">
        <f>IF($A85="","",BDP($C85,"EQY_DVD_YLD_IND"))</f>
        <v/>
      </c>
      <c r="H85" s="33">
        <f>IF($A85="","",BDP($C85,'Field Check'!$C$4))</f>
        <v/>
      </c>
      <c r="I85" s="34">
        <f>IFERROR(IF($B85="","",$B85/$B$3),"")</f>
        <v/>
      </c>
      <c r="J85" s="34">
        <f>IFERROR(IF($I85="","",$I85*IFERROR($G85,0)/100),"")</f>
        <v/>
      </c>
      <c r="K85" s="34">
        <f>IFERROR(IF($J85="","",IF(ISNUMBER($H85),$J85*$H85/'Index Summary'!$C$7,"")),"")</f>
        <v/>
      </c>
      <c r="L85" s="34">
        <f>IFERROR(IF($K85="","",$J85-$K85),"")</f>
        <v/>
      </c>
      <c r="M85" s="35">
        <f>IF($C85="","",IF(NOT(ISNUMBER($G85)),"No dividend",IF($G85=0,"No dividend",IF(ISNUMBER($H85),"OK","Franking n/a"))))</f>
        <v/>
      </c>
    </row>
    <row r="86">
      <c r="A86" s="27" t="n"/>
      <c r="B86" s="27" t="n"/>
      <c r="C86" s="27">
        <f>IF($A86="","",$A86&amp;" Equity")</f>
        <v/>
      </c>
      <c r="D86" s="27">
        <f>IF($A86="","",BDP($C86,"NAME"))</f>
        <v/>
      </c>
      <c r="E86" s="28">
        <f>IF($A86="","",BDP($C86,"EQY_DVD_SH_12M"))</f>
        <v/>
      </c>
      <c r="F86" s="29">
        <f>IF($A86="","",BDP($C86,"EQY_DVD_YLD_12M"))</f>
        <v/>
      </c>
      <c r="G86" s="29">
        <f>IF($A86="","",BDP($C86,"EQY_DVD_YLD_IND"))</f>
        <v/>
      </c>
      <c r="H86" s="29">
        <f>IF($A86="","",BDP($C86,'Field Check'!$C$4))</f>
        <v/>
      </c>
      <c r="I86" s="30">
        <f>IFERROR(IF($B86="","",$B86/$B$3),"")</f>
        <v/>
      </c>
      <c r="J86" s="30">
        <f>IFERROR(IF($I86="","",$I86*IFERROR($G86,0)/100),"")</f>
        <v/>
      </c>
      <c r="K86" s="30">
        <f>IFERROR(IF($J86="","",IF(ISNUMBER($H86),$J86*$H86/'Index Summary'!$C$7,"")),"")</f>
        <v/>
      </c>
      <c r="L86" s="30">
        <f>IFERROR(IF($K86="","",$J86-$K86),"")</f>
        <v/>
      </c>
      <c r="M86" s="31">
        <f>IF($C86="","",IF(NOT(ISNUMBER($G86)),"No dividend",IF($G86=0,"No dividend",IF(ISNUMBER($H86),"OK","Franking n/a"))))</f>
        <v/>
      </c>
    </row>
    <row r="87">
      <c r="A87" s="16" t="n"/>
      <c r="B87" s="16" t="n"/>
      <c r="C87" s="16">
        <f>IF($A87="","",$A87&amp;" Equity")</f>
        <v/>
      </c>
      <c r="D87" s="16">
        <f>IF($A87="","",BDP($C87,"NAME"))</f>
        <v/>
      </c>
      <c r="E87" s="32">
        <f>IF($A87="","",BDP($C87,"EQY_DVD_SH_12M"))</f>
        <v/>
      </c>
      <c r="F87" s="33">
        <f>IF($A87="","",BDP($C87,"EQY_DVD_YLD_12M"))</f>
        <v/>
      </c>
      <c r="G87" s="33">
        <f>IF($A87="","",BDP($C87,"EQY_DVD_YLD_IND"))</f>
        <v/>
      </c>
      <c r="H87" s="33">
        <f>IF($A87="","",BDP($C87,'Field Check'!$C$4))</f>
        <v/>
      </c>
      <c r="I87" s="34">
        <f>IFERROR(IF($B87="","",$B87/$B$3),"")</f>
        <v/>
      </c>
      <c r="J87" s="34">
        <f>IFERROR(IF($I87="","",$I87*IFERROR($G87,0)/100),"")</f>
        <v/>
      </c>
      <c r="K87" s="34">
        <f>IFERROR(IF($J87="","",IF(ISNUMBER($H87),$J87*$H87/'Index Summary'!$C$7,"")),"")</f>
        <v/>
      </c>
      <c r="L87" s="34">
        <f>IFERROR(IF($K87="","",$J87-$K87),"")</f>
        <v/>
      </c>
      <c r="M87" s="35">
        <f>IF($C87="","",IF(NOT(ISNUMBER($G87)),"No dividend",IF($G87=0,"No dividend",IF(ISNUMBER($H87),"OK","Franking n/a"))))</f>
        <v/>
      </c>
    </row>
    <row r="88">
      <c r="A88" s="27" t="n"/>
      <c r="B88" s="27" t="n"/>
      <c r="C88" s="27">
        <f>IF($A88="","",$A88&amp;" Equity")</f>
        <v/>
      </c>
      <c r="D88" s="27">
        <f>IF($A88="","",BDP($C88,"NAME"))</f>
        <v/>
      </c>
      <c r="E88" s="28">
        <f>IF($A88="","",BDP($C88,"EQY_DVD_SH_12M"))</f>
        <v/>
      </c>
      <c r="F88" s="29">
        <f>IF($A88="","",BDP($C88,"EQY_DVD_YLD_12M"))</f>
        <v/>
      </c>
      <c r="G88" s="29">
        <f>IF($A88="","",BDP($C88,"EQY_DVD_YLD_IND"))</f>
        <v/>
      </c>
      <c r="H88" s="29">
        <f>IF($A88="","",BDP($C88,'Field Check'!$C$4))</f>
        <v/>
      </c>
      <c r="I88" s="30">
        <f>IFERROR(IF($B88="","",$B88/$B$3),"")</f>
        <v/>
      </c>
      <c r="J88" s="30">
        <f>IFERROR(IF($I88="","",$I88*IFERROR($G88,0)/100),"")</f>
        <v/>
      </c>
      <c r="K88" s="30">
        <f>IFERROR(IF($J88="","",IF(ISNUMBER($H88),$J88*$H88/'Index Summary'!$C$7,"")),"")</f>
        <v/>
      </c>
      <c r="L88" s="30">
        <f>IFERROR(IF($K88="","",$J88-$K88),"")</f>
        <v/>
      </c>
      <c r="M88" s="31">
        <f>IF($C88="","",IF(NOT(ISNUMBER($G88)),"No dividend",IF($G88=0,"No dividend",IF(ISNUMBER($H88),"OK","Franking n/a"))))</f>
        <v/>
      </c>
    </row>
    <row r="89">
      <c r="A89" s="16" t="n"/>
      <c r="B89" s="16" t="n"/>
      <c r="C89" s="16">
        <f>IF($A89="","",$A89&amp;" Equity")</f>
        <v/>
      </c>
      <c r="D89" s="16">
        <f>IF($A89="","",BDP($C89,"NAME"))</f>
        <v/>
      </c>
      <c r="E89" s="32">
        <f>IF($A89="","",BDP($C89,"EQY_DVD_SH_12M"))</f>
        <v/>
      </c>
      <c r="F89" s="33">
        <f>IF($A89="","",BDP($C89,"EQY_DVD_YLD_12M"))</f>
        <v/>
      </c>
      <c r="G89" s="33">
        <f>IF($A89="","",BDP($C89,"EQY_DVD_YLD_IND"))</f>
        <v/>
      </c>
      <c r="H89" s="33">
        <f>IF($A89="","",BDP($C89,'Field Check'!$C$4))</f>
        <v/>
      </c>
      <c r="I89" s="34">
        <f>IFERROR(IF($B89="","",$B89/$B$3),"")</f>
        <v/>
      </c>
      <c r="J89" s="34">
        <f>IFERROR(IF($I89="","",$I89*IFERROR($G89,0)/100),"")</f>
        <v/>
      </c>
      <c r="K89" s="34">
        <f>IFERROR(IF($J89="","",IF(ISNUMBER($H89),$J89*$H89/'Index Summary'!$C$7,"")),"")</f>
        <v/>
      </c>
      <c r="L89" s="34">
        <f>IFERROR(IF($K89="","",$J89-$K89),"")</f>
        <v/>
      </c>
      <c r="M89" s="35">
        <f>IF($C89="","",IF(NOT(ISNUMBER($G89)),"No dividend",IF($G89=0,"No dividend",IF(ISNUMBER($H89),"OK","Franking n/a"))))</f>
        <v/>
      </c>
    </row>
    <row r="90">
      <c r="A90" s="27" t="n"/>
      <c r="B90" s="27" t="n"/>
      <c r="C90" s="27">
        <f>IF($A90="","",$A90&amp;" Equity")</f>
        <v/>
      </c>
      <c r="D90" s="27">
        <f>IF($A90="","",BDP($C90,"NAME"))</f>
        <v/>
      </c>
      <c r="E90" s="28">
        <f>IF($A90="","",BDP($C90,"EQY_DVD_SH_12M"))</f>
        <v/>
      </c>
      <c r="F90" s="29">
        <f>IF($A90="","",BDP($C90,"EQY_DVD_YLD_12M"))</f>
        <v/>
      </c>
      <c r="G90" s="29">
        <f>IF($A90="","",BDP($C90,"EQY_DVD_YLD_IND"))</f>
        <v/>
      </c>
      <c r="H90" s="29">
        <f>IF($A90="","",BDP($C90,'Field Check'!$C$4))</f>
        <v/>
      </c>
      <c r="I90" s="30">
        <f>IFERROR(IF($B90="","",$B90/$B$3),"")</f>
        <v/>
      </c>
      <c r="J90" s="30">
        <f>IFERROR(IF($I90="","",$I90*IFERROR($G90,0)/100),"")</f>
        <v/>
      </c>
      <c r="K90" s="30">
        <f>IFERROR(IF($J90="","",IF(ISNUMBER($H90),$J90*$H90/'Index Summary'!$C$7,"")),"")</f>
        <v/>
      </c>
      <c r="L90" s="30">
        <f>IFERROR(IF($K90="","",$J90-$K90),"")</f>
        <v/>
      </c>
      <c r="M90" s="31">
        <f>IF($C90="","",IF(NOT(ISNUMBER($G90)),"No dividend",IF($G90=0,"No dividend",IF(ISNUMBER($H90),"OK","Franking n/a"))))</f>
        <v/>
      </c>
    </row>
    <row r="91">
      <c r="A91" s="16" t="n"/>
      <c r="B91" s="16" t="n"/>
      <c r="C91" s="16">
        <f>IF($A91="","",$A91&amp;" Equity")</f>
        <v/>
      </c>
      <c r="D91" s="16">
        <f>IF($A91="","",BDP($C91,"NAME"))</f>
        <v/>
      </c>
      <c r="E91" s="32">
        <f>IF($A91="","",BDP($C91,"EQY_DVD_SH_12M"))</f>
        <v/>
      </c>
      <c r="F91" s="33">
        <f>IF($A91="","",BDP($C91,"EQY_DVD_YLD_12M"))</f>
        <v/>
      </c>
      <c r="G91" s="33">
        <f>IF($A91="","",BDP($C91,"EQY_DVD_YLD_IND"))</f>
        <v/>
      </c>
      <c r="H91" s="33">
        <f>IF($A91="","",BDP($C91,'Field Check'!$C$4))</f>
        <v/>
      </c>
      <c r="I91" s="34">
        <f>IFERROR(IF($B91="","",$B91/$B$3),"")</f>
        <v/>
      </c>
      <c r="J91" s="34">
        <f>IFERROR(IF($I91="","",$I91*IFERROR($G91,0)/100),"")</f>
        <v/>
      </c>
      <c r="K91" s="34">
        <f>IFERROR(IF($J91="","",IF(ISNUMBER($H91),$J91*$H91/'Index Summary'!$C$7,"")),"")</f>
        <v/>
      </c>
      <c r="L91" s="34">
        <f>IFERROR(IF($K91="","",$J91-$K91),"")</f>
        <v/>
      </c>
      <c r="M91" s="35">
        <f>IF($C91="","",IF(NOT(ISNUMBER($G91)),"No dividend",IF($G91=0,"No dividend",IF(ISNUMBER($H91),"OK","Franking n/a"))))</f>
        <v/>
      </c>
    </row>
    <row r="92">
      <c r="A92" s="27" t="n"/>
      <c r="B92" s="27" t="n"/>
      <c r="C92" s="27">
        <f>IF($A92="","",$A92&amp;" Equity")</f>
        <v/>
      </c>
      <c r="D92" s="27">
        <f>IF($A92="","",BDP($C92,"NAME"))</f>
        <v/>
      </c>
      <c r="E92" s="28">
        <f>IF($A92="","",BDP($C92,"EQY_DVD_SH_12M"))</f>
        <v/>
      </c>
      <c r="F92" s="29">
        <f>IF($A92="","",BDP($C92,"EQY_DVD_YLD_12M"))</f>
        <v/>
      </c>
      <c r="G92" s="29">
        <f>IF($A92="","",BDP($C92,"EQY_DVD_YLD_IND"))</f>
        <v/>
      </c>
      <c r="H92" s="29">
        <f>IF($A92="","",BDP($C92,'Field Check'!$C$4))</f>
        <v/>
      </c>
      <c r="I92" s="30">
        <f>IFERROR(IF($B92="","",$B92/$B$3),"")</f>
        <v/>
      </c>
      <c r="J92" s="30">
        <f>IFERROR(IF($I92="","",$I92*IFERROR($G92,0)/100),"")</f>
        <v/>
      </c>
      <c r="K92" s="30">
        <f>IFERROR(IF($J92="","",IF(ISNUMBER($H92),$J92*$H92/'Index Summary'!$C$7,"")),"")</f>
        <v/>
      </c>
      <c r="L92" s="30">
        <f>IFERROR(IF($K92="","",$J92-$K92),"")</f>
        <v/>
      </c>
      <c r="M92" s="31">
        <f>IF($C92="","",IF(NOT(ISNUMBER($G92)),"No dividend",IF($G92=0,"No dividend",IF(ISNUMBER($H92),"OK","Franking n/a"))))</f>
        <v/>
      </c>
    </row>
    <row r="93">
      <c r="A93" s="16" t="n"/>
      <c r="B93" s="16" t="n"/>
      <c r="C93" s="16">
        <f>IF($A93="","",$A93&amp;" Equity")</f>
        <v/>
      </c>
      <c r="D93" s="16">
        <f>IF($A93="","",BDP($C93,"NAME"))</f>
        <v/>
      </c>
      <c r="E93" s="32">
        <f>IF($A93="","",BDP($C93,"EQY_DVD_SH_12M"))</f>
        <v/>
      </c>
      <c r="F93" s="33">
        <f>IF($A93="","",BDP($C93,"EQY_DVD_YLD_12M"))</f>
        <v/>
      </c>
      <c r="G93" s="33">
        <f>IF($A93="","",BDP($C93,"EQY_DVD_YLD_IND"))</f>
        <v/>
      </c>
      <c r="H93" s="33">
        <f>IF($A93="","",BDP($C93,'Field Check'!$C$4))</f>
        <v/>
      </c>
      <c r="I93" s="34">
        <f>IFERROR(IF($B93="","",$B93/$B$3),"")</f>
        <v/>
      </c>
      <c r="J93" s="34">
        <f>IFERROR(IF($I93="","",$I93*IFERROR($G93,0)/100),"")</f>
        <v/>
      </c>
      <c r="K93" s="34">
        <f>IFERROR(IF($J93="","",IF(ISNUMBER($H93),$J93*$H93/'Index Summary'!$C$7,"")),"")</f>
        <v/>
      </c>
      <c r="L93" s="34">
        <f>IFERROR(IF($K93="","",$J93-$K93),"")</f>
        <v/>
      </c>
      <c r="M93" s="35">
        <f>IF($C93="","",IF(NOT(ISNUMBER($G93)),"No dividend",IF($G93=0,"No dividend",IF(ISNUMBER($H93),"OK","Franking n/a"))))</f>
        <v/>
      </c>
    </row>
    <row r="94">
      <c r="A94" s="27" t="n"/>
      <c r="B94" s="27" t="n"/>
      <c r="C94" s="27">
        <f>IF($A94="","",$A94&amp;" Equity")</f>
        <v/>
      </c>
      <c r="D94" s="27">
        <f>IF($A94="","",BDP($C94,"NAME"))</f>
        <v/>
      </c>
      <c r="E94" s="28">
        <f>IF($A94="","",BDP($C94,"EQY_DVD_SH_12M"))</f>
        <v/>
      </c>
      <c r="F94" s="29">
        <f>IF($A94="","",BDP($C94,"EQY_DVD_YLD_12M"))</f>
        <v/>
      </c>
      <c r="G94" s="29">
        <f>IF($A94="","",BDP($C94,"EQY_DVD_YLD_IND"))</f>
        <v/>
      </c>
      <c r="H94" s="29">
        <f>IF($A94="","",BDP($C94,'Field Check'!$C$4))</f>
        <v/>
      </c>
      <c r="I94" s="30">
        <f>IFERROR(IF($B94="","",$B94/$B$3),"")</f>
        <v/>
      </c>
      <c r="J94" s="30">
        <f>IFERROR(IF($I94="","",$I94*IFERROR($G94,0)/100),"")</f>
        <v/>
      </c>
      <c r="K94" s="30">
        <f>IFERROR(IF($J94="","",IF(ISNUMBER($H94),$J94*$H94/'Index Summary'!$C$7,"")),"")</f>
        <v/>
      </c>
      <c r="L94" s="30">
        <f>IFERROR(IF($K94="","",$J94-$K94),"")</f>
        <v/>
      </c>
      <c r="M94" s="31">
        <f>IF($C94="","",IF(NOT(ISNUMBER($G94)),"No dividend",IF($G94=0,"No dividend",IF(ISNUMBER($H94),"OK","Franking n/a"))))</f>
        <v/>
      </c>
    </row>
    <row r="95">
      <c r="A95" s="16" t="n"/>
      <c r="B95" s="16" t="n"/>
      <c r="C95" s="16">
        <f>IF($A95="","",$A95&amp;" Equity")</f>
        <v/>
      </c>
      <c r="D95" s="16">
        <f>IF($A95="","",BDP($C95,"NAME"))</f>
        <v/>
      </c>
      <c r="E95" s="32">
        <f>IF($A95="","",BDP($C95,"EQY_DVD_SH_12M"))</f>
        <v/>
      </c>
      <c r="F95" s="33">
        <f>IF($A95="","",BDP($C95,"EQY_DVD_YLD_12M"))</f>
        <v/>
      </c>
      <c r="G95" s="33">
        <f>IF($A95="","",BDP($C95,"EQY_DVD_YLD_IND"))</f>
        <v/>
      </c>
      <c r="H95" s="33">
        <f>IF($A95="","",BDP($C95,'Field Check'!$C$4))</f>
        <v/>
      </c>
      <c r="I95" s="34">
        <f>IFERROR(IF($B95="","",$B95/$B$3),"")</f>
        <v/>
      </c>
      <c r="J95" s="34">
        <f>IFERROR(IF($I95="","",$I95*IFERROR($G95,0)/100),"")</f>
        <v/>
      </c>
      <c r="K95" s="34">
        <f>IFERROR(IF($J95="","",IF(ISNUMBER($H95),$J95*$H95/'Index Summary'!$C$7,"")),"")</f>
        <v/>
      </c>
      <c r="L95" s="34">
        <f>IFERROR(IF($K95="","",$J95-$K95),"")</f>
        <v/>
      </c>
      <c r="M95" s="35">
        <f>IF($C95="","",IF(NOT(ISNUMBER($G95)),"No dividend",IF($G95=0,"No dividend",IF(ISNUMBER($H95),"OK","Franking n/a"))))</f>
        <v/>
      </c>
    </row>
    <row r="96">
      <c r="A96" s="27" t="n"/>
      <c r="B96" s="27" t="n"/>
      <c r="C96" s="27">
        <f>IF($A96="","",$A96&amp;" Equity")</f>
        <v/>
      </c>
      <c r="D96" s="27">
        <f>IF($A96="","",BDP($C96,"NAME"))</f>
        <v/>
      </c>
      <c r="E96" s="28">
        <f>IF($A96="","",BDP($C96,"EQY_DVD_SH_12M"))</f>
        <v/>
      </c>
      <c r="F96" s="29">
        <f>IF($A96="","",BDP($C96,"EQY_DVD_YLD_12M"))</f>
        <v/>
      </c>
      <c r="G96" s="29">
        <f>IF($A96="","",BDP($C96,"EQY_DVD_YLD_IND"))</f>
        <v/>
      </c>
      <c r="H96" s="29">
        <f>IF($A96="","",BDP($C96,'Field Check'!$C$4))</f>
        <v/>
      </c>
      <c r="I96" s="30">
        <f>IFERROR(IF($B96="","",$B96/$B$3),"")</f>
        <v/>
      </c>
      <c r="J96" s="30">
        <f>IFERROR(IF($I96="","",$I96*IFERROR($G96,0)/100),"")</f>
        <v/>
      </c>
      <c r="K96" s="30">
        <f>IFERROR(IF($J96="","",IF(ISNUMBER($H96),$J96*$H96/'Index Summary'!$C$7,"")),"")</f>
        <v/>
      </c>
      <c r="L96" s="30">
        <f>IFERROR(IF($K96="","",$J96-$K96),"")</f>
        <v/>
      </c>
      <c r="M96" s="31">
        <f>IF($C96="","",IF(NOT(ISNUMBER($G96)),"No dividend",IF($G96=0,"No dividend",IF(ISNUMBER($H96),"OK","Franking n/a"))))</f>
        <v/>
      </c>
    </row>
    <row r="97">
      <c r="A97" s="16" t="n"/>
      <c r="B97" s="16" t="n"/>
      <c r="C97" s="16">
        <f>IF($A97="","",$A97&amp;" Equity")</f>
        <v/>
      </c>
      <c r="D97" s="16">
        <f>IF($A97="","",BDP($C97,"NAME"))</f>
        <v/>
      </c>
      <c r="E97" s="32">
        <f>IF($A97="","",BDP($C97,"EQY_DVD_SH_12M"))</f>
        <v/>
      </c>
      <c r="F97" s="33">
        <f>IF($A97="","",BDP($C97,"EQY_DVD_YLD_12M"))</f>
        <v/>
      </c>
      <c r="G97" s="33">
        <f>IF($A97="","",BDP($C97,"EQY_DVD_YLD_IND"))</f>
        <v/>
      </c>
      <c r="H97" s="33">
        <f>IF($A97="","",BDP($C97,'Field Check'!$C$4))</f>
        <v/>
      </c>
      <c r="I97" s="34">
        <f>IFERROR(IF($B97="","",$B97/$B$3),"")</f>
        <v/>
      </c>
      <c r="J97" s="34">
        <f>IFERROR(IF($I97="","",$I97*IFERROR($G97,0)/100),"")</f>
        <v/>
      </c>
      <c r="K97" s="34">
        <f>IFERROR(IF($J97="","",IF(ISNUMBER($H97),$J97*$H97/'Index Summary'!$C$7,"")),"")</f>
        <v/>
      </c>
      <c r="L97" s="34">
        <f>IFERROR(IF($K97="","",$J97-$K97),"")</f>
        <v/>
      </c>
      <c r="M97" s="35">
        <f>IF($C97="","",IF(NOT(ISNUMBER($G97)),"No dividend",IF($G97=0,"No dividend",IF(ISNUMBER($H97),"OK","Franking n/a"))))</f>
        <v/>
      </c>
    </row>
    <row r="98">
      <c r="A98" s="27" t="n"/>
      <c r="B98" s="27" t="n"/>
      <c r="C98" s="27">
        <f>IF($A98="","",$A98&amp;" Equity")</f>
        <v/>
      </c>
      <c r="D98" s="27">
        <f>IF($A98="","",BDP($C98,"NAME"))</f>
        <v/>
      </c>
      <c r="E98" s="28">
        <f>IF($A98="","",BDP($C98,"EQY_DVD_SH_12M"))</f>
        <v/>
      </c>
      <c r="F98" s="29">
        <f>IF($A98="","",BDP($C98,"EQY_DVD_YLD_12M"))</f>
        <v/>
      </c>
      <c r="G98" s="29">
        <f>IF($A98="","",BDP($C98,"EQY_DVD_YLD_IND"))</f>
        <v/>
      </c>
      <c r="H98" s="29">
        <f>IF($A98="","",BDP($C98,'Field Check'!$C$4))</f>
        <v/>
      </c>
      <c r="I98" s="30">
        <f>IFERROR(IF($B98="","",$B98/$B$3),"")</f>
        <v/>
      </c>
      <c r="J98" s="30">
        <f>IFERROR(IF($I98="","",$I98*IFERROR($G98,0)/100),"")</f>
        <v/>
      </c>
      <c r="K98" s="30">
        <f>IFERROR(IF($J98="","",IF(ISNUMBER($H98),$J98*$H98/'Index Summary'!$C$7,"")),"")</f>
        <v/>
      </c>
      <c r="L98" s="30">
        <f>IFERROR(IF($K98="","",$J98-$K98),"")</f>
        <v/>
      </c>
      <c r="M98" s="31">
        <f>IF($C98="","",IF(NOT(ISNUMBER($G98)),"No dividend",IF($G98=0,"No dividend",IF(ISNUMBER($H98),"OK","Franking n/a"))))</f>
        <v/>
      </c>
    </row>
    <row r="99">
      <c r="A99" s="16" t="n"/>
      <c r="B99" s="16" t="n"/>
      <c r="C99" s="16">
        <f>IF($A99="","",$A99&amp;" Equity")</f>
        <v/>
      </c>
      <c r="D99" s="16">
        <f>IF($A99="","",BDP($C99,"NAME"))</f>
        <v/>
      </c>
      <c r="E99" s="32">
        <f>IF($A99="","",BDP($C99,"EQY_DVD_SH_12M"))</f>
        <v/>
      </c>
      <c r="F99" s="33">
        <f>IF($A99="","",BDP($C99,"EQY_DVD_YLD_12M"))</f>
        <v/>
      </c>
      <c r="G99" s="33">
        <f>IF($A99="","",BDP($C99,"EQY_DVD_YLD_IND"))</f>
        <v/>
      </c>
      <c r="H99" s="33">
        <f>IF($A99="","",BDP($C99,'Field Check'!$C$4))</f>
        <v/>
      </c>
      <c r="I99" s="34">
        <f>IFERROR(IF($B99="","",$B99/$B$3),"")</f>
        <v/>
      </c>
      <c r="J99" s="34">
        <f>IFERROR(IF($I99="","",$I99*IFERROR($G99,0)/100),"")</f>
        <v/>
      </c>
      <c r="K99" s="34">
        <f>IFERROR(IF($J99="","",IF(ISNUMBER($H99),$J99*$H99/'Index Summary'!$C$7,"")),"")</f>
        <v/>
      </c>
      <c r="L99" s="34">
        <f>IFERROR(IF($K99="","",$J99-$K99),"")</f>
        <v/>
      </c>
      <c r="M99" s="35">
        <f>IF($C99="","",IF(NOT(ISNUMBER($G99)),"No dividend",IF($G99=0,"No dividend",IF(ISNUMBER($H99),"OK","Franking n/a"))))</f>
        <v/>
      </c>
    </row>
    <row r="100">
      <c r="A100" s="27" t="n"/>
      <c r="B100" s="27" t="n"/>
      <c r="C100" s="27">
        <f>IF($A100="","",$A100&amp;" Equity")</f>
        <v/>
      </c>
      <c r="D100" s="27">
        <f>IF($A100="","",BDP($C100,"NAME"))</f>
        <v/>
      </c>
      <c r="E100" s="28">
        <f>IF($A100="","",BDP($C100,"EQY_DVD_SH_12M"))</f>
        <v/>
      </c>
      <c r="F100" s="29">
        <f>IF($A100="","",BDP($C100,"EQY_DVD_YLD_12M"))</f>
        <v/>
      </c>
      <c r="G100" s="29">
        <f>IF($A100="","",BDP($C100,"EQY_DVD_YLD_IND"))</f>
        <v/>
      </c>
      <c r="H100" s="29">
        <f>IF($A100="","",BDP($C100,'Field Check'!$C$4))</f>
        <v/>
      </c>
      <c r="I100" s="30">
        <f>IFERROR(IF($B100="","",$B100/$B$3),"")</f>
        <v/>
      </c>
      <c r="J100" s="30">
        <f>IFERROR(IF($I100="","",$I100*IFERROR($G100,0)/100),"")</f>
        <v/>
      </c>
      <c r="K100" s="30">
        <f>IFERROR(IF($J100="","",IF(ISNUMBER($H100),$J100*$H100/'Index Summary'!$C$7,"")),"")</f>
        <v/>
      </c>
      <c r="L100" s="30">
        <f>IFERROR(IF($K100="","",$J100-$K100),"")</f>
        <v/>
      </c>
      <c r="M100" s="31">
        <f>IF($C100="","",IF(NOT(ISNUMBER($G100)),"No dividend",IF($G100=0,"No dividend",IF(ISNUMBER($H100),"OK","Franking n/a"))))</f>
        <v/>
      </c>
    </row>
    <row r="101">
      <c r="A101" s="16" t="n"/>
      <c r="B101" s="16" t="n"/>
      <c r="C101" s="16">
        <f>IF($A101="","",$A101&amp;" Equity")</f>
        <v/>
      </c>
      <c r="D101" s="16">
        <f>IF($A101="","",BDP($C101,"NAME"))</f>
        <v/>
      </c>
      <c r="E101" s="32">
        <f>IF($A101="","",BDP($C101,"EQY_DVD_SH_12M"))</f>
        <v/>
      </c>
      <c r="F101" s="33">
        <f>IF($A101="","",BDP($C101,"EQY_DVD_YLD_12M"))</f>
        <v/>
      </c>
      <c r="G101" s="33">
        <f>IF($A101="","",BDP($C101,"EQY_DVD_YLD_IND"))</f>
        <v/>
      </c>
      <c r="H101" s="33">
        <f>IF($A101="","",BDP($C101,'Field Check'!$C$4))</f>
        <v/>
      </c>
      <c r="I101" s="34">
        <f>IFERROR(IF($B101="","",$B101/$B$3),"")</f>
        <v/>
      </c>
      <c r="J101" s="34">
        <f>IFERROR(IF($I101="","",$I101*IFERROR($G101,0)/100),"")</f>
        <v/>
      </c>
      <c r="K101" s="34">
        <f>IFERROR(IF($J101="","",IF(ISNUMBER($H101),$J101*$H101/'Index Summary'!$C$7,"")),"")</f>
        <v/>
      </c>
      <c r="L101" s="34">
        <f>IFERROR(IF($K101="","",$J101-$K101),"")</f>
        <v/>
      </c>
      <c r="M101" s="35">
        <f>IF($C101="","",IF(NOT(ISNUMBER($G101)),"No dividend",IF($G101=0,"No dividend",IF(ISNUMBER($H101),"OK","Franking n/a"))))</f>
        <v/>
      </c>
    </row>
    <row r="102">
      <c r="A102" s="27" t="n"/>
      <c r="B102" s="27" t="n"/>
      <c r="C102" s="27">
        <f>IF($A102="","",$A102&amp;" Equity")</f>
        <v/>
      </c>
      <c r="D102" s="27">
        <f>IF($A102="","",BDP($C102,"NAME"))</f>
        <v/>
      </c>
      <c r="E102" s="28">
        <f>IF($A102="","",BDP($C102,"EQY_DVD_SH_12M"))</f>
        <v/>
      </c>
      <c r="F102" s="29">
        <f>IF($A102="","",BDP($C102,"EQY_DVD_YLD_12M"))</f>
        <v/>
      </c>
      <c r="G102" s="29">
        <f>IF($A102="","",BDP($C102,"EQY_DVD_YLD_IND"))</f>
        <v/>
      </c>
      <c r="H102" s="29">
        <f>IF($A102="","",BDP($C102,'Field Check'!$C$4))</f>
        <v/>
      </c>
      <c r="I102" s="30">
        <f>IFERROR(IF($B102="","",$B102/$B$3),"")</f>
        <v/>
      </c>
      <c r="J102" s="30">
        <f>IFERROR(IF($I102="","",$I102*IFERROR($G102,0)/100),"")</f>
        <v/>
      </c>
      <c r="K102" s="30">
        <f>IFERROR(IF($J102="","",IF(ISNUMBER($H102),$J102*$H102/'Index Summary'!$C$7,"")),"")</f>
        <v/>
      </c>
      <c r="L102" s="30">
        <f>IFERROR(IF($K102="","",$J102-$K102),"")</f>
        <v/>
      </c>
      <c r="M102" s="31">
        <f>IF($C102="","",IF(NOT(ISNUMBER($G102)),"No dividend",IF($G102=0,"No dividend",IF(ISNUMBER($H102),"OK","Franking n/a"))))</f>
        <v/>
      </c>
    </row>
    <row r="103">
      <c r="A103" s="16" t="n"/>
      <c r="B103" s="16" t="n"/>
      <c r="C103" s="16">
        <f>IF($A103="","",$A103&amp;" Equity")</f>
        <v/>
      </c>
      <c r="D103" s="16">
        <f>IF($A103="","",BDP($C103,"NAME"))</f>
        <v/>
      </c>
      <c r="E103" s="32">
        <f>IF($A103="","",BDP($C103,"EQY_DVD_SH_12M"))</f>
        <v/>
      </c>
      <c r="F103" s="33">
        <f>IF($A103="","",BDP($C103,"EQY_DVD_YLD_12M"))</f>
        <v/>
      </c>
      <c r="G103" s="33">
        <f>IF($A103="","",BDP($C103,"EQY_DVD_YLD_IND"))</f>
        <v/>
      </c>
      <c r="H103" s="33">
        <f>IF($A103="","",BDP($C103,'Field Check'!$C$4))</f>
        <v/>
      </c>
      <c r="I103" s="34">
        <f>IFERROR(IF($B103="","",$B103/$B$3),"")</f>
        <v/>
      </c>
      <c r="J103" s="34">
        <f>IFERROR(IF($I103="","",$I103*IFERROR($G103,0)/100),"")</f>
        <v/>
      </c>
      <c r="K103" s="34">
        <f>IFERROR(IF($J103="","",IF(ISNUMBER($H103),$J103*$H103/'Index Summary'!$C$7,"")),"")</f>
        <v/>
      </c>
      <c r="L103" s="34">
        <f>IFERROR(IF($K103="","",$J103-$K103),"")</f>
        <v/>
      </c>
      <c r="M103" s="35">
        <f>IF($C103="","",IF(NOT(ISNUMBER($G103)),"No dividend",IF($G103=0,"No dividend",IF(ISNUMBER($H103),"OK","Franking n/a"))))</f>
        <v/>
      </c>
    </row>
    <row r="104">
      <c r="A104" s="27" t="n"/>
      <c r="B104" s="27" t="n"/>
      <c r="C104" s="27">
        <f>IF($A104="","",$A104&amp;" Equity")</f>
        <v/>
      </c>
      <c r="D104" s="27">
        <f>IF($A104="","",BDP($C104,"NAME"))</f>
        <v/>
      </c>
      <c r="E104" s="28">
        <f>IF($A104="","",BDP($C104,"EQY_DVD_SH_12M"))</f>
        <v/>
      </c>
      <c r="F104" s="29">
        <f>IF($A104="","",BDP($C104,"EQY_DVD_YLD_12M"))</f>
        <v/>
      </c>
      <c r="G104" s="29">
        <f>IF($A104="","",BDP($C104,"EQY_DVD_YLD_IND"))</f>
        <v/>
      </c>
      <c r="H104" s="29">
        <f>IF($A104="","",BDP($C104,'Field Check'!$C$4))</f>
        <v/>
      </c>
      <c r="I104" s="30">
        <f>IFERROR(IF($B104="","",$B104/$B$3),"")</f>
        <v/>
      </c>
      <c r="J104" s="30">
        <f>IFERROR(IF($I104="","",$I104*IFERROR($G104,0)/100),"")</f>
        <v/>
      </c>
      <c r="K104" s="30">
        <f>IFERROR(IF($J104="","",IF(ISNUMBER($H104),$J104*$H104/'Index Summary'!$C$7,"")),"")</f>
        <v/>
      </c>
      <c r="L104" s="30">
        <f>IFERROR(IF($K104="","",$J104-$K104),"")</f>
        <v/>
      </c>
      <c r="M104" s="31">
        <f>IF($C104="","",IF(NOT(ISNUMBER($G104)),"No dividend",IF($G104=0,"No dividend",IF(ISNUMBER($H104),"OK","Franking n/a"))))</f>
        <v/>
      </c>
    </row>
    <row r="105">
      <c r="A105" s="16" t="n"/>
      <c r="B105" s="16" t="n"/>
      <c r="C105" s="16">
        <f>IF($A105="","",$A105&amp;" Equity")</f>
        <v/>
      </c>
      <c r="D105" s="16">
        <f>IF($A105="","",BDP($C105,"NAME"))</f>
        <v/>
      </c>
      <c r="E105" s="32">
        <f>IF($A105="","",BDP($C105,"EQY_DVD_SH_12M"))</f>
        <v/>
      </c>
      <c r="F105" s="33">
        <f>IF($A105="","",BDP($C105,"EQY_DVD_YLD_12M"))</f>
        <v/>
      </c>
      <c r="G105" s="33">
        <f>IF($A105="","",BDP($C105,"EQY_DVD_YLD_IND"))</f>
        <v/>
      </c>
      <c r="H105" s="33">
        <f>IF($A105="","",BDP($C105,'Field Check'!$C$4))</f>
        <v/>
      </c>
      <c r="I105" s="34">
        <f>IFERROR(IF($B105="","",$B105/$B$3),"")</f>
        <v/>
      </c>
      <c r="J105" s="34">
        <f>IFERROR(IF($I105="","",$I105*IFERROR($G105,0)/100),"")</f>
        <v/>
      </c>
      <c r="K105" s="34">
        <f>IFERROR(IF($J105="","",IF(ISNUMBER($H105),$J105*$H105/'Index Summary'!$C$7,"")),"")</f>
        <v/>
      </c>
      <c r="L105" s="34">
        <f>IFERROR(IF($K105="","",$J105-$K105),"")</f>
        <v/>
      </c>
      <c r="M105" s="35">
        <f>IF($C105="","",IF(NOT(ISNUMBER($G105)),"No dividend",IF($G105=0,"No dividend",IF(ISNUMBER($H105),"OK","Franking n/a"))))</f>
        <v/>
      </c>
    </row>
    <row r="106">
      <c r="A106" s="27" t="n"/>
      <c r="B106" s="27" t="n"/>
      <c r="C106" s="27">
        <f>IF($A106="","",$A106&amp;" Equity")</f>
        <v/>
      </c>
      <c r="D106" s="27">
        <f>IF($A106="","",BDP($C106,"NAME"))</f>
        <v/>
      </c>
      <c r="E106" s="28">
        <f>IF($A106="","",BDP($C106,"EQY_DVD_SH_12M"))</f>
        <v/>
      </c>
      <c r="F106" s="29">
        <f>IF($A106="","",BDP($C106,"EQY_DVD_YLD_12M"))</f>
        <v/>
      </c>
      <c r="G106" s="29">
        <f>IF($A106="","",BDP($C106,"EQY_DVD_YLD_IND"))</f>
        <v/>
      </c>
      <c r="H106" s="29">
        <f>IF($A106="","",BDP($C106,'Field Check'!$C$4))</f>
        <v/>
      </c>
      <c r="I106" s="30">
        <f>IFERROR(IF($B106="","",$B106/$B$3),"")</f>
        <v/>
      </c>
      <c r="J106" s="30">
        <f>IFERROR(IF($I106="","",$I106*IFERROR($G106,0)/100),"")</f>
        <v/>
      </c>
      <c r="K106" s="30">
        <f>IFERROR(IF($J106="","",IF(ISNUMBER($H106),$J106*$H106/'Index Summary'!$C$7,"")),"")</f>
        <v/>
      </c>
      <c r="L106" s="30">
        <f>IFERROR(IF($K106="","",$J106-$K106),"")</f>
        <v/>
      </c>
      <c r="M106" s="31">
        <f>IF($C106="","",IF(NOT(ISNUMBER($G106)),"No dividend",IF($G106=0,"No dividend",IF(ISNUMBER($H106),"OK","Franking n/a"))))</f>
        <v/>
      </c>
    </row>
    <row r="107">
      <c r="A107" s="16" t="n"/>
      <c r="B107" s="16" t="n"/>
      <c r="C107" s="16">
        <f>IF($A107="","",$A107&amp;" Equity")</f>
        <v/>
      </c>
      <c r="D107" s="16">
        <f>IF($A107="","",BDP($C107,"NAME"))</f>
        <v/>
      </c>
      <c r="E107" s="32">
        <f>IF($A107="","",BDP($C107,"EQY_DVD_SH_12M"))</f>
        <v/>
      </c>
      <c r="F107" s="33">
        <f>IF($A107="","",BDP($C107,"EQY_DVD_YLD_12M"))</f>
        <v/>
      </c>
      <c r="G107" s="33">
        <f>IF($A107="","",BDP($C107,"EQY_DVD_YLD_IND"))</f>
        <v/>
      </c>
      <c r="H107" s="33">
        <f>IF($A107="","",BDP($C107,'Field Check'!$C$4))</f>
        <v/>
      </c>
      <c r="I107" s="34">
        <f>IFERROR(IF($B107="","",$B107/$B$3),"")</f>
        <v/>
      </c>
      <c r="J107" s="34">
        <f>IFERROR(IF($I107="","",$I107*IFERROR($G107,0)/100),"")</f>
        <v/>
      </c>
      <c r="K107" s="34">
        <f>IFERROR(IF($J107="","",IF(ISNUMBER($H107),$J107*$H107/'Index Summary'!$C$7,"")),"")</f>
        <v/>
      </c>
      <c r="L107" s="34">
        <f>IFERROR(IF($K107="","",$J107-$K107),"")</f>
        <v/>
      </c>
      <c r="M107" s="35">
        <f>IF($C107="","",IF(NOT(ISNUMBER($G107)),"No dividend",IF($G107=0,"No dividend",IF(ISNUMBER($H107),"OK","Franking n/a"))))</f>
        <v/>
      </c>
    </row>
    <row r="108">
      <c r="A108" s="27" t="n"/>
      <c r="B108" s="27" t="n"/>
      <c r="C108" s="27">
        <f>IF($A108="","",$A108&amp;" Equity")</f>
        <v/>
      </c>
      <c r="D108" s="27">
        <f>IF($A108="","",BDP($C108,"NAME"))</f>
        <v/>
      </c>
      <c r="E108" s="28">
        <f>IF($A108="","",BDP($C108,"EQY_DVD_SH_12M"))</f>
        <v/>
      </c>
      <c r="F108" s="29">
        <f>IF($A108="","",BDP($C108,"EQY_DVD_YLD_12M"))</f>
        <v/>
      </c>
      <c r="G108" s="29">
        <f>IF($A108="","",BDP($C108,"EQY_DVD_YLD_IND"))</f>
        <v/>
      </c>
      <c r="H108" s="29">
        <f>IF($A108="","",BDP($C108,'Field Check'!$C$4))</f>
        <v/>
      </c>
      <c r="I108" s="30">
        <f>IFERROR(IF($B108="","",$B108/$B$3),"")</f>
        <v/>
      </c>
      <c r="J108" s="30">
        <f>IFERROR(IF($I108="","",$I108*IFERROR($G108,0)/100),"")</f>
        <v/>
      </c>
      <c r="K108" s="30">
        <f>IFERROR(IF($J108="","",IF(ISNUMBER($H108),$J108*$H108/'Index Summary'!$C$7,"")),"")</f>
        <v/>
      </c>
      <c r="L108" s="30">
        <f>IFERROR(IF($K108="","",$J108-$K108),"")</f>
        <v/>
      </c>
      <c r="M108" s="31">
        <f>IF($C108="","",IF(NOT(ISNUMBER($G108)),"No dividend",IF($G108=0,"No dividend",IF(ISNUMBER($H108),"OK","Franking n/a"))))</f>
        <v/>
      </c>
    </row>
    <row r="109">
      <c r="A109" s="16" t="n"/>
      <c r="B109" s="16" t="n"/>
      <c r="C109" s="16">
        <f>IF($A109="","",$A109&amp;" Equity")</f>
        <v/>
      </c>
      <c r="D109" s="16">
        <f>IF($A109="","",BDP($C109,"NAME"))</f>
        <v/>
      </c>
      <c r="E109" s="32">
        <f>IF($A109="","",BDP($C109,"EQY_DVD_SH_12M"))</f>
        <v/>
      </c>
      <c r="F109" s="33">
        <f>IF($A109="","",BDP($C109,"EQY_DVD_YLD_12M"))</f>
        <v/>
      </c>
      <c r="G109" s="33">
        <f>IF($A109="","",BDP($C109,"EQY_DVD_YLD_IND"))</f>
        <v/>
      </c>
      <c r="H109" s="33">
        <f>IF($A109="","",BDP($C109,'Field Check'!$C$4))</f>
        <v/>
      </c>
      <c r="I109" s="34">
        <f>IFERROR(IF($B109="","",$B109/$B$3),"")</f>
        <v/>
      </c>
      <c r="J109" s="34">
        <f>IFERROR(IF($I109="","",$I109*IFERROR($G109,0)/100),"")</f>
        <v/>
      </c>
      <c r="K109" s="34">
        <f>IFERROR(IF($J109="","",IF(ISNUMBER($H109),$J109*$H109/'Index Summary'!$C$7,"")),"")</f>
        <v/>
      </c>
      <c r="L109" s="34">
        <f>IFERROR(IF($K109="","",$J109-$K109),"")</f>
        <v/>
      </c>
      <c r="M109" s="35">
        <f>IF($C109="","",IF(NOT(ISNUMBER($G109)),"No dividend",IF($G109=0,"No dividend",IF(ISNUMBER($H109),"OK","Franking n/a"))))</f>
        <v/>
      </c>
    </row>
    <row r="110">
      <c r="A110" s="27" t="n"/>
      <c r="B110" s="27" t="n"/>
      <c r="C110" s="27">
        <f>IF($A110="","",$A110&amp;" Equity")</f>
        <v/>
      </c>
      <c r="D110" s="27">
        <f>IF($A110="","",BDP($C110,"NAME"))</f>
        <v/>
      </c>
      <c r="E110" s="28">
        <f>IF($A110="","",BDP($C110,"EQY_DVD_SH_12M"))</f>
        <v/>
      </c>
      <c r="F110" s="29">
        <f>IF($A110="","",BDP($C110,"EQY_DVD_YLD_12M"))</f>
        <v/>
      </c>
      <c r="G110" s="29">
        <f>IF($A110="","",BDP($C110,"EQY_DVD_YLD_IND"))</f>
        <v/>
      </c>
      <c r="H110" s="29">
        <f>IF($A110="","",BDP($C110,'Field Check'!$C$4))</f>
        <v/>
      </c>
      <c r="I110" s="30">
        <f>IFERROR(IF($B110="","",$B110/$B$3),"")</f>
        <v/>
      </c>
      <c r="J110" s="30">
        <f>IFERROR(IF($I110="","",$I110*IFERROR($G110,0)/100),"")</f>
        <v/>
      </c>
      <c r="K110" s="30">
        <f>IFERROR(IF($J110="","",IF(ISNUMBER($H110),$J110*$H110/'Index Summary'!$C$7,"")),"")</f>
        <v/>
      </c>
      <c r="L110" s="30">
        <f>IFERROR(IF($K110="","",$J110-$K110),"")</f>
        <v/>
      </c>
      <c r="M110" s="31">
        <f>IF($C110="","",IF(NOT(ISNUMBER($G110)),"No dividend",IF($G110=0,"No dividend",IF(ISNUMBER($H110),"OK","Franking n/a"))))</f>
        <v/>
      </c>
    </row>
    <row r="111">
      <c r="A111" s="16" t="n"/>
      <c r="B111" s="16" t="n"/>
      <c r="C111" s="16">
        <f>IF($A111="","",$A111&amp;" Equity")</f>
        <v/>
      </c>
      <c r="D111" s="16">
        <f>IF($A111="","",BDP($C111,"NAME"))</f>
        <v/>
      </c>
      <c r="E111" s="32">
        <f>IF($A111="","",BDP($C111,"EQY_DVD_SH_12M"))</f>
        <v/>
      </c>
      <c r="F111" s="33">
        <f>IF($A111="","",BDP($C111,"EQY_DVD_YLD_12M"))</f>
        <v/>
      </c>
      <c r="G111" s="33">
        <f>IF($A111="","",BDP($C111,"EQY_DVD_YLD_IND"))</f>
        <v/>
      </c>
      <c r="H111" s="33">
        <f>IF($A111="","",BDP($C111,'Field Check'!$C$4))</f>
        <v/>
      </c>
      <c r="I111" s="34">
        <f>IFERROR(IF($B111="","",$B111/$B$3),"")</f>
        <v/>
      </c>
      <c r="J111" s="34">
        <f>IFERROR(IF($I111="","",$I111*IFERROR($G111,0)/100),"")</f>
        <v/>
      </c>
      <c r="K111" s="34">
        <f>IFERROR(IF($J111="","",IF(ISNUMBER($H111),$J111*$H111/'Index Summary'!$C$7,"")),"")</f>
        <v/>
      </c>
      <c r="L111" s="34">
        <f>IFERROR(IF($K111="","",$J111-$K111),"")</f>
        <v/>
      </c>
      <c r="M111" s="35">
        <f>IF($C111="","",IF(NOT(ISNUMBER($G111)),"No dividend",IF($G111=0,"No dividend",IF(ISNUMBER($H111),"OK","Franking n/a"))))</f>
        <v/>
      </c>
    </row>
    <row r="112">
      <c r="A112" s="27" t="n"/>
      <c r="B112" s="27" t="n"/>
      <c r="C112" s="27">
        <f>IF($A112="","",$A112&amp;" Equity")</f>
        <v/>
      </c>
      <c r="D112" s="27">
        <f>IF($A112="","",BDP($C112,"NAME"))</f>
        <v/>
      </c>
      <c r="E112" s="28">
        <f>IF($A112="","",BDP($C112,"EQY_DVD_SH_12M"))</f>
        <v/>
      </c>
      <c r="F112" s="29">
        <f>IF($A112="","",BDP($C112,"EQY_DVD_YLD_12M"))</f>
        <v/>
      </c>
      <c r="G112" s="29">
        <f>IF($A112="","",BDP($C112,"EQY_DVD_YLD_IND"))</f>
        <v/>
      </c>
      <c r="H112" s="29">
        <f>IF($A112="","",BDP($C112,'Field Check'!$C$4))</f>
        <v/>
      </c>
      <c r="I112" s="30">
        <f>IFERROR(IF($B112="","",$B112/$B$3),"")</f>
        <v/>
      </c>
      <c r="J112" s="30">
        <f>IFERROR(IF($I112="","",$I112*IFERROR($G112,0)/100),"")</f>
        <v/>
      </c>
      <c r="K112" s="30">
        <f>IFERROR(IF($J112="","",IF(ISNUMBER($H112),$J112*$H112/'Index Summary'!$C$7,"")),"")</f>
        <v/>
      </c>
      <c r="L112" s="30">
        <f>IFERROR(IF($K112="","",$J112-$K112),"")</f>
        <v/>
      </c>
      <c r="M112" s="31">
        <f>IF($C112="","",IF(NOT(ISNUMBER($G112)),"No dividend",IF($G112=0,"No dividend",IF(ISNUMBER($H112),"OK","Franking n/a"))))</f>
        <v/>
      </c>
    </row>
    <row r="113">
      <c r="A113" s="16" t="n"/>
      <c r="B113" s="16" t="n"/>
      <c r="C113" s="16">
        <f>IF($A113="","",$A113&amp;" Equity")</f>
        <v/>
      </c>
      <c r="D113" s="16">
        <f>IF($A113="","",BDP($C113,"NAME"))</f>
        <v/>
      </c>
      <c r="E113" s="32">
        <f>IF($A113="","",BDP($C113,"EQY_DVD_SH_12M"))</f>
        <v/>
      </c>
      <c r="F113" s="33">
        <f>IF($A113="","",BDP($C113,"EQY_DVD_YLD_12M"))</f>
        <v/>
      </c>
      <c r="G113" s="33">
        <f>IF($A113="","",BDP($C113,"EQY_DVD_YLD_IND"))</f>
        <v/>
      </c>
      <c r="H113" s="33">
        <f>IF($A113="","",BDP($C113,'Field Check'!$C$4))</f>
        <v/>
      </c>
      <c r="I113" s="34">
        <f>IFERROR(IF($B113="","",$B113/$B$3),"")</f>
        <v/>
      </c>
      <c r="J113" s="34">
        <f>IFERROR(IF($I113="","",$I113*IFERROR($G113,0)/100),"")</f>
        <v/>
      </c>
      <c r="K113" s="34">
        <f>IFERROR(IF($J113="","",IF(ISNUMBER($H113),$J113*$H113/'Index Summary'!$C$7,"")),"")</f>
        <v/>
      </c>
      <c r="L113" s="34">
        <f>IFERROR(IF($K113="","",$J113-$K113),"")</f>
        <v/>
      </c>
      <c r="M113" s="35">
        <f>IF($C113="","",IF(NOT(ISNUMBER($G113)),"No dividend",IF($G113=0,"No dividend",IF(ISNUMBER($H113),"OK","Franking n/a"))))</f>
        <v/>
      </c>
    </row>
    <row r="114">
      <c r="A114" s="27" t="n"/>
      <c r="B114" s="27" t="n"/>
      <c r="C114" s="27">
        <f>IF($A114="","",$A114&amp;" Equity")</f>
        <v/>
      </c>
      <c r="D114" s="27">
        <f>IF($A114="","",BDP($C114,"NAME"))</f>
        <v/>
      </c>
      <c r="E114" s="28">
        <f>IF($A114="","",BDP($C114,"EQY_DVD_SH_12M"))</f>
        <v/>
      </c>
      <c r="F114" s="29">
        <f>IF($A114="","",BDP($C114,"EQY_DVD_YLD_12M"))</f>
        <v/>
      </c>
      <c r="G114" s="29">
        <f>IF($A114="","",BDP($C114,"EQY_DVD_YLD_IND"))</f>
        <v/>
      </c>
      <c r="H114" s="29">
        <f>IF($A114="","",BDP($C114,'Field Check'!$C$4))</f>
        <v/>
      </c>
      <c r="I114" s="30">
        <f>IFERROR(IF($B114="","",$B114/$B$3),"")</f>
        <v/>
      </c>
      <c r="J114" s="30">
        <f>IFERROR(IF($I114="","",$I114*IFERROR($G114,0)/100),"")</f>
        <v/>
      </c>
      <c r="K114" s="30">
        <f>IFERROR(IF($J114="","",IF(ISNUMBER($H114),$J114*$H114/'Index Summary'!$C$7,"")),"")</f>
        <v/>
      </c>
      <c r="L114" s="30">
        <f>IFERROR(IF($K114="","",$J114-$K114),"")</f>
        <v/>
      </c>
      <c r="M114" s="31">
        <f>IF($C114="","",IF(NOT(ISNUMBER($G114)),"No dividend",IF($G114=0,"No dividend",IF(ISNUMBER($H114),"OK","Franking n/a"))))</f>
        <v/>
      </c>
    </row>
    <row r="115">
      <c r="A115" s="16" t="n"/>
      <c r="B115" s="16" t="n"/>
      <c r="C115" s="16">
        <f>IF($A115="","",$A115&amp;" Equity")</f>
        <v/>
      </c>
      <c r="D115" s="16">
        <f>IF($A115="","",BDP($C115,"NAME"))</f>
        <v/>
      </c>
      <c r="E115" s="32">
        <f>IF($A115="","",BDP($C115,"EQY_DVD_SH_12M"))</f>
        <v/>
      </c>
      <c r="F115" s="33">
        <f>IF($A115="","",BDP($C115,"EQY_DVD_YLD_12M"))</f>
        <v/>
      </c>
      <c r="G115" s="33">
        <f>IF($A115="","",BDP($C115,"EQY_DVD_YLD_IND"))</f>
        <v/>
      </c>
      <c r="H115" s="33">
        <f>IF($A115="","",BDP($C115,'Field Check'!$C$4))</f>
        <v/>
      </c>
      <c r="I115" s="34">
        <f>IFERROR(IF($B115="","",$B115/$B$3),"")</f>
        <v/>
      </c>
      <c r="J115" s="34">
        <f>IFERROR(IF($I115="","",$I115*IFERROR($G115,0)/100),"")</f>
        <v/>
      </c>
      <c r="K115" s="34">
        <f>IFERROR(IF($J115="","",IF(ISNUMBER($H115),$J115*$H115/'Index Summary'!$C$7,"")),"")</f>
        <v/>
      </c>
      <c r="L115" s="34">
        <f>IFERROR(IF($K115="","",$J115-$K115),"")</f>
        <v/>
      </c>
      <c r="M115" s="35">
        <f>IF($C115="","",IF(NOT(ISNUMBER($G115)),"No dividend",IF($G115=0,"No dividend",IF(ISNUMBER($H115),"OK","Franking n/a"))))</f>
        <v/>
      </c>
    </row>
    <row r="116">
      <c r="A116" s="27" t="n"/>
      <c r="B116" s="27" t="n"/>
      <c r="C116" s="27">
        <f>IF($A116="","",$A116&amp;" Equity")</f>
        <v/>
      </c>
      <c r="D116" s="27">
        <f>IF($A116="","",BDP($C116,"NAME"))</f>
        <v/>
      </c>
      <c r="E116" s="28">
        <f>IF($A116="","",BDP($C116,"EQY_DVD_SH_12M"))</f>
        <v/>
      </c>
      <c r="F116" s="29">
        <f>IF($A116="","",BDP($C116,"EQY_DVD_YLD_12M"))</f>
        <v/>
      </c>
      <c r="G116" s="29">
        <f>IF($A116="","",BDP($C116,"EQY_DVD_YLD_IND"))</f>
        <v/>
      </c>
      <c r="H116" s="29">
        <f>IF($A116="","",BDP($C116,'Field Check'!$C$4))</f>
        <v/>
      </c>
      <c r="I116" s="30">
        <f>IFERROR(IF($B116="","",$B116/$B$3),"")</f>
        <v/>
      </c>
      <c r="J116" s="30">
        <f>IFERROR(IF($I116="","",$I116*IFERROR($G116,0)/100),"")</f>
        <v/>
      </c>
      <c r="K116" s="30">
        <f>IFERROR(IF($J116="","",IF(ISNUMBER($H116),$J116*$H116/'Index Summary'!$C$7,"")),"")</f>
        <v/>
      </c>
      <c r="L116" s="30">
        <f>IFERROR(IF($K116="","",$J116-$K116),"")</f>
        <v/>
      </c>
      <c r="M116" s="31">
        <f>IF($C116="","",IF(NOT(ISNUMBER($G116)),"No dividend",IF($G116=0,"No dividend",IF(ISNUMBER($H116),"OK","Franking n/a"))))</f>
        <v/>
      </c>
    </row>
    <row r="117">
      <c r="A117" s="16" t="n"/>
      <c r="B117" s="16" t="n"/>
      <c r="C117" s="16">
        <f>IF($A117="","",$A117&amp;" Equity")</f>
        <v/>
      </c>
      <c r="D117" s="16">
        <f>IF($A117="","",BDP($C117,"NAME"))</f>
        <v/>
      </c>
      <c r="E117" s="32">
        <f>IF($A117="","",BDP($C117,"EQY_DVD_SH_12M"))</f>
        <v/>
      </c>
      <c r="F117" s="33">
        <f>IF($A117="","",BDP($C117,"EQY_DVD_YLD_12M"))</f>
        <v/>
      </c>
      <c r="G117" s="33">
        <f>IF($A117="","",BDP($C117,"EQY_DVD_YLD_IND"))</f>
        <v/>
      </c>
      <c r="H117" s="33">
        <f>IF($A117="","",BDP($C117,'Field Check'!$C$4))</f>
        <v/>
      </c>
      <c r="I117" s="34">
        <f>IFERROR(IF($B117="","",$B117/$B$3),"")</f>
        <v/>
      </c>
      <c r="J117" s="34">
        <f>IFERROR(IF($I117="","",$I117*IFERROR($G117,0)/100),"")</f>
        <v/>
      </c>
      <c r="K117" s="34">
        <f>IFERROR(IF($J117="","",IF(ISNUMBER($H117),$J117*$H117/'Index Summary'!$C$7,"")),"")</f>
        <v/>
      </c>
      <c r="L117" s="34">
        <f>IFERROR(IF($K117="","",$J117-$K117),"")</f>
        <v/>
      </c>
      <c r="M117" s="35">
        <f>IF($C117="","",IF(NOT(ISNUMBER($G117)),"No dividend",IF($G117=0,"No dividend",IF(ISNUMBER($H117),"OK","Franking n/a"))))</f>
        <v/>
      </c>
    </row>
    <row r="118">
      <c r="A118" s="27" t="n"/>
      <c r="B118" s="27" t="n"/>
      <c r="C118" s="27">
        <f>IF($A118="","",$A118&amp;" Equity")</f>
        <v/>
      </c>
      <c r="D118" s="27">
        <f>IF($A118="","",BDP($C118,"NAME"))</f>
        <v/>
      </c>
      <c r="E118" s="28">
        <f>IF($A118="","",BDP($C118,"EQY_DVD_SH_12M"))</f>
        <v/>
      </c>
      <c r="F118" s="29">
        <f>IF($A118="","",BDP($C118,"EQY_DVD_YLD_12M"))</f>
        <v/>
      </c>
      <c r="G118" s="29">
        <f>IF($A118="","",BDP($C118,"EQY_DVD_YLD_IND"))</f>
        <v/>
      </c>
      <c r="H118" s="29">
        <f>IF($A118="","",BDP($C118,'Field Check'!$C$4))</f>
        <v/>
      </c>
      <c r="I118" s="30">
        <f>IFERROR(IF($B118="","",$B118/$B$3),"")</f>
        <v/>
      </c>
      <c r="J118" s="30">
        <f>IFERROR(IF($I118="","",$I118*IFERROR($G118,0)/100),"")</f>
        <v/>
      </c>
      <c r="K118" s="30">
        <f>IFERROR(IF($J118="","",IF(ISNUMBER($H118),$J118*$H118/'Index Summary'!$C$7,"")),"")</f>
        <v/>
      </c>
      <c r="L118" s="30">
        <f>IFERROR(IF($K118="","",$J118-$K118),"")</f>
        <v/>
      </c>
      <c r="M118" s="31">
        <f>IF($C118="","",IF(NOT(ISNUMBER($G118)),"No dividend",IF($G118=0,"No dividend",IF(ISNUMBER($H118),"OK","Franking n/a"))))</f>
        <v/>
      </c>
    </row>
    <row r="119">
      <c r="A119" s="16" t="n"/>
      <c r="B119" s="16" t="n"/>
      <c r="C119" s="16">
        <f>IF($A119="","",$A119&amp;" Equity")</f>
        <v/>
      </c>
      <c r="D119" s="16">
        <f>IF($A119="","",BDP($C119,"NAME"))</f>
        <v/>
      </c>
      <c r="E119" s="32">
        <f>IF($A119="","",BDP($C119,"EQY_DVD_SH_12M"))</f>
        <v/>
      </c>
      <c r="F119" s="33">
        <f>IF($A119="","",BDP($C119,"EQY_DVD_YLD_12M"))</f>
        <v/>
      </c>
      <c r="G119" s="33">
        <f>IF($A119="","",BDP($C119,"EQY_DVD_YLD_IND"))</f>
        <v/>
      </c>
      <c r="H119" s="33">
        <f>IF($A119="","",BDP($C119,'Field Check'!$C$4))</f>
        <v/>
      </c>
      <c r="I119" s="34">
        <f>IFERROR(IF($B119="","",$B119/$B$3),"")</f>
        <v/>
      </c>
      <c r="J119" s="34">
        <f>IFERROR(IF($I119="","",$I119*IFERROR($G119,0)/100),"")</f>
        <v/>
      </c>
      <c r="K119" s="34">
        <f>IFERROR(IF($J119="","",IF(ISNUMBER($H119),$J119*$H119/'Index Summary'!$C$7,"")),"")</f>
        <v/>
      </c>
      <c r="L119" s="34">
        <f>IFERROR(IF($K119="","",$J119-$K119),"")</f>
        <v/>
      </c>
      <c r="M119" s="35">
        <f>IF($C119="","",IF(NOT(ISNUMBER($G119)),"No dividend",IF($G119=0,"No dividend",IF(ISNUMBER($H119),"OK","Franking n/a"))))</f>
        <v/>
      </c>
    </row>
    <row r="120">
      <c r="A120" s="27" t="n"/>
      <c r="B120" s="27" t="n"/>
      <c r="C120" s="27">
        <f>IF($A120="","",$A120&amp;" Equity")</f>
        <v/>
      </c>
      <c r="D120" s="27">
        <f>IF($A120="","",BDP($C120,"NAME"))</f>
        <v/>
      </c>
      <c r="E120" s="28">
        <f>IF($A120="","",BDP($C120,"EQY_DVD_SH_12M"))</f>
        <v/>
      </c>
      <c r="F120" s="29">
        <f>IF($A120="","",BDP($C120,"EQY_DVD_YLD_12M"))</f>
        <v/>
      </c>
      <c r="G120" s="29">
        <f>IF($A120="","",BDP($C120,"EQY_DVD_YLD_IND"))</f>
        <v/>
      </c>
      <c r="H120" s="29">
        <f>IF($A120="","",BDP($C120,'Field Check'!$C$4))</f>
        <v/>
      </c>
      <c r="I120" s="30">
        <f>IFERROR(IF($B120="","",$B120/$B$3),"")</f>
        <v/>
      </c>
      <c r="J120" s="30">
        <f>IFERROR(IF($I120="","",$I120*IFERROR($G120,0)/100),"")</f>
        <v/>
      </c>
      <c r="K120" s="30">
        <f>IFERROR(IF($J120="","",IF(ISNUMBER($H120),$J120*$H120/'Index Summary'!$C$7,"")),"")</f>
        <v/>
      </c>
      <c r="L120" s="30">
        <f>IFERROR(IF($K120="","",$J120-$K120),"")</f>
        <v/>
      </c>
      <c r="M120" s="31">
        <f>IF($C120="","",IF(NOT(ISNUMBER($G120)),"No dividend",IF($G120=0,"No dividend",IF(ISNUMBER($H120),"OK","Franking n/a"))))</f>
        <v/>
      </c>
    </row>
    <row r="121">
      <c r="A121" s="16" t="n"/>
      <c r="B121" s="16" t="n"/>
      <c r="C121" s="16">
        <f>IF($A121="","",$A121&amp;" Equity")</f>
        <v/>
      </c>
      <c r="D121" s="16">
        <f>IF($A121="","",BDP($C121,"NAME"))</f>
        <v/>
      </c>
      <c r="E121" s="32">
        <f>IF($A121="","",BDP($C121,"EQY_DVD_SH_12M"))</f>
        <v/>
      </c>
      <c r="F121" s="33">
        <f>IF($A121="","",BDP($C121,"EQY_DVD_YLD_12M"))</f>
        <v/>
      </c>
      <c r="G121" s="33">
        <f>IF($A121="","",BDP($C121,"EQY_DVD_YLD_IND"))</f>
        <v/>
      </c>
      <c r="H121" s="33">
        <f>IF($A121="","",BDP($C121,'Field Check'!$C$4))</f>
        <v/>
      </c>
      <c r="I121" s="34">
        <f>IFERROR(IF($B121="","",$B121/$B$3),"")</f>
        <v/>
      </c>
      <c r="J121" s="34">
        <f>IFERROR(IF($I121="","",$I121*IFERROR($G121,0)/100),"")</f>
        <v/>
      </c>
      <c r="K121" s="34">
        <f>IFERROR(IF($J121="","",IF(ISNUMBER($H121),$J121*$H121/'Index Summary'!$C$7,"")),"")</f>
        <v/>
      </c>
      <c r="L121" s="34">
        <f>IFERROR(IF($K121="","",$J121-$K121),"")</f>
        <v/>
      </c>
      <c r="M121" s="35">
        <f>IF($C121="","",IF(NOT(ISNUMBER($G121)),"No dividend",IF($G121=0,"No dividend",IF(ISNUMBER($H121),"OK","Franking n/a"))))</f>
        <v/>
      </c>
    </row>
    <row r="122">
      <c r="A122" s="27" t="n"/>
      <c r="B122" s="27" t="n"/>
      <c r="C122" s="27">
        <f>IF($A122="","",$A122&amp;" Equity")</f>
        <v/>
      </c>
      <c r="D122" s="27">
        <f>IF($A122="","",BDP($C122,"NAME"))</f>
        <v/>
      </c>
      <c r="E122" s="28">
        <f>IF($A122="","",BDP($C122,"EQY_DVD_SH_12M"))</f>
        <v/>
      </c>
      <c r="F122" s="29">
        <f>IF($A122="","",BDP($C122,"EQY_DVD_YLD_12M"))</f>
        <v/>
      </c>
      <c r="G122" s="29">
        <f>IF($A122="","",BDP($C122,"EQY_DVD_YLD_IND"))</f>
        <v/>
      </c>
      <c r="H122" s="29">
        <f>IF($A122="","",BDP($C122,'Field Check'!$C$4))</f>
        <v/>
      </c>
      <c r="I122" s="30">
        <f>IFERROR(IF($B122="","",$B122/$B$3),"")</f>
        <v/>
      </c>
      <c r="J122" s="30">
        <f>IFERROR(IF($I122="","",$I122*IFERROR($G122,0)/100),"")</f>
        <v/>
      </c>
      <c r="K122" s="30">
        <f>IFERROR(IF($J122="","",IF(ISNUMBER($H122),$J122*$H122/'Index Summary'!$C$7,"")),"")</f>
        <v/>
      </c>
      <c r="L122" s="30">
        <f>IFERROR(IF($K122="","",$J122-$K122),"")</f>
        <v/>
      </c>
      <c r="M122" s="31">
        <f>IF($C122="","",IF(NOT(ISNUMBER($G122)),"No dividend",IF($G122=0,"No dividend",IF(ISNUMBER($H122),"OK","Franking n/a"))))</f>
        <v/>
      </c>
    </row>
    <row r="123">
      <c r="A123" s="16" t="n"/>
      <c r="B123" s="16" t="n"/>
      <c r="C123" s="16">
        <f>IF($A123="","",$A123&amp;" Equity")</f>
        <v/>
      </c>
      <c r="D123" s="16">
        <f>IF($A123="","",BDP($C123,"NAME"))</f>
        <v/>
      </c>
      <c r="E123" s="32">
        <f>IF($A123="","",BDP($C123,"EQY_DVD_SH_12M"))</f>
        <v/>
      </c>
      <c r="F123" s="33">
        <f>IF($A123="","",BDP($C123,"EQY_DVD_YLD_12M"))</f>
        <v/>
      </c>
      <c r="G123" s="33">
        <f>IF($A123="","",BDP($C123,"EQY_DVD_YLD_IND"))</f>
        <v/>
      </c>
      <c r="H123" s="33">
        <f>IF($A123="","",BDP($C123,'Field Check'!$C$4))</f>
        <v/>
      </c>
      <c r="I123" s="34">
        <f>IFERROR(IF($B123="","",$B123/$B$3),"")</f>
        <v/>
      </c>
      <c r="J123" s="34">
        <f>IFERROR(IF($I123="","",$I123*IFERROR($G123,0)/100),"")</f>
        <v/>
      </c>
      <c r="K123" s="34">
        <f>IFERROR(IF($J123="","",IF(ISNUMBER($H123),$J123*$H123/'Index Summary'!$C$7,"")),"")</f>
        <v/>
      </c>
      <c r="L123" s="34">
        <f>IFERROR(IF($K123="","",$J123-$K123),"")</f>
        <v/>
      </c>
      <c r="M123" s="35">
        <f>IF($C123="","",IF(NOT(ISNUMBER($G123)),"No dividend",IF($G123=0,"No dividend",IF(ISNUMBER($H123),"OK","Franking n/a"))))</f>
        <v/>
      </c>
    </row>
    <row r="124">
      <c r="A124" s="27" t="n"/>
      <c r="B124" s="27" t="n"/>
      <c r="C124" s="27">
        <f>IF($A124="","",$A124&amp;" Equity")</f>
        <v/>
      </c>
      <c r="D124" s="27">
        <f>IF($A124="","",BDP($C124,"NAME"))</f>
        <v/>
      </c>
      <c r="E124" s="28">
        <f>IF($A124="","",BDP($C124,"EQY_DVD_SH_12M"))</f>
        <v/>
      </c>
      <c r="F124" s="29">
        <f>IF($A124="","",BDP($C124,"EQY_DVD_YLD_12M"))</f>
        <v/>
      </c>
      <c r="G124" s="29">
        <f>IF($A124="","",BDP($C124,"EQY_DVD_YLD_IND"))</f>
        <v/>
      </c>
      <c r="H124" s="29">
        <f>IF($A124="","",BDP($C124,'Field Check'!$C$4))</f>
        <v/>
      </c>
      <c r="I124" s="30">
        <f>IFERROR(IF($B124="","",$B124/$B$3),"")</f>
        <v/>
      </c>
      <c r="J124" s="30">
        <f>IFERROR(IF($I124="","",$I124*IFERROR($G124,0)/100),"")</f>
        <v/>
      </c>
      <c r="K124" s="30">
        <f>IFERROR(IF($J124="","",IF(ISNUMBER($H124),$J124*$H124/'Index Summary'!$C$7,"")),"")</f>
        <v/>
      </c>
      <c r="L124" s="30">
        <f>IFERROR(IF($K124="","",$J124-$K124),"")</f>
        <v/>
      </c>
      <c r="M124" s="31">
        <f>IF($C124="","",IF(NOT(ISNUMBER($G124)),"No dividend",IF($G124=0,"No dividend",IF(ISNUMBER($H124),"OK","Franking n/a"))))</f>
        <v/>
      </c>
    </row>
    <row r="125">
      <c r="A125" s="16" t="n"/>
      <c r="B125" s="16" t="n"/>
      <c r="C125" s="16">
        <f>IF($A125="","",$A125&amp;" Equity")</f>
        <v/>
      </c>
      <c r="D125" s="16">
        <f>IF($A125="","",BDP($C125,"NAME"))</f>
        <v/>
      </c>
      <c r="E125" s="32">
        <f>IF($A125="","",BDP($C125,"EQY_DVD_SH_12M"))</f>
        <v/>
      </c>
      <c r="F125" s="33">
        <f>IF($A125="","",BDP($C125,"EQY_DVD_YLD_12M"))</f>
        <v/>
      </c>
      <c r="G125" s="33">
        <f>IF($A125="","",BDP($C125,"EQY_DVD_YLD_IND"))</f>
        <v/>
      </c>
      <c r="H125" s="33">
        <f>IF($A125="","",BDP($C125,'Field Check'!$C$4))</f>
        <v/>
      </c>
      <c r="I125" s="34">
        <f>IFERROR(IF($B125="","",$B125/$B$3),"")</f>
        <v/>
      </c>
      <c r="J125" s="34">
        <f>IFERROR(IF($I125="","",$I125*IFERROR($G125,0)/100),"")</f>
        <v/>
      </c>
      <c r="K125" s="34">
        <f>IFERROR(IF($J125="","",IF(ISNUMBER($H125),$J125*$H125/'Index Summary'!$C$7,"")),"")</f>
        <v/>
      </c>
      <c r="L125" s="34">
        <f>IFERROR(IF($K125="","",$J125-$K125),"")</f>
        <v/>
      </c>
      <c r="M125" s="35">
        <f>IF($C125="","",IF(NOT(ISNUMBER($G125)),"No dividend",IF($G125=0,"No dividend",IF(ISNUMBER($H125),"OK","Franking n/a"))))</f>
        <v/>
      </c>
    </row>
    <row r="126">
      <c r="A126" s="27" t="n"/>
      <c r="B126" s="27" t="n"/>
      <c r="C126" s="27">
        <f>IF($A126="","",$A126&amp;" Equity")</f>
        <v/>
      </c>
      <c r="D126" s="27">
        <f>IF($A126="","",BDP($C126,"NAME"))</f>
        <v/>
      </c>
      <c r="E126" s="28">
        <f>IF($A126="","",BDP($C126,"EQY_DVD_SH_12M"))</f>
        <v/>
      </c>
      <c r="F126" s="29">
        <f>IF($A126="","",BDP($C126,"EQY_DVD_YLD_12M"))</f>
        <v/>
      </c>
      <c r="G126" s="29">
        <f>IF($A126="","",BDP($C126,"EQY_DVD_YLD_IND"))</f>
        <v/>
      </c>
      <c r="H126" s="29">
        <f>IF($A126="","",BDP($C126,'Field Check'!$C$4))</f>
        <v/>
      </c>
      <c r="I126" s="30">
        <f>IFERROR(IF($B126="","",$B126/$B$3),"")</f>
        <v/>
      </c>
      <c r="J126" s="30">
        <f>IFERROR(IF($I126="","",$I126*IFERROR($G126,0)/100),"")</f>
        <v/>
      </c>
      <c r="K126" s="30">
        <f>IFERROR(IF($J126="","",IF(ISNUMBER($H126),$J126*$H126/'Index Summary'!$C$7,"")),"")</f>
        <v/>
      </c>
      <c r="L126" s="30">
        <f>IFERROR(IF($K126="","",$J126-$K126),"")</f>
        <v/>
      </c>
      <c r="M126" s="31">
        <f>IF($C126="","",IF(NOT(ISNUMBER($G126)),"No dividend",IF($G126=0,"No dividend",IF(ISNUMBER($H126),"OK","Franking n/a"))))</f>
        <v/>
      </c>
    </row>
    <row r="127">
      <c r="A127" s="16" t="n"/>
      <c r="B127" s="16" t="n"/>
      <c r="C127" s="16">
        <f>IF($A127="","",$A127&amp;" Equity")</f>
        <v/>
      </c>
      <c r="D127" s="16">
        <f>IF($A127="","",BDP($C127,"NAME"))</f>
        <v/>
      </c>
      <c r="E127" s="32">
        <f>IF($A127="","",BDP($C127,"EQY_DVD_SH_12M"))</f>
        <v/>
      </c>
      <c r="F127" s="33">
        <f>IF($A127="","",BDP($C127,"EQY_DVD_YLD_12M"))</f>
        <v/>
      </c>
      <c r="G127" s="33">
        <f>IF($A127="","",BDP($C127,"EQY_DVD_YLD_IND"))</f>
        <v/>
      </c>
      <c r="H127" s="33">
        <f>IF($A127="","",BDP($C127,'Field Check'!$C$4))</f>
        <v/>
      </c>
      <c r="I127" s="34">
        <f>IFERROR(IF($B127="","",$B127/$B$3),"")</f>
        <v/>
      </c>
      <c r="J127" s="34">
        <f>IFERROR(IF($I127="","",$I127*IFERROR($G127,0)/100),"")</f>
        <v/>
      </c>
      <c r="K127" s="34">
        <f>IFERROR(IF($J127="","",IF(ISNUMBER($H127),$J127*$H127/'Index Summary'!$C$7,"")),"")</f>
        <v/>
      </c>
      <c r="L127" s="34">
        <f>IFERROR(IF($K127="","",$J127-$K127),"")</f>
        <v/>
      </c>
      <c r="M127" s="35">
        <f>IF($C127="","",IF(NOT(ISNUMBER($G127)),"No dividend",IF($G127=0,"No dividend",IF(ISNUMBER($H127),"OK","Franking n/a"))))</f>
        <v/>
      </c>
    </row>
    <row r="128">
      <c r="A128" s="27" t="n"/>
      <c r="B128" s="27" t="n"/>
      <c r="C128" s="27">
        <f>IF($A128="","",$A128&amp;" Equity")</f>
        <v/>
      </c>
      <c r="D128" s="27">
        <f>IF($A128="","",BDP($C128,"NAME"))</f>
        <v/>
      </c>
      <c r="E128" s="28">
        <f>IF($A128="","",BDP($C128,"EQY_DVD_SH_12M"))</f>
        <v/>
      </c>
      <c r="F128" s="29">
        <f>IF($A128="","",BDP($C128,"EQY_DVD_YLD_12M"))</f>
        <v/>
      </c>
      <c r="G128" s="29">
        <f>IF($A128="","",BDP($C128,"EQY_DVD_YLD_IND"))</f>
        <v/>
      </c>
      <c r="H128" s="29">
        <f>IF($A128="","",BDP($C128,'Field Check'!$C$4))</f>
        <v/>
      </c>
      <c r="I128" s="30">
        <f>IFERROR(IF($B128="","",$B128/$B$3),"")</f>
        <v/>
      </c>
      <c r="J128" s="30">
        <f>IFERROR(IF($I128="","",$I128*IFERROR($G128,0)/100),"")</f>
        <v/>
      </c>
      <c r="K128" s="30">
        <f>IFERROR(IF($J128="","",IF(ISNUMBER($H128),$J128*$H128/'Index Summary'!$C$7,"")),"")</f>
        <v/>
      </c>
      <c r="L128" s="30">
        <f>IFERROR(IF($K128="","",$J128-$K128),"")</f>
        <v/>
      </c>
      <c r="M128" s="31">
        <f>IF($C128="","",IF(NOT(ISNUMBER($G128)),"No dividend",IF($G128=0,"No dividend",IF(ISNUMBER($H128),"OK","Franking n/a"))))</f>
        <v/>
      </c>
    </row>
    <row r="129">
      <c r="A129" s="16" t="n"/>
      <c r="B129" s="16" t="n"/>
      <c r="C129" s="16">
        <f>IF($A129="","",$A129&amp;" Equity")</f>
        <v/>
      </c>
      <c r="D129" s="16">
        <f>IF($A129="","",BDP($C129,"NAME"))</f>
        <v/>
      </c>
      <c r="E129" s="32">
        <f>IF($A129="","",BDP($C129,"EQY_DVD_SH_12M"))</f>
        <v/>
      </c>
      <c r="F129" s="33">
        <f>IF($A129="","",BDP($C129,"EQY_DVD_YLD_12M"))</f>
        <v/>
      </c>
      <c r="G129" s="33">
        <f>IF($A129="","",BDP($C129,"EQY_DVD_YLD_IND"))</f>
        <v/>
      </c>
      <c r="H129" s="33">
        <f>IF($A129="","",BDP($C129,'Field Check'!$C$4))</f>
        <v/>
      </c>
      <c r="I129" s="34">
        <f>IFERROR(IF($B129="","",$B129/$B$3),"")</f>
        <v/>
      </c>
      <c r="J129" s="34">
        <f>IFERROR(IF($I129="","",$I129*IFERROR($G129,0)/100),"")</f>
        <v/>
      </c>
      <c r="K129" s="34">
        <f>IFERROR(IF($J129="","",IF(ISNUMBER($H129),$J129*$H129/'Index Summary'!$C$7,"")),"")</f>
        <v/>
      </c>
      <c r="L129" s="34">
        <f>IFERROR(IF($K129="","",$J129-$K129),"")</f>
        <v/>
      </c>
      <c r="M129" s="35">
        <f>IF($C129="","",IF(NOT(ISNUMBER($G129)),"No dividend",IF($G129=0,"No dividend",IF(ISNUMBER($H129),"OK","Franking n/a"))))</f>
        <v/>
      </c>
    </row>
    <row r="130">
      <c r="A130" s="27" t="n"/>
      <c r="B130" s="27" t="n"/>
      <c r="C130" s="27">
        <f>IF($A130="","",$A130&amp;" Equity")</f>
        <v/>
      </c>
      <c r="D130" s="27">
        <f>IF($A130="","",BDP($C130,"NAME"))</f>
        <v/>
      </c>
      <c r="E130" s="28">
        <f>IF($A130="","",BDP($C130,"EQY_DVD_SH_12M"))</f>
        <v/>
      </c>
      <c r="F130" s="29">
        <f>IF($A130="","",BDP($C130,"EQY_DVD_YLD_12M"))</f>
        <v/>
      </c>
      <c r="G130" s="29">
        <f>IF($A130="","",BDP($C130,"EQY_DVD_YLD_IND"))</f>
        <v/>
      </c>
      <c r="H130" s="29">
        <f>IF($A130="","",BDP($C130,'Field Check'!$C$4))</f>
        <v/>
      </c>
      <c r="I130" s="30">
        <f>IFERROR(IF($B130="","",$B130/$B$3),"")</f>
        <v/>
      </c>
      <c r="J130" s="30">
        <f>IFERROR(IF($I130="","",$I130*IFERROR($G130,0)/100),"")</f>
        <v/>
      </c>
      <c r="K130" s="30">
        <f>IFERROR(IF($J130="","",IF(ISNUMBER($H130),$J130*$H130/'Index Summary'!$C$7,"")),"")</f>
        <v/>
      </c>
      <c r="L130" s="30">
        <f>IFERROR(IF($K130="","",$J130-$K130),"")</f>
        <v/>
      </c>
      <c r="M130" s="31">
        <f>IF($C130="","",IF(NOT(ISNUMBER($G130)),"No dividend",IF($G130=0,"No dividend",IF(ISNUMBER($H130),"OK","Franking n/a"))))</f>
        <v/>
      </c>
    </row>
    <row r="131">
      <c r="A131" s="16" t="n"/>
      <c r="B131" s="16" t="n"/>
      <c r="C131" s="16">
        <f>IF($A131="","",$A131&amp;" Equity")</f>
        <v/>
      </c>
      <c r="D131" s="16">
        <f>IF($A131="","",BDP($C131,"NAME"))</f>
        <v/>
      </c>
      <c r="E131" s="32">
        <f>IF($A131="","",BDP($C131,"EQY_DVD_SH_12M"))</f>
        <v/>
      </c>
      <c r="F131" s="33">
        <f>IF($A131="","",BDP($C131,"EQY_DVD_YLD_12M"))</f>
        <v/>
      </c>
      <c r="G131" s="33">
        <f>IF($A131="","",BDP($C131,"EQY_DVD_YLD_IND"))</f>
        <v/>
      </c>
      <c r="H131" s="33">
        <f>IF($A131="","",BDP($C131,'Field Check'!$C$4))</f>
        <v/>
      </c>
      <c r="I131" s="34">
        <f>IFERROR(IF($B131="","",$B131/$B$3),"")</f>
        <v/>
      </c>
      <c r="J131" s="34">
        <f>IFERROR(IF($I131="","",$I131*IFERROR($G131,0)/100),"")</f>
        <v/>
      </c>
      <c r="K131" s="34">
        <f>IFERROR(IF($J131="","",IF(ISNUMBER($H131),$J131*$H131/'Index Summary'!$C$7,"")),"")</f>
        <v/>
      </c>
      <c r="L131" s="34">
        <f>IFERROR(IF($K131="","",$J131-$K131),"")</f>
        <v/>
      </c>
      <c r="M131" s="35">
        <f>IF($C131="","",IF(NOT(ISNUMBER($G131)),"No dividend",IF($G131=0,"No dividend",IF(ISNUMBER($H131),"OK","Franking n/a"))))</f>
        <v/>
      </c>
    </row>
    <row r="132">
      <c r="A132" s="27" t="n"/>
      <c r="B132" s="27" t="n"/>
      <c r="C132" s="27">
        <f>IF($A132="","",$A132&amp;" Equity")</f>
        <v/>
      </c>
      <c r="D132" s="27">
        <f>IF($A132="","",BDP($C132,"NAME"))</f>
        <v/>
      </c>
      <c r="E132" s="28">
        <f>IF($A132="","",BDP($C132,"EQY_DVD_SH_12M"))</f>
        <v/>
      </c>
      <c r="F132" s="29">
        <f>IF($A132="","",BDP($C132,"EQY_DVD_YLD_12M"))</f>
        <v/>
      </c>
      <c r="G132" s="29">
        <f>IF($A132="","",BDP($C132,"EQY_DVD_YLD_IND"))</f>
        <v/>
      </c>
      <c r="H132" s="29">
        <f>IF($A132="","",BDP($C132,'Field Check'!$C$4))</f>
        <v/>
      </c>
      <c r="I132" s="30">
        <f>IFERROR(IF($B132="","",$B132/$B$3),"")</f>
        <v/>
      </c>
      <c r="J132" s="30">
        <f>IFERROR(IF($I132="","",$I132*IFERROR($G132,0)/100),"")</f>
        <v/>
      </c>
      <c r="K132" s="30">
        <f>IFERROR(IF($J132="","",IF(ISNUMBER($H132),$J132*$H132/'Index Summary'!$C$7,"")),"")</f>
        <v/>
      </c>
      <c r="L132" s="30">
        <f>IFERROR(IF($K132="","",$J132-$K132),"")</f>
        <v/>
      </c>
      <c r="M132" s="31">
        <f>IF($C132="","",IF(NOT(ISNUMBER($G132)),"No dividend",IF($G132=0,"No dividend",IF(ISNUMBER($H132),"OK","Franking n/a"))))</f>
        <v/>
      </c>
    </row>
    <row r="133">
      <c r="A133" s="16" t="n"/>
      <c r="B133" s="16" t="n"/>
      <c r="C133" s="16">
        <f>IF($A133="","",$A133&amp;" Equity")</f>
        <v/>
      </c>
      <c r="D133" s="16">
        <f>IF($A133="","",BDP($C133,"NAME"))</f>
        <v/>
      </c>
      <c r="E133" s="32">
        <f>IF($A133="","",BDP($C133,"EQY_DVD_SH_12M"))</f>
        <v/>
      </c>
      <c r="F133" s="33">
        <f>IF($A133="","",BDP($C133,"EQY_DVD_YLD_12M"))</f>
        <v/>
      </c>
      <c r="G133" s="33">
        <f>IF($A133="","",BDP($C133,"EQY_DVD_YLD_IND"))</f>
        <v/>
      </c>
      <c r="H133" s="33">
        <f>IF($A133="","",BDP($C133,'Field Check'!$C$4))</f>
        <v/>
      </c>
      <c r="I133" s="34">
        <f>IFERROR(IF($B133="","",$B133/$B$3),"")</f>
        <v/>
      </c>
      <c r="J133" s="34">
        <f>IFERROR(IF($I133="","",$I133*IFERROR($G133,0)/100),"")</f>
        <v/>
      </c>
      <c r="K133" s="34">
        <f>IFERROR(IF($J133="","",IF(ISNUMBER($H133),$J133*$H133/'Index Summary'!$C$7,"")),"")</f>
        <v/>
      </c>
      <c r="L133" s="34">
        <f>IFERROR(IF($K133="","",$J133-$K133),"")</f>
        <v/>
      </c>
      <c r="M133" s="35">
        <f>IF($C133="","",IF(NOT(ISNUMBER($G133)),"No dividend",IF($G133=0,"No dividend",IF(ISNUMBER($H133),"OK","Franking n/a"))))</f>
        <v/>
      </c>
    </row>
    <row r="134">
      <c r="A134" s="27" t="n"/>
      <c r="B134" s="27" t="n"/>
      <c r="C134" s="27">
        <f>IF($A134="","",$A134&amp;" Equity")</f>
        <v/>
      </c>
      <c r="D134" s="27">
        <f>IF($A134="","",BDP($C134,"NAME"))</f>
        <v/>
      </c>
      <c r="E134" s="28">
        <f>IF($A134="","",BDP($C134,"EQY_DVD_SH_12M"))</f>
        <v/>
      </c>
      <c r="F134" s="29">
        <f>IF($A134="","",BDP($C134,"EQY_DVD_YLD_12M"))</f>
        <v/>
      </c>
      <c r="G134" s="29">
        <f>IF($A134="","",BDP($C134,"EQY_DVD_YLD_IND"))</f>
        <v/>
      </c>
      <c r="H134" s="29">
        <f>IF($A134="","",BDP($C134,'Field Check'!$C$4))</f>
        <v/>
      </c>
      <c r="I134" s="30">
        <f>IFERROR(IF($B134="","",$B134/$B$3),"")</f>
        <v/>
      </c>
      <c r="J134" s="30">
        <f>IFERROR(IF($I134="","",$I134*IFERROR($G134,0)/100),"")</f>
        <v/>
      </c>
      <c r="K134" s="30">
        <f>IFERROR(IF($J134="","",IF(ISNUMBER($H134),$J134*$H134/'Index Summary'!$C$7,"")),"")</f>
        <v/>
      </c>
      <c r="L134" s="30">
        <f>IFERROR(IF($K134="","",$J134-$K134),"")</f>
        <v/>
      </c>
      <c r="M134" s="31">
        <f>IF($C134="","",IF(NOT(ISNUMBER($G134)),"No dividend",IF($G134=0,"No dividend",IF(ISNUMBER($H134),"OK","Franking n/a"))))</f>
        <v/>
      </c>
    </row>
    <row r="135">
      <c r="A135" s="16" t="n"/>
      <c r="B135" s="16" t="n"/>
      <c r="C135" s="16">
        <f>IF($A135="","",$A135&amp;" Equity")</f>
        <v/>
      </c>
      <c r="D135" s="16">
        <f>IF($A135="","",BDP($C135,"NAME"))</f>
        <v/>
      </c>
      <c r="E135" s="32">
        <f>IF($A135="","",BDP($C135,"EQY_DVD_SH_12M"))</f>
        <v/>
      </c>
      <c r="F135" s="33">
        <f>IF($A135="","",BDP($C135,"EQY_DVD_YLD_12M"))</f>
        <v/>
      </c>
      <c r="G135" s="33">
        <f>IF($A135="","",BDP($C135,"EQY_DVD_YLD_IND"))</f>
        <v/>
      </c>
      <c r="H135" s="33">
        <f>IF($A135="","",BDP($C135,'Field Check'!$C$4))</f>
        <v/>
      </c>
      <c r="I135" s="34">
        <f>IFERROR(IF($B135="","",$B135/$B$3),"")</f>
        <v/>
      </c>
      <c r="J135" s="34">
        <f>IFERROR(IF($I135="","",$I135*IFERROR($G135,0)/100),"")</f>
        <v/>
      </c>
      <c r="K135" s="34">
        <f>IFERROR(IF($J135="","",IF(ISNUMBER($H135),$J135*$H135/'Index Summary'!$C$7,"")),"")</f>
        <v/>
      </c>
      <c r="L135" s="34">
        <f>IFERROR(IF($K135="","",$J135-$K135),"")</f>
        <v/>
      </c>
      <c r="M135" s="35">
        <f>IF($C135="","",IF(NOT(ISNUMBER($G135)),"No dividend",IF($G135=0,"No dividend",IF(ISNUMBER($H135),"OK","Franking n/a"))))</f>
        <v/>
      </c>
    </row>
    <row r="136">
      <c r="A136" s="27" t="n"/>
      <c r="B136" s="27" t="n"/>
      <c r="C136" s="27">
        <f>IF($A136="","",$A136&amp;" Equity")</f>
        <v/>
      </c>
      <c r="D136" s="27">
        <f>IF($A136="","",BDP($C136,"NAME"))</f>
        <v/>
      </c>
      <c r="E136" s="28">
        <f>IF($A136="","",BDP($C136,"EQY_DVD_SH_12M"))</f>
        <v/>
      </c>
      <c r="F136" s="29">
        <f>IF($A136="","",BDP($C136,"EQY_DVD_YLD_12M"))</f>
        <v/>
      </c>
      <c r="G136" s="29">
        <f>IF($A136="","",BDP($C136,"EQY_DVD_YLD_IND"))</f>
        <v/>
      </c>
      <c r="H136" s="29">
        <f>IF($A136="","",BDP($C136,'Field Check'!$C$4))</f>
        <v/>
      </c>
      <c r="I136" s="30">
        <f>IFERROR(IF($B136="","",$B136/$B$3),"")</f>
        <v/>
      </c>
      <c r="J136" s="30">
        <f>IFERROR(IF($I136="","",$I136*IFERROR($G136,0)/100),"")</f>
        <v/>
      </c>
      <c r="K136" s="30">
        <f>IFERROR(IF($J136="","",IF(ISNUMBER($H136),$J136*$H136/'Index Summary'!$C$7,"")),"")</f>
        <v/>
      </c>
      <c r="L136" s="30">
        <f>IFERROR(IF($K136="","",$J136-$K136),"")</f>
        <v/>
      </c>
      <c r="M136" s="31">
        <f>IF($C136="","",IF(NOT(ISNUMBER($G136)),"No dividend",IF($G136=0,"No dividend",IF(ISNUMBER($H136),"OK","Franking n/a"))))</f>
        <v/>
      </c>
    </row>
    <row r="137">
      <c r="A137" s="16" t="n"/>
      <c r="B137" s="16" t="n"/>
      <c r="C137" s="16">
        <f>IF($A137="","",$A137&amp;" Equity")</f>
        <v/>
      </c>
      <c r="D137" s="16">
        <f>IF($A137="","",BDP($C137,"NAME"))</f>
        <v/>
      </c>
      <c r="E137" s="32">
        <f>IF($A137="","",BDP($C137,"EQY_DVD_SH_12M"))</f>
        <v/>
      </c>
      <c r="F137" s="33">
        <f>IF($A137="","",BDP($C137,"EQY_DVD_YLD_12M"))</f>
        <v/>
      </c>
      <c r="G137" s="33">
        <f>IF($A137="","",BDP($C137,"EQY_DVD_YLD_IND"))</f>
        <v/>
      </c>
      <c r="H137" s="33">
        <f>IF($A137="","",BDP($C137,'Field Check'!$C$4))</f>
        <v/>
      </c>
      <c r="I137" s="34">
        <f>IFERROR(IF($B137="","",$B137/$B$3),"")</f>
        <v/>
      </c>
      <c r="J137" s="34">
        <f>IFERROR(IF($I137="","",$I137*IFERROR($G137,0)/100),"")</f>
        <v/>
      </c>
      <c r="K137" s="34">
        <f>IFERROR(IF($J137="","",IF(ISNUMBER($H137),$J137*$H137/'Index Summary'!$C$7,"")),"")</f>
        <v/>
      </c>
      <c r="L137" s="34">
        <f>IFERROR(IF($K137="","",$J137-$K137),"")</f>
        <v/>
      </c>
      <c r="M137" s="35">
        <f>IF($C137="","",IF(NOT(ISNUMBER($G137)),"No dividend",IF($G137=0,"No dividend",IF(ISNUMBER($H137),"OK","Franking n/a"))))</f>
        <v/>
      </c>
    </row>
    <row r="138">
      <c r="A138" s="27" t="n"/>
      <c r="B138" s="27" t="n"/>
      <c r="C138" s="27">
        <f>IF($A138="","",$A138&amp;" Equity")</f>
        <v/>
      </c>
      <c r="D138" s="27">
        <f>IF($A138="","",BDP($C138,"NAME"))</f>
        <v/>
      </c>
      <c r="E138" s="28">
        <f>IF($A138="","",BDP($C138,"EQY_DVD_SH_12M"))</f>
        <v/>
      </c>
      <c r="F138" s="29">
        <f>IF($A138="","",BDP($C138,"EQY_DVD_YLD_12M"))</f>
        <v/>
      </c>
      <c r="G138" s="29">
        <f>IF($A138="","",BDP($C138,"EQY_DVD_YLD_IND"))</f>
        <v/>
      </c>
      <c r="H138" s="29">
        <f>IF($A138="","",BDP($C138,'Field Check'!$C$4))</f>
        <v/>
      </c>
      <c r="I138" s="30">
        <f>IFERROR(IF($B138="","",$B138/$B$3),"")</f>
        <v/>
      </c>
      <c r="J138" s="30">
        <f>IFERROR(IF($I138="","",$I138*IFERROR($G138,0)/100),"")</f>
        <v/>
      </c>
      <c r="K138" s="30">
        <f>IFERROR(IF($J138="","",IF(ISNUMBER($H138),$J138*$H138/'Index Summary'!$C$7,"")),"")</f>
        <v/>
      </c>
      <c r="L138" s="30">
        <f>IFERROR(IF($K138="","",$J138-$K138),"")</f>
        <v/>
      </c>
      <c r="M138" s="31">
        <f>IF($C138="","",IF(NOT(ISNUMBER($G138)),"No dividend",IF($G138=0,"No dividend",IF(ISNUMBER($H138),"OK","Franking n/a"))))</f>
        <v/>
      </c>
    </row>
    <row r="139">
      <c r="A139" s="16" t="n"/>
      <c r="B139" s="16" t="n"/>
      <c r="C139" s="16">
        <f>IF($A139="","",$A139&amp;" Equity")</f>
        <v/>
      </c>
      <c r="D139" s="16">
        <f>IF($A139="","",BDP($C139,"NAME"))</f>
        <v/>
      </c>
      <c r="E139" s="32">
        <f>IF($A139="","",BDP($C139,"EQY_DVD_SH_12M"))</f>
        <v/>
      </c>
      <c r="F139" s="33">
        <f>IF($A139="","",BDP($C139,"EQY_DVD_YLD_12M"))</f>
        <v/>
      </c>
      <c r="G139" s="33">
        <f>IF($A139="","",BDP($C139,"EQY_DVD_YLD_IND"))</f>
        <v/>
      </c>
      <c r="H139" s="33">
        <f>IF($A139="","",BDP($C139,'Field Check'!$C$4))</f>
        <v/>
      </c>
      <c r="I139" s="34">
        <f>IFERROR(IF($B139="","",$B139/$B$3),"")</f>
        <v/>
      </c>
      <c r="J139" s="34">
        <f>IFERROR(IF($I139="","",$I139*IFERROR($G139,0)/100),"")</f>
        <v/>
      </c>
      <c r="K139" s="34">
        <f>IFERROR(IF($J139="","",IF(ISNUMBER($H139),$J139*$H139/'Index Summary'!$C$7,"")),"")</f>
        <v/>
      </c>
      <c r="L139" s="34">
        <f>IFERROR(IF($K139="","",$J139-$K139),"")</f>
        <v/>
      </c>
      <c r="M139" s="35">
        <f>IF($C139="","",IF(NOT(ISNUMBER($G139)),"No dividend",IF($G139=0,"No dividend",IF(ISNUMBER($H139),"OK","Franking n/a"))))</f>
        <v/>
      </c>
    </row>
    <row r="140">
      <c r="A140" s="27" t="n"/>
      <c r="B140" s="27" t="n"/>
      <c r="C140" s="27">
        <f>IF($A140="","",$A140&amp;" Equity")</f>
        <v/>
      </c>
      <c r="D140" s="27">
        <f>IF($A140="","",BDP($C140,"NAME"))</f>
        <v/>
      </c>
      <c r="E140" s="28">
        <f>IF($A140="","",BDP($C140,"EQY_DVD_SH_12M"))</f>
        <v/>
      </c>
      <c r="F140" s="29">
        <f>IF($A140="","",BDP($C140,"EQY_DVD_YLD_12M"))</f>
        <v/>
      </c>
      <c r="G140" s="29">
        <f>IF($A140="","",BDP($C140,"EQY_DVD_YLD_IND"))</f>
        <v/>
      </c>
      <c r="H140" s="29">
        <f>IF($A140="","",BDP($C140,'Field Check'!$C$4))</f>
        <v/>
      </c>
      <c r="I140" s="30">
        <f>IFERROR(IF($B140="","",$B140/$B$3),"")</f>
        <v/>
      </c>
      <c r="J140" s="30">
        <f>IFERROR(IF($I140="","",$I140*IFERROR($G140,0)/100),"")</f>
        <v/>
      </c>
      <c r="K140" s="30">
        <f>IFERROR(IF($J140="","",IF(ISNUMBER($H140),$J140*$H140/'Index Summary'!$C$7,"")),"")</f>
        <v/>
      </c>
      <c r="L140" s="30">
        <f>IFERROR(IF($K140="","",$J140-$K140),"")</f>
        <v/>
      </c>
      <c r="M140" s="31">
        <f>IF($C140="","",IF(NOT(ISNUMBER($G140)),"No dividend",IF($G140=0,"No dividend",IF(ISNUMBER($H140),"OK","Franking n/a"))))</f>
        <v/>
      </c>
    </row>
    <row r="141">
      <c r="A141" s="16" t="n"/>
      <c r="B141" s="16" t="n"/>
      <c r="C141" s="16">
        <f>IF($A141="","",$A141&amp;" Equity")</f>
        <v/>
      </c>
      <c r="D141" s="16">
        <f>IF($A141="","",BDP($C141,"NAME"))</f>
        <v/>
      </c>
      <c r="E141" s="32">
        <f>IF($A141="","",BDP($C141,"EQY_DVD_SH_12M"))</f>
        <v/>
      </c>
      <c r="F141" s="33">
        <f>IF($A141="","",BDP($C141,"EQY_DVD_YLD_12M"))</f>
        <v/>
      </c>
      <c r="G141" s="33">
        <f>IF($A141="","",BDP($C141,"EQY_DVD_YLD_IND"))</f>
        <v/>
      </c>
      <c r="H141" s="33">
        <f>IF($A141="","",BDP($C141,'Field Check'!$C$4))</f>
        <v/>
      </c>
      <c r="I141" s="34">
        <f>IFERROR(IF($B141="","",$B141/$B$3),"")</f>
        <v/>
      </c>
      <c r="J141" s="34">
        <f>IFERROR(IF($I141="","",$I141*IFERROR($G141,0)/100),"")</f>
        <v/>
      </c>
      <c r="K141" s="34">
        <f>IFERROR(IF($J141="","",IF(ISNUMBER($H141),$J141*$H141/'Index Summary'!$C$7,"")),"")</f>
        <v/>
      </c>
      <c r="L141" s="34">
        <f>IFERROR(IF($K141="","",$J141-$K141),"")</f>
        <v/>
      </c>
      <c r="M141" s="35">
        <f>IF($C141="","",IF(NOT(ISNUMBER($G141)),"No dividend",IF($G141=0,"No dividend",IF(ISNUMBER($H141),"OK","Franking n/a"))))</f>
        <v/>
      </c>
    </row>
    <row r="142">
      <c r="A142" s="27" t="n"/>
      <c r="B142" s="27" t="n"/>
      <c r="C142" s="27">
        <f>IF($A142="","",$A142&amp;" Equity")</f>
        <v/>
      </c>
      <c r="D142" s="27">
        <f>IF($A142="","",BDP($C142,"NAME"))</f>
        <v/>
      </c>
      <c r="E142" s="28">
        <f>IF($A142="","",BDP($C142,"EQY_DVD_SH_12M"))</f>
        <v/>
      </c>
      <c r="F142" s="29">
        <f>IF($A142="","",BDP($C142,"EQY_DVD_YLD_12M"))</f>
        <v/>
      </c>
      <c r="G142" s="29">
        <f>IF($A142="","",BDP($C142,"EQY_DVD_YLD_IND"))</f>
        <v/>
      </c>
      <c r="H142" s="29">
        <f>IF($A142="","",BDP($C142,'Field Check'!$C$4))</f>
        <v/>
      </c>
      <c r="I142" s="30">
        <f>IFERROR(IF($B142="","",$B142/$B$3),"")</f>
        <v/>
      </c>
      <c r="J142" s="30">
        <f>IFERROR(IF($I142="","",$I142*IFERROR($G142,0)/100),"")</f>
        <v/>
      </c>
      <c r="K142" s="30">
        <f>IFERROR(IF($J142="","",IF(ISNUMBER($H142),$J142*$H142/'Index Summary'!$C$7,"")),"")</f>
        <v/>
      </c>
      <c r="L142" s="30">
        <f>IFERROR(IF($K142="","",$J142-$K142),"")</f>
        <v/>
      </c>
      <c r="M142" s="31">
        <f>IF($C142="","",IF(NOT(ISNUMBER($G142)),"No dividend",IF($G142=0,"No dividend",IF(ISNUMBER($H142),"OK","Franking n/a"))))</f>
        <v/>
      </c>
    </row>
    <row r="143">
      <c r="A143" s="16" t="n"/>
      <c r="B143" s="16" t="n"/>
      <c r="C143" s="16">
        <f>IF($A143="","",$A143&amp;" Equity")</f>
        <v/>
      </c>
      <c r="D143" s="16">
        <f>IF($A143="","",BDP($C143,"NAME"))</f>
        <v/>
      </c>
      <c r="E143" s="32">
        <f>IF($A143="","",BDP($C143,"EQY_DVD_SH_12M"))</f>
        <v/>
      </c>
      <c r="F143" s="33">
        <f>IF($A143="","",BDP($C143,"EQY_DVD_YLD_12M"))</f>
        <v/>
      </c>
      <c r="G143" s="33">
        <f>IF($A143="","",BDP($C143,"EQY_DVD_YLD_IND"))</f>
        <v/>
      </c>
      <c r="H143" s="33">
        <f>IF($A143="","",BDP($C143,'Field Check'!$C$4))</f>
        <v/>
      </c>
      <c r="I143" s="34">
        <f>IFERROR(IF($B143="","",$B143/$B$3),"")</f>
        <v/>
      </c>
      <c r="J143" s="34">
        <f>IFERROR(IF($I143="","",$I143*IFERROR($G143,0)/100),"")</f>
        <v/>
      </c>
      <c r="K143" s="34">
        <f>IFERROR(IF($J143="","",IF(ISNUMBER($H143),$J143*$H143/'Index Summary'!$C$7,"")),"")</f>
        <v/>
      </c>
      <c r="L143" s="34">
        <f>IFERROR(IF($K143="","",$J143-$K143),"")</f>
        <v/>
      </c>
      <c r="M143" s="35">
        <f>IF($C143="","",IF(NOT(ISNUMBER($G143)),"No dividend",IF($G143=0,"No dividend",IF(ISNUMBER($H143),"OK","Franking n/a"))))</f>
        <v/>
      </c>
    </row>
    <row r="144">
      <c r="A144" s="27" t="n"/>
      <c r="B144" s="27" t="n"/>
      <c r="C144" s="27">
        <f>IF($A144="","",$A144&amp;" Equity")</f>
        <v/>
      </c>
      <c r="D144" s="27">
        <f>IF($A144="","",BDP($C144,"NAME"))</f>
        <v/>
      </c>
      <c r="E144" s="28">
        <f>IF($A144="","",BDP($C144,"EQY_DVD_SH_12M"))</f>
        <v/>
      </c>
      <c r="F144" s="29">
        <f>IF($A144="","",BDP($C144,"EQY_DVD_YLD_12M"))</f>
        <v/>
      </c>
      <c r="G144" s="29">
        <f>IF($A144="","",BDP($C144,"EQY_DVD_YLD_IND"))</f>
        <v/>
      </c>
      <c r="H144" s="29">
        <f>IF($A144="","",BDP($C144,'Field Check'!$C$4))</f>
        <v/>
      </c>
      <c r="I144" s="30">
        <f>IFERROR(IF($B144="","",$B144/$B$3),"")</f>
        <v/>
      </c>
      <c r="J144" s="30">
        <f>IFERROR(IF($I144="","",$I144*IFERROR($G144,0)/100),"")</f>
        <v/>
      </c>
      <c r="K144" s="30">
        <f>IFERROR(IF($J144="","",IF(ISNUMBER($H144),$J144*$H144/'Index Summary'!$C$7,"")),"")</f>
        <v/>
      </c>
      <c r="L144" s="30">
        <f>IFERROR(IF($K144="","",$J144-$K144),"")</f>
        <v/>
      </c>
      <c r="M144" s="31">
        <f>IF($C144="","",IF(NOT(ISNUMBER($G144)),"No dividend",IF($G144=0,"No dividend",IF(ISNUMBER($H144),"OK","Franking n/a"))))</f>
        <v/>
      </c>
    </row>
    <row r="145">
      <c r="A145" s="16" t="n"/>
      <c r="B145" s="16" t="n"/>
      <c r="C145" s="16">
        <f>IF($A145="","",$A145&amp;" Equity")</f>
        <v/>
      </c>
      <c r="D145" s="16">
        <f>IF($A145="","",BDP($C145,"NAME"))</f>
        <v/>
      </c>
      <c r="E145" s="32">
        <f>IF($A145="","",BDP($C145,"EQY_DVD_SH_12M"))</f>
        <v/>
      </c>
      <c r="F145" s="33">
        <f>IF($A145="","",BDP($C145,"EQY_DVD_YLD_12M"))</f>
        <v/>
      </c>
      <c r="G145" s="33">
        <f>IF($A145="","",BDP($C145,"EQY_DVD_YLD_IND"))</f>
        <v/>
      </c>
      <c r="H145" s="33">
        <f>IF($A145="","",BDP($C145,'Field Check'!$C$4))</f>
        <v/>
      </c>
      <c r="I145" s="34">
        <f>IFERROR(IF($B145="","",$B145/$B$3),"")</f>
        <v/>
      </c>
      <c r="J145" s="34">
        <f>IFERROR(IF($I145="","",$I145*IFERROR($G145,0)/100),"")</f>
        <v/>
      </c>
      <c r="K145" s="34">
        <f>IFERROR(IF($J145="","",IF(ISNUMBER($H145),$J145*$H145/'Index Summary'!$C$7,"")),"")</f>
        <v/>
      </c>
      <c r="L145" s="34">
        <f>IFERROR(IF($K145="","",$J145-$K145),"")</f>
        <v/>
      </c>
      <c r="M145" s="35">
        <f>IF($C145="","",IF(NOT(ISNUMBER($G145)),"No dividend",IF($G145=0,"No dividend",IF(ISNUMBER($H145),"OK","Franking n/a"))))</f>
        <v/>
      </c>
    </row>
    <row r="146">
      <c r="A146" s="27" t="n"/>
      <c r="B146" s="27" t="n"/>
      <c r="C146" s="27">
        <f>IF($A146="","",$A146&amp;" Equity")</f>
        <v/>
      </c>
      <c r="D146" s="27">
        <f>IF($A146="","",BDP($C146,"NAME"))</f>
        <v/>
      </c>
      <c r="E146" s="28">
        <f>IF($A146="","",BDP($C146,"EQY_DVD_SH_12M"))</f>
        <v/>
      </c>
      <c r="F146" s="29">
        <f>IF($A146="","",BDP($C146,"EQY_DVD_YLD_12M"))</f>
        <v/>
      </c>
      <c r="G146" s="29">
        <f>IF($A146="","",BDP($C146,"EQY_DVD_YLD_IND"))</f>
        <v/>
      </c>
      <c r="H146" s="29">
        <f>IF($A146="","",BDP($C146,'Field Check'!$C$4))</f>
        <v/>
      </c>
      <c r="I146" s="30">
        <f>IFERROR(IF($B146="","",$B146/$B$3),"")</f>
        <v/>
      </c>
      <c r="J146" s="30">
        <f>IFERROR(IF($I146="","",$I146*IFERROR($G146,0)/100),"")</f>
        <v/>
      </c>
      <c r="K146" s="30">
        <f>IFERROR(IF($J146="","",IF(ISNUMBER($H146),$J146*$H146/'Index Summary'!$C$7,"")),"")</f>
        <v/>
      </c>
      <c r="L146" s="30">
        <f>IFERROR(IF($K146="","",$J146-$K146),"")</f>
        <v/>
      </c>
      <c r="M146" s="31">
        <f>IF($C146="","",IF(NOT(ISNUMBER($G146)),"No dividend",IF($G146=0,"No dividend",IF(ISNUMBER($H146),"OK","Franking n/a"))))</f>
        <v/>
      </c>
    </row>
    <row r="147">
      <c r="A147" s="16" t="n"/>
      <c r="B147" s="16" t="n"/>
      <c r="C147" s="16">
        <f>IF($A147="","",$A147&amp;" Equity")</f>
        <v/>
      </c>
      <c r="D147" s="16">
        <f>IF($A147="","",BDP($C147,"NAME"))</f>
        <v/>
      </c>
      <c r="E147" s="32">
        <f>IF($A147="","",BDP($C147,"EQY_DVD_SH_12M"))</f>
        <v/>
      </c>
      <c r="F147" s="33">
        <f>IF($A147="","",BDP($C147,"EQY_DVD_YLD_12M"))</f>
        <v/>
      </c>
      <c r="G147" s="33">
        <f>IF($A147="","",BDP($C147,"EQY_DVD_YLD_IND"))</f>
        <v/>
      </c>
      <c r="H147" s="33">
        <f>IF($A147="","",BDP($C147,'Field Check'!$C$4))</f>
        <v/>
      </c>
      <c r="I147" s="34">
        <f>IFERROR(IF($B147="","",$B147/$B$3),"")</f>
        <v/>
      </c>
      <c r="J147" s="34">
        <f>IFERROR(IF($I147="","",$I147*IFERROR($G147,0)/100),"")</f>
        <v/>
      </c>
      <c r="K147" s="34">
        <f>IFERROR(IF($J147="","",IF(ISNUMBER($H147),$J147*$H147/'Index Summary'!$C$7,"")),"")</f>
        <v/>
      </c>
      <c r="L147" s="34">
        <f>IFERROR(IF($K147="","",$J147-$K147),"")</f>
        <v/>
      </c>
      <c r="M147" s="35">
        <f>IF($C147="","",IF(NOT(ISNUMBER($G147)),"No dividend",IF($G147=0,"No dividend",IF(ISNUMBER($H147),"OK","Franking n/a"))))</f>
        <v/>
      </c>
    </row>
    <row r="148">
      <c r="A148" s="27" t="n"/>
      <c r="B148" s="27" t="n"/>
      <c r="C148" s="27">
        <f>IF($A148="","",$A148&amp;" Equity")</f>
        <v/>
      </c>
      <c r="D148" s="27">
        <f>IF($A148="","",BDP($C148,"NAME"))</f>
        <v/>
      </c>
      <c r="E148" s="28">
        <f>IF($A148="","",BDP($C148,"EQY_DVD_SH_12M"))</f>
        <v/>
      </c>
      <c r="F148" s="29">
        <f>IF($A148="","",BDP($C148,"EQY_DVD_YLD_12M"))</f>
        <v/>
      </c>
      <c r="G148" s="29">
        <f>IF($A148="","",BDP($C148,"EQY_DVD_YLD_IND"))</f>
        <v/>
      </c>
      <c r="H148" s="29">
        <f>IF($A148="","",BDP($C148,'Field Check'!$C$4))</f>
        <v/>
      </c>
      <c r="I148" s="30">
        <f>IFERROR(IF($B148="","",$B148/$B$3),"")</f>
        <v/>
      </c>
      <c r="J148" s="30">
        <f>IFERROR(IF($I148="","",$I148*IFERROR($G148,0)/100),"")</f>
        <v/>
      </c>
      <c r="K148" s="30">
        <f>IFERROR(IF($J148="","",IF(ISNUMBER($H148),$J148*$H148/'Index Summary'!$C$7,"")),"")</f>
        <v/>
      </c>
      <c r="L148" s="30">
        <f>IFERROR(IF($K148="","",$J148-$K148),"")</f>
        <v/>
      </c>
      <c r="M148" s="31">
        <f>IF($C148="","",IF(NOT(ISNUMBER($G148)),"No dividend",IF($G148=0,"No dividend",IF(ISNUMBER($H148),"OK","Franking n/a"))))</f>
        <v/>
      </c>
    </row>
    <row r="149">
      <c r="A149" s="16" t="n"/>
      <c r="B149" s="16" t="n"/>
      <c r="C149" s="16">
        <f>IF($A149="","",$A149&amp;" Equity")</f>
        <v/>
      </c>
      <c r="D149" s="16">
        <f>IF($A149="","",BDP($C149,"NAME"))</f>
        <v/>
      </c>
      <c r="E149" s="32">
        <f>IF($A149="","",BDP($C149,"EQY_DVD_SH_12M"))</f>
        <v/>
      </c>
      <c r="F149" s="33">
        <f>IF($A149="","",BDP($C149,"EQY_DVD_YLD_12M"))</f>
        <v/>
      </c>
      <c r="G149" s="33">
        <f>IF($A149="","",BDP($C149,"EQY_DVD_YLD_IND"))</f>
        <v/>
      </c>
      <c r="H149" s="33">
        <f>IF($A149="","",BDP($C149,'Field Check'!$C$4))</f>
        <v/>
      </c>
      <c r="I149" s="34">
        <f>IFERROR(IF($B149="","",$B149/$B$3),"")</f>
        <v/>
      </c>
      <c r="J149" s="34">
        <f>IFERROR(IF($I149="","",$I149*IFERROR($G149,0)/100),"")</f>
        <v/>
      </c>
      <c r="K149" s="34">
        <f>IFERROR(IF($J149="","",IF(ISNUMBER($H149),$J149*$H149/'Index Summary'!$C$7,"")),"")</f>
        <v/>
      </c>
      <c r="L149" s="34">
        <f>IFERROR(IF($K149="","",$J149-$K149),"")</f>
        <v/>
      </c>
      <c r="M149" s="35">
        <f>IF($C149="","",IF(NOT(ISNUMBER($G149)),"No dividend",IF($G149=0,"No dividend",IF(ISNUMBER($H149),"OK","Franking n/a"))))</f>
        <v/>
      </c>
    </row>
    <row r="150">
      <c r="A150" s="27" t="n"/>
      <c r="B150" s="27" t="n"/>
      <c r="C150" s="27">
        <f>IF($A150="","",$A150&amp;" Equity")</f>
        <v/>
      </c>
      <c r="D150" s="27">
        <f>IF($A150="","",BDP($C150,"NAME"))</f>
        <v/>
      </c>
      <c r="E150" s="28">
        <f>IF($A150="","",BDP($C150,"EQY_DVD_SH_12M"))</f>
        <v/>
      </c>
      <c r="F150" s="29">
        <f>IF($A150="","",BDP($C150,"EQY_DVD_YLD_12M"))</f>
        <v/>
      </c>
      <c r="G150" s="29">
        <f>IF($A150="","",BDP($C150,"EQY_DVD_YLD_IND"))</f>
        <v/>
      </c>
      <c r="H150" s="29">
        <f>IF($A150="","",BDP($C150,'Field Check'!$C$4))</f>
        <v/>
      </c>
      <c r="I150" s="30">
        <f>IFERROR(IF($B150="","",$B150/$B$3),"")</f>
        <v/>
      </c>
      <c r="J150" s="30">
        <f>IFERROR(IF($I150="","",$I150*IFERROR($G150,0)/100),"")</f>
        <v/>
      </c>
      <c r="K150" s="30">
        <f>IFERROR(IF($J150="","",IF(ISNUMBER($H150),$J150*$H150/'Index Summary'!$C$7,"")),"")</f>
        <v/>
      </c>
      <c r="L150" s="30">
        <f>IFERROR(IF($K150="","",$J150-$K150),"")</f>
        <v/>
      </c>
      <c r="M150" s="31">
        <f>IF($C150="","",IF(NOT(ISNUMBER($G150)),"No dividend",IF($G150=0,"No dividend",IF(ISNUMBER($H150),"OK","Franking n/a"))))</f>
        <v/>
      </c>
    </row>
    <row r="151">
      <c r="A151" s="16" t="n"/>
      <c r="B151" s="16" t="n"/>
      <c r="C151" s="16">
        <f>IF($A151="","",$A151&amp;" Equity")</f>
        <v/>
      </c>
      <c r="D151" s="16">
        <f>IF($A151="","",BDP($C151,"NAME"))</f>
        <v/>
      </c>
      <c r="E151" s="32">
        <f>IF($A151="","",BDP($C151,"EQY_DVD_SH_12M"))</f>
        <v/>
      </c>
      <c r="F151" s="33">
        <f>IF($A151="","",BDP($C151,"EQY_DVD_YLD_12M"))</f>
        <v/>
      </c>
      <c r="G151" s="33">
        <f>IF($A151="","",BDP($C151,"EQY_DVD_YLD_IND"))</f>
        <v/>
      </c>
      <c r="H151" s="33">
        <f>IF($A151="","",BDP($C151,'Field Check'!$C$4))</f>
        <v/>
      </c>
      <c r="I151" s="34">
        <f>IFERROR(IF($B151="","",$B151/$B$3),"")</f>
        <v/>
      </c>
      <c r="J151" s="34">
        <f>IFERROR(IF($I151="","",$I151*IFERROR($G151,0)/100),"")</f>
        <v/>
      </c>
      <c r="K151" s="34">
        <f>IFERROR(IF($J151="","",IF(ISNUMBER($H151),$J151*$H151/'Index Summary'!$C$7,"")),"")</f>
        <v/>
      </c>
      <c r="L151" s="34">
        <f>IFERROR(IF($K151="","",$J151-$K151),"")</f>
        <v/>
      </c>
      <c r="M151" s="35">
        <f>IF($C151="","",IF(NOT(ISNUMBER($G151)),"No dividend",IF($G151=0,"No dividend",IF(ISNUMBER($H151),"OK","Franking n/a"))))</f>
        <v/>
      </c>
    </row>
    <row r="152">
      <c r="A152" s="27" t="n"/>
      <c r="B152" s="27" t="n"/>
      <c r="C152" s="27">
        <f>IF($A152="","",$A152&amp;" Equity")</f>
        <v/>
      </c>
      <c r="D152" s="27">
        <f>IF($A152="","",BDP($C152,"NAME"))</f>
        <v/>
      </c>
      <c r="E152" s="28">
        <f>IF($A152="","",BDP($C152,"EQY_DVD_SH_12M"))</f>
        <v/>
      </c>
      <c r="F152" s="29">
        <f>IF($A152="","",BDP($C152,"EQY_DVD_YLD_12M"))</f>
        <v/>
      </c>
      <c r="G152" s="29">
        <f>IF($A152="","",BDP($C152,"EQY_DVD_YLD_IND"))</f>
        <v/>
      </c>
      <c r="H152" s="29">
        <f>IF($A152="","",BDP($C152,'Field Check'!$C$4))</f>
        <v/>
      </c>
      <c r="I152" s="30">
        <f>IFERROR(IF($B152="","",$B152/$B$3),"")</f>
        <v/>
      </c>
      <c r="J152" s="30">
        <f>IFERROR(IF($I152="","",$I152*IFERROR($G152,0)/100),"")</f>
        <v/>
      </c>
      <c r="K152" s="30">
        <f>IFERROR(IF($J152="","",IF(ISNUMBER($H152),$J152*$H152/'Index Summary'!$C$7,"")),"")</f>
        <v/>
      </c>
      <c r="L152" s="30">
        <f>IFERROR(IF($K152="","",$J152-$K152),"")</f>
        <v/>
      </c>
      <c r="M152" s="31">
        <f>IF($C152="","",IF(NOT(ISNUMBER($G152)),"No dividend",IF($G152=0,"No dividend",IF(ISNUMBER($H152),"OK","Franking n/a"))))</f>
        <v/>
      </c>
    </row>
    <row r="153">
      <c r="A153" s="16" t="n"/>
      <c r="B153" s="16" t="n"/>
      <c r="C153" s="16">
        <f>IF($A153="","",$A153&amp;" Equity")</f>
        <v/>
      </c>
      <c r="D153" s="16">
        <f>IF($A153="","",BDP($C153,"NAME"))</f>
        <v/>
      </c>
      <c r="E153" s="32">
        <f>IF($A153="","",BDP($C153,"EQY_DVD_SH_12M"))</f>
        <v/>
      </c>
      <c r="F153" s="33">
        <f>IF($A153="","",BDP($C153,"EQY_DVD_YLD_12M"))</f>
        <v/>
      </c>
      <c r="G153" s="33">
        <f>IF($A153="","",BDP($C153,"EQY_DVD_YLD_IND"))</f>
        <v/>
      </c>
      <c r="H153" s="33">
        <f>IF($A153="","",BDP($C153,'Field Check'!$C$4))</f>
        <v/>
      </c>
      <c r="I153" s="34">
        <f>IFERROR(IF($B153="","",$B153/$B$3),"")</f>
        <v/>
      </c>
      <c r="J153" s="34">
        <f>IFERROR(IF($I153="","",$I153*IFERROR($G153,0)/100),"")</f>
        <v/>
      </c>
      <c r="K153" s="34">
        <f>IFERROR(IF($J153="","",IF(ISNUMBER($H153),$J153*$H153/'Index Summary'!$C$7,"")),"")</f>
        <v/>
      </c>
      <c r="L153" s="34">
        <f>IFERROR(IF($K153="","",$J153-$K153),"")</f>
        <v/>
      </c>
      <c r="M153" s="35">
        <f>IF($C153="","",IF(NOT(ISNUMBER($G153)),"No dividend",IF($G153=0,"No dividend",IF(ISNUMBER($H153),"OK","Franking n/a"))))</f>
        <v/>
      </c>
    </row>
    <row r="154">
      <c r="A154" s="27" t="n"/>
      <c r="B154" s="27" t="n"/>
      <c r="C154" s="27">
        <f>IF($A154="","",$A154&amp;" Equity")</f>
        <v/>
      </c>
      <c r="D154" s="27">
        <f>IF($A154="","",BDP($C154,"NAME"))</f>
        <v/>
      </c>
      <c r="E154" s="28">
        <f>IF($A154="","",BDP($C154,"EQY_DVD_SH_12M"))</f>
        <v/>
      </c>
      <c r="F154" s="29">
        <f>IF($A154="","",BDP($C154,"EQY_DVD_YLD_12M"))</f>
        <v/>
      </c>
      <c r="G154" s="29">
        <f>IF($A154="","",BDP($C154,"EQY_DVD_YLD_IND"))</f>
        <v/>
      </c>
      <c r="H154" s="29">
        <f>IF($A154="","",BDP($C154,'Field Check'!$C$4))</f>
        <v/>
      </c>
      <c r="I154" s="30">
        <f>IFERROR(IF($B154="","",$B154/$B$3),"")</f>
        <v/>
      </c>
      <c r="J154" s="30">
        <f>IFERROR(IF($I154="","",$I154*IFERROR($G154,0)/100),"")</f>
        <v/>
      </c>
      <c r="K154" s="30">
        <f>IFERROR(IF($J154="","",IF(ISNUMBER($H154),$J154*$H154/'Index Summary'!$C$7,"")),"")</f>
        <v/>
      </c>
      <c r="L154" s="30">
        <f>IFERROR(IF($K154="","",$J154-$K154),"")</f>
        <v/>
      </c>
      <c r="M154" s="31">
        <f>IF($C154="","",IF(NOT(ISNUMBER($G154)),"No dividend",IF($G154=0,"No dividend",IF(ISNUMBER($H154),"OK","Franking n/a"))))</f>
        <v/>
      </c>
    </row>
    <row r="155">
      <c r="A155" s="16" t="n"/>
      <c r="B155" s="16" t="n"/>
      <c r="C155" s="16">
        <f>IF($A155="","",$A155&amp;" Equity")</f>
        <v/>
      </c>
      <c r="D155" s="16">
        <f>IF($A155="","",BDP($C155,"NAME"))</f>
        <v/>
      </c>
      <c r="E155" s="32">
        <f>IF($A155="","",BDP($C155,"EQY_DVD_SH_12M"))</f>
        <v/>
      </c>
      <c r="F155" s="33">
        <f>IF($A155="","",BDP($C155,"EQY_DVD_YLD_12M"))</f>
        <v/>
      </c>
      <c r="G155" s="33">
        <f>IF($A155="","",BDP($C155,"EQY_DVD_YLD_IND"))</f>
        <v/>
      </c>
      <c r="H155" s="33">
        <f>IF($A155="","",BDP($C155,'Field Check'!$C$4))</f>
        <v/>
      </c>
      <c r="I155" s="34">
        <f>IFERROR(IF($B155="","",$B155/$B$3),"")</f>
        <v/>
      </c>
      <c r="J155" s="34">
        <f>IFERROR(IF($I155="","",$I155*IFERROR($G155,0)/100),"")</f>
        <v/>
      </c>
      <c r="K155" s="34">
        <f>IFERROR(IF($J155="","",IF(ISNUMBER($H155),$J155*$H155/'Index Summary'!$C$7,"")),"")</f>
        <v/>
      </c>
      <c r="L155" s="34">
        <f>IFERROR(IF($K155="","",$J155-$K155),"")</f>
        <v/>
      </c>
      <c r="M155" s="35">
        <f>IF($C155="","",IF(NOT(ISNUMBER($G155)),"No dividend",IF($G155=0,"No dividend",IF(ISNUMBER($H155),"OK","Franking n/a"))))</f>
        <v/>
      </c>
    </row>
    <row r="156">
      <c r="A156" s="27" t="n"/>
      <c r="B156" s="27" t="n"/>
      <c r="C156" s="27">
        <f>IF($A156="","",$A156&amp;" Equity")</f>
        <v/>
      </c>
      <c r="D156" s="27">
        <f>IF($A156="","",BDP($C156,"NAME"))</f>
        <v/>
      </c>
      <c r="E156" s="28">
        <f>IF($A156="","",BDP($C156,"EQY_DVD_SH_12M"))</f>
        <v/>
      </c>
      <c r="F156" s="29">
        <f>IF($A156="","",BDP($C156,"EQY_DVD_YLD_12M"))</f>
        <v/>
      </c>
      <c r="G156" s="29">
        <f>IF($A156="","",BDP($C156,"EQY_DVD_YLD_IND"))</f>
        <v/>
      </c>
      <c r="H156" s="29">
        <f>IF($A156="","",BDP($C156,'Field Check'!$C$4))</f>
        <v/>
      </c>
      <c r="I156" s="30">
        <f>IFERROR(IF($B156="","",$B156/$B$3),"")</f>
        <v/>
      </c>
      <c r="J156" s="30">
        <f>IFERROR(IF($I156="","",$I156*IFERROR($G156,0)/100),"")</f>
        <v/>
      </c>
      <c r="K156" s="30">
        <f>IFERROR(IF($J156="","",IF(ISNUMBER($H156),$J156*$H156/'Index Summary'!$C$7,"")),"")</f>
        <v/>
      </c>
      <c r="L156" s="30">
        <f>IFERROR(IF($K156="","",$J156-$K156),"")</f>
        <v/>
      </c>
      <c r="M156" s="31">
        <f>IF($C156="","",IF(NOT(ISNUMBER($G156)),"No dividend",IF($G156=0,"No dividend",IF(ISNUMBER($H156),"OK","Franking n/a"))))</f>
        <v/>
      </c>
    </row>
    <row r="157">
      <c r="A157" s="16" t="n"/>
      <c r="B157" s="16" t="n"/>
      <c r="C157" s="16">
        <f>IF($A157="","",$A157&amp;" Equity")</f>
        <v/>
      </c>
      <c r="D157" s="16">
        <f>IF($A157="","",BDP($C157,"NAME"))</f>
        <v/>
      </c>
      <c r="E157" s="32">
        <f>IF($A157="","",BDP($C157,"EQY_DVD_SH_12M"))</f>
        <v/>
      </c>
      <c r="F157" s="33">
        <f>IF($A157="","",BDP($C157,"EQY_DVD_YLD_12M"))</f>
        <v/>
      </c>
      <c r="G157" s="33">
        <f>IF($A157="","",BDP($C157,"EQY_DVD_YLD_IND"))</f>
        <v/>
      </c>
      <c r="H157" s="33">
        <f>IF($A157="","",BDP($C157,'Field Check'!$C$4))</f>
        <v/>
      </c>
      <c r="I157" s="34">
        <f>IFERROR(IF($B157="","",$B157/$B$3),"")</f>
        <v/>
      </c>
      <c r="J157" s="34">
        <f>IFERROR(IF($I157="","",$I157*IFERROR($G157,0)/100),"")</f>
        <v/>
      </c>
      <c r="K157" s="34">
        <f>IFERROR(IF($J157="","",IF(ISNUMBER($H157),$J157*$H157/'Index Summary'!$C$7,"")),"")</f>
        <v/>
      </c>
      <c r="L157" s="34">
        <f>IFERROR(IF($K157="","",$J157-$K157),"")</f>
        <v/>
      </c>
      <c r="M157" s="35">
        <f>IF($C157="","",IF(NOT(ISNUMBER($G157)),"No dividend",IF($G157=0,"No dividend",IF(ISNUMBER($H157),"OK","Franking n/a"))))</f>
        <v/>
      </c>
    </row>
    <row r="158">
      <c r="A158" s="27" t="n"/>
      <c r="B158" s="27" t="n"/>
      <c r="C158" s="27">
        <f>IF($A158="","",$A158&amp;" Equity")</f>
        <v/>
      </c>
      <c r="D158" s="27">
        <f>IF($A158="","",BDP($C158,"NAME"))</f>
        <v/>
      </c>
      <c r="E158" s="28">
        <f>IF($A158="","",BDP($C158,"EQY_DVD_SH_12M"))</f>
        <v/>
      </c>
      <c r="F158" s="29">
        <f>IF($A158="","",BDP($C158,"EQY_DVD_YLD_12M"))</f>
        <v/>
      </c>
      <c r="G158" s="29">
        <f>IF($A158="","",BDP($C158,"EQY_DVD_YLD_IND"))</f>
        <v/>
      </c>
      <c r="H158" s="29">
        <f>IF($A158="","",BDP($C158,'Field Check'!$C$4))</f>
        <v/>
      </c>
      <c r="I158" s="30">
        <f>IFERROR(IF($B158="","",$B158/$B$3),"")</f>
        <v/>
      </c>
      <c r="J158" s="30">
        <f>IFERROR(IF($I158="","",$I158*IFERROR($G158,0)/100),"")</f>
        <v/>
      </c>
      <c r="K158" s="30">
        <f>IFERROR(IF($J158="","",IF(ISNUMBER($H158),$J158*$H158/'Index Summary'!$C$7,"")),"")</f>
        <v/>
      </c>
      <c r="L158" s="30">
        <f>IFERROR(IF($K158="","",$J158-$K158),"")</f>
        <v/>
      </c>
      <c r="M158" s="31">
        <f>IF($C158="","",IF(NOT(ISNUMBER($G158)),"No dividend",IF($G158=0,"No dividend",IF(ISNUMBER($H158),"OK","Franking n/a"))))</f>
        <v/>
      </c>
    </row>
    <row r="159">
      <c r="A159" s="16" t="n"/>
      <c r="B159" s="16" t="n"/>
      <c r="C159" s="16">
        <f>IF($A159="","",$A159&amp;" Equity")</f>
        <v/>
      </c>
      <c r="D159" s="16">
        <f>IF($A159="","",BDP($C159,"NAME"))</f>
        <v/>
      </c>
      <c r="E159" s="32">
        <f>IF($A159="","",BDP($C159,"EQY_DVD_SH_12M"))</f>
        <v/>
      </c>
      <c r="F159" s="33">
        <f>IF($A159="","",BDP($C159,"EQY_DVD_YLD_12M"))</f>
        <v/>
      </c>
      <c r="G159" s="33">
        <f>IF($A159="","",BDP($C159,"EQY_DVD_YLD_IND"))</f>
        <v/>
      </c>
      <c r="H159" s="33">
        <f>IF($A159="","",BDP($C159,'Field Check'!$C$4))</f>
        <v/>
      </c>
      <c r="I159" s="34">
        <f>IFERROR(IF($B159="","",$B159/$B$3),"")</f>
        <v/>
      </c>
      <c r="J159" s="34">
        <f>IFERROR(IF($I159="","",$I159*IFERROR($G159,0)/100),"")</f>
        <v/>
      </c>
      <c r="K159" s="34">
        <f>IFERROR(IF($J159="","",IF(ISNUMBER($H159),$J159*$H159/'Index Summary'!$C$7,"")),"")</f>
        <v/>
      </c>
      <c r="L159" s="34">
        <f>IFERROR(IF($K159="","",$J159-$K159),"")</f>
        <v/>
      </c>
      <c r="M159" s="35">
        <f>IF($C159="","",IF(NOT(ISNUMBER($G159)),"No dividend",IF($G159=0,"No dividend",IF(ISNUMBER($H159),"OK","Franking n/a"))))</f>
        <v/>
      </c>
    </row>
    <row r="160">
      <c r="A160" s="27" t="n"/>
      <c r="B160" s="27" t="n"/>
      <c r="C160" s="27">
        <f>IF($A160="","",$A160&amp;" Equity")</f>
        <v/>
      </c>
      <c r="D160" s="27">
        <f>IF($A160="","",BDP($C160,"NAME"))</f>
        <v/>
      </c>
      <c r="E160" s="28">
        <f>IF($A160="","",BDP($C160,"EQY_DVD_SH_12M"))</f>
        <v/>
      </c>
      <c r="F160" s="29">
        <f>IF($A160="","",BDP($C160,"EQY_DVD_YLD_12M"))</f>
        <v/>
      </c>
      <c r="G160" s="29">
        <f>IF($A160="","",BDP($C160,"EQY_DVD_YLD_IND"))</f>
        <v/>
      </c>
      <c r="H160" s="29">
        <f>IF($A160="","",BDP($C160,'Field Check'!$C$4))</f>
        <v/>
      </c>
      <c r="I160" s="30">
        <f>IFERROR(IF($B160="","",$B160/$B$3),"")</f>
        <v/>
      </c>
      <c r="J160" s="30">
        <f>IFERROR(IF($I160="","",$I160*IFERROR($G160,0)/100),"")</f>
        <v/>
      </c>
      <c r="K160" s="30">
        <f>IFERROR(IF($J160="","",IF(ISNUMBER($H160),$J160*$H160/'Index Summary'!$C$7,"")),"")</f>
        <v/>
      </c>
      <c r="L160" s="30">
        <f>IFERROR(IF($K160="","",$J160-$K160),"")</f>
        <v/>
      </c>
      <c r="M160" s="31">
        <f>IF($C160="","",IF(NOT(ISNUMBER($G160)),"No dividend",IF($G160=0,"No dividend",IF(ISNUMBER($H160),"OK","Franking n/a"))))</f>
        <v/>
      </c>
    </row>
    <row r="161">
      <c r="A161" s="16" t="n"/>
      <c r="B161" s="16" t="n"/>
      <c r="C161" s="16">
        <f>IF($A161="","",$A161&amp;" Equity")</f>
        <v/>
      </c>
      <c r="D161" s="16">
        <f>IF($A161="","",BDP($C161,"NAME"))</f>
        <v/>
      </c>
      <c r="E161" s="32">
        <f>IF($A161="","",BDP($C161,"EQY_DVD_SH_12M"))</f>
        <v/>
      </c>
      <c r="F161" s="33">
        <f>IF($A161="","",BDP($C161,"EQY_DVD_YLD_12M"))</f>
        <v/>
      </c>
      <c r="G161" s="33">
        <f>IF($A161="","",BDP($C161,"EQY_DVD_YLD_IND"))</f>
        <v/>
      </c>
      <c r="H161" s="33">
        <f>IF($A161="","",BDP($C161,'Field Check'!$C$4))</f>
        <v/>
      </c>
      <c r="I161" s="34">
        <f>IFERROR(IF($B161="","",$B161/$B$3),"")</f>
        <v/>
      </c>
      <c r="J161" s="34">
        <f>IFERROR(IF($I161="","",$I161*IFERROR($G161,0)/100),"")</f>
        <v/>
      </c>
      <c r="K161" s="34">
        <f>IFERROR(IF($J161="","",IF(ISNUMBER($H161),$J161*$H161/'Index Summary'!$C$7,"")),"")</f>
        <v/>
      </c>
      <c r="L161" s="34">
        <f>IFERROR(IF($K161="","",$J161-$K161),"")</f>
        <v/>
      </c>
      <c r="M161" s="35">
        <f>IF($C161="","",IF(NOT(ISNUMBER($G161)),"No dividend",IF($G161=0,"No dividend",IF(ISNUMBER($H161),"OK","Franking n/a"))))</f>
        <v/>
      </c>
    </row>
    <row r="162">
      <c r="A162" s="27" t="n"/>
      <c r="B162" s="27" t="n"/>
      <c r="C162" s="27">
        <f>IF($A162="","",$A162&amp;" Equity")</f>
        <v/>
      </c>
      <c r="D162" s="27">
        <f>IF($A162="","",BDP($C162,"NAME"))</f>
        <v/>
      </c>
      <c r="E162" s="28">
        <f>IF($A162="","",BDP($C162,"EQY_DVD_SH_12M"))</f>
        <v/>
      </c>
      <c r="F162" s="29">
        <f>IF($A162="","",BDP($C162,"EQY_DVD_YLD_12M"))</f>
        <v/>
      </c>
      <c r="G162" s="29">
        <f>IF($A162="","",BDP($C162,"EQY_DVD_YLD_IND"))</f>
        <v/>
      </c>
      <c r="H162" s="29">
        <f>IF($A162="","",BDP($C162,'Field Check'!$C$4))</f>
        <v/>
      </c>
      <c r="I162" s="30">
        <f>IFERROR(IF($B162="","",$B162/$B$3),"")</f>
        <v/>
      </c>
      <c r="J162" s="30">
        <f>IFERROR(IF($I162="","",$I162*IFERROR($G162,0)/100),"")</f>
        <v/>
      </c>
      <c r="K162" s="30">
        <f>IFERROR(IF($J162="","",IF(ISNUMBER($H162),$J162*$H162/'Index Summary'!$C$7,"")),"")</f>
        <v/>
      </c>
      <c r="L162" s="30">
        <f>IFERROR(IF($K162="","",$J162-$K162),"")</f>
        <v/>
      </c>
      <c r="M162" s="31">
        <f>IF($C162="","",IF(NOT(ISNUMBER($G162)),"No dividend",IF($G162=0,"No dividend",IF(ISNUMBER($H162),"OK","Franking n/a"))))</f>
        <v/>
      </c>
    </row>
    <row r="163">
      <c r="A163" s="16" t="n"/>
      <c r="B163" s="16" t="n"/>
      <c r="C163" s="16">
        <f>IF($A163="","",$A163&amp;" Equity")</f>
        <v/>
      </c>
      <c r="D163" s="16">
        <f>IF($A163="","",BDP($C163,"NAME"))</f>
        <v/>
      </c>
      <c r="E163" s="32">
        <f>IF($A163="","",BDP($C163,"EQY_DVD_SH_12M"))</f>
        <v/>
      </c>
      <c r="F163" s="33">
        <f>IF($A163="","",BDP($C163,"EQY_DVD_YLD_12M"))</f>
        <v/>
      </c>
      <c r="G163" s="33">
        <f>IF($A163="","",BDP($C163,"EQY_DVD_YLD_IND"))</f>
        <v/>
      </c>
      <c r="H163" s="33">
        <f>IF($A163="","",BDP($C163,'Field Check'!$C$4))</f>
        <v/>
      </c>
      <c r="I163" s="34">
        <f>IFERROR(IF($B163="","",$B163/$B$3),"")</f>
        <v/>
      </c>
      <c r="J163" s="34">
        <f>IFERROR(IF($I163="","",$I163*IFERROR($G163,0)/100),"")</f>
        <v/>
      </c>
      <c r="K163" s="34">
        <f>IFERROR(IF($J163="","",IF(ISNUMBER($H163),$J163*$H163/'Index Summary'!$C$7,"")),"")</f>
        <v/>
      </c>
      <c r="L163" s="34">
        <f>IFERROR(IF($K163="","",$J163-$K163),"")</f>
        <v/>
      </c>
      <c r="M163" s="35">
        <f>IF($C163="","",IF(NOT(ISNUMBER($G163)),"No dividend",IF($G163=0,"No dividend",IF(ISNUMBER($H163),"OK","Franking n/a"))))</f>
        <v/>
      </c>
    </row>
    <row r="164">
      <c r="A164" s="27" t="n"/>
      <c r="B164" s="27" t="n"/>
      <c r="C164" s="27">
        <f>IF($A164="","",$A164&amp;" Equity")</f>
        <v/>
      </c>
      <c r="D164" s="27">
        <f>IF($A164="","",BDP($C164,"NAME"))</f>
        <v/>
      </c>
      <c r="E164" s="28">
        <f>IF($A164="","",BDP($C164,"EQY_DVD_SH_12M"))</f>
        <v/>
      </c>
      <c r="F164" s="29">
        <f>IF($A164="","",BDP($C164,"EQY_DVD_YLD_12M"))</f>
        <v/>
      </c>
      <c r="G164" s="29">
        <f>IF($A164="","",BDP($C164,"EQY_DVD_YLD_IND"))</f>
        <v/>
      </c>
      <c r="H164" s="29">
        <f>IF($A164="","",BDP($C164,'Field Check'!$C$4))</f>
        <v/>
      </c>
      <c r="I164" s="30">
        <f>IFERROR(IF($B164="","",$B164/$B$3),"")</f>
        <v/>
      </c>
      <c r="J164" s="30">
        <f>IFERROR(IF($I164="","",$I164*IFERROR($G164,0)/100),"")</f>
        <v/>
      </c>
      <c r="K164" s="30">
        <f>IFERROR(IF($J164="","",IF(ISNUMBER($H164),$J164*$H164/'Index Summary'!$C$7,"")),"")</f>
        <v/>
      </c>
      <c r="L164" s="30">
        <f>IFERROR(IF($K164="","",$J164-$K164),"")</f>
        <v/>
      </c>
      <c r="M164" s="31">
        <f>IF($C164="","",IF(NOT(ISNUMBER($G164)),"No dividend",IF($G164=0,"No dividend",IF(ISNUMBER($H164),"OK","Franking n/a"))))</f>
        <v/>
      </c>
    </row>
    <row r="165">
      <c r="A165" s="16" t="n"/>
      <c r="B165" s="16" t="n"/>
      <c r="C165" s="16">
        <f>IF($A165="","",$A165&amp;" Equity")</f>
        <v/>
      </c>
      <c r="D165" s="16">
        <f>IF($A165="","",BDP($C165,"NAME"))</f>
        <v/>
      </c>
      <c r="E165" s="32">
        <f>IF($A165="","",BDP($C165,"EQY_DVD_SH_12M"))</f>
        <v/>
      </c>
      <c r="F165" s="33">
        <f>IF($A165="","",BDP($C165,"EQY_DVD_YLD_12M"))</f>
        <v/>
      </c>
      <c r="G165" s="33">
        <f>IF($A165="","",BDP($C165,"EQY_DVD_YLD_IND"))</f>
        <v/>
      </c>
      <c r="H165" s="33">
        <f>IF($A165="","",BDP($C165,'Field Check'!$C$4))</f>
        <v/>
      </c>
      <c r="I165" s="34">
        <f>IFERROR(IF($B165="","",$B165/$B$3),"")</f>
        <v/>
      </c>
      <c r="J165" s="34">
        <f>IFERROR(IF($I165="","",$I165*IFERROR($G165,0)/100),"")</f>
        <v/>
      </c>
      <c r="K165" s="34">
        <f>IFERROR(IF($J165="","",IF(ISNUMBER($H165),$J165*$H165/'Index Summary'!$C$7,"")),"")</f>
        <v/>
      </c>
      <c r="L165" s="34">
        <f>IFERROR(IF($K165="","",$J165-$K165),"")</f>
        <v/>
      </c>
      <c r="M165" s="35">
        <f>IF($C165="","",IF(NOT(ISNUMBER($G165)),"No dividend",IF($G165=0,"No dividend",IF(ISNUMBER($H165),"OK","Franking n/a"))))</f>
        <v/>
      </c>
    </row>
    <row r="166">
      <c r="A166" s="27" t="n"/>
      <c r="B166" s="27" t="n"/>
      <c r="C166" s="27">
        <f>IF($A166="","",$A166&amp;" Equity")</f>
        <v/>
      </c>
      <c r="D166" s="27">
        <f>IF($A166="","",BDP($C166,"NAME"))</f>
        <v/>
      </c>
      <c r="E166" s="28">
        <f>IF($A166="","",BDP($C166,"EQY_DVD_SH_12M"))</f>
        <v/>
      </c>
      <c r="F166" s="29">
        <f>IF($A166="","",BDP($C166,"EQY_DVD_YLD_12M"))</f>
        <v/>
      </c>
      <c r="G166" s="29">
        <f>IF($A166="","",BDP($C166,"EQY_DVD_YLD_IND"))</f>
        <v/>
      </c>
      <c r="H166" s="29">
        <f>IF($A166="","",BDP($C166,'Field Check'!$C$4))</f>
        <v/>
      </c>
      <c r="I166" s="30">
        <f>IFERROR(IF($B166="","",$B166/$B$3),"")</f>
        <v/>
      </c>
      <c r="J166" s="30">
        <f>IFERROR(IF($I166="","",$I166*IFERROR($G166,0)/100),"")</f>
        <v/>
      </c>
      <c r="K166" s="30">
        <f>IFERROR(IF($J166="","",IF(ISNUMBER($H166),$J166*$H166/'Index Summary'!$C$7,"")),"")</f>
        <v/>
      </c>
      <c r="L166" s="30">
        <f>IFERROR(IF($K166="","",$J166-$K166),"")</f>
        <v/>
      </c>
      <c r="M166" s="31">
        <f>IF($C166="","",IF(NOT(ISNUMBER($G166)),"No dividend",IF($G166=0,"No dividend",IF(ISNUMBER($H166),"OK","Franking n/a"))))</f>
        <v/>
      </c>
    </row>
    <row r="167">
      <c r="A167" s="16" t="n"/>
      <c r="B167" s="16" t="n"/>
      <c r="C167" s="16">
        <f>IF($A167="","",$A167&amp;" Equity")</f>
        <v/>
      </c>
      <c r="D167" s="16">
        <f>IF($A167="","",BDP($C167,"NAME"))</f>
        <v/>
      </c>
      <c r="E167" s="32">
        <f>IF($A167="","",BDP($C167,"EQY_DVD_SH_12M"))</f>
        <v/>
      </c>
      <c r="F167" s="33">
        <f>IF($A167="","",BDP($C167,"EQY_DVD_YLD_12M"))</f>
        <v/>
      </c>
      <c r="G167" s="33">
        <f>IF($A167="","",BDP($C167,"EQY_DVD_YLD_IND"))</f>
        <v/>
      </c>
      <c r="H167" s="33">
        <f>IF($A167="","",BDP($C167,'Field Check'!$C$4))</f>
        <v/>
      </c>
      <c r="I167" s="34">
        <f>IFERROR(IF($B167="","",$B167/$B$3),"")</f>
        <v/>
      </c>
      <c r="J167" s="34">
        <f>IFERROR(IF($I167="","",$I167*IFERROR($G167,0)/100),"")</f>
        <v/>
      </c>
      <c r="K167" s="34">
        <f>IFERROR(IF($J167="","",IF(ISNUMBER($H167),$J167*$H167/'Index Summary'!$C$7,"")),"")</f>
        <v/>
      </c>
      <c r="L167" s="34">
        <f>IFERROR(IF($K167="","",$J167-$K167),"")</f>
        <v/>
      </c>
      <c r="M167" s="35">
        <f>IF($C167="","",IF(NOT(ISNUMBER($G167)),"No dividend",IF($G167=0,"No dividend",IF(ISNUMBER($H167),"OK","Franking n/a"))))</f>
        <v/>
      </c>
    </row>
    <row r="168">
      <c r="A168" s="27" t="n"/>
      <c r="B168" s="27" t="n"/>
      <c r="C168" s="27">
        <f>IF($A168="","",$A168&amp;" Equity")</f>
        <v/>
      </c>
      <c r="D168" s="27">
        <f>IF($A168="","",BDP($C168,"NAME"))</f>
        <v/>
      </c>
      <c r="E168" s="28">
        <f>IF($A168="","",BDP($C168,"EQY_DVD_SH_12M"))</f>
        <v/>
      </c>
      <c r="F168" s="29">
        <f>IF($A168="","",BDP($C168,"EQY_DVD_YLD_12M"))</f>
        <v/>
      </c>
      <c r="G168" s="29">
        <f>IF($A168="","",BDP($C168,"EQY_DVD_YLD_IND"))</f>
        <v/>
      </c>
      <c r="H168" s="29">
        <f>IF($A168="","",BDP($C168,'Field Check'!$C$4))</f>
        <v/>
      </c>
      <c r="I168" s="30">
        <f>IFERROR(IF($B168="","",$B168/$B$3),"")</f>
        <v/>
      </c>
      <c r="J168" s="30">
        <f>IFERROR(IF($I168="","",$I168*IFERROR($G168,0)/100),"")</f>
        <v/>
      </c>
      <c r="K168" s="30">
        <f>IFERROR(IF($J168="","",IF(ISNUMBER($H168),$J168*$H168/'Index Summary'!$C$7,"")),"")</f>
        <v/>
      </c>
      <c r="L168" s="30">
        <f>IFERROR(IF($K168="","",$J168-$K168),"")</f>
        <v/>
      </c>
      <c r="M168" s="31">
        <f>IF($C168="","",IF(NOT(ISNUMBER($G168)),"No dividend",IF($G168=0,"No dividend",IF(ISNUMBER($H168),"OK","Franking n/a"))))</f>
        <v/>
      </c>
    </row>
    <row r="169">
      <c r="A169" s="16" t="n"/>
      <c r="B169" s="16" t="n"/>
      <c r="C169" s="16">
        <f>IF($A169="","",$A169&amp;" Equity")</f>
        <v/>
      </c>
      <c r="D169" s="16">
        <f>IF($A169="","",BDP($C169,"NAME"))</f>
        <v/>
      </c>
      <c r="E169" s="32">
        <f>IF($A169="","",BDP($C169,"EQY_DVD_SH_12M"))</f>
        <v/>
      </c>
      <c r="F169" s="33">
        <f>IF($A169="","",BDP($C169,"EQY_DVD_YLD_12M"))</f>
        <v/>
      </c>
      <c r="G169" s="33">
        <f>IF($A169="","",BDP($C169,"EQY_DVD_YLD_IND"))</f>
        <v/>
      </c>
      <c r="H169" s="33">
        <f>IF($A169="","",BDP($C169,'Field Check'!$C$4))</f>
        <v/>
      </c>
      <c r="I169" s="34">
        <f>IFERROR(IF($B169="","",$B169/$B$3),"")</f>
        <v/>
      </c>
      <c r="J169" s="34">
        <f>IFERROR(IF($I169="","",$I169*IFERROR($G169,0)/100),"")</f>
        <v/>
      </c>
      <c r="K169" s="34">
        <f>IFERROR(IF($J169="","",IF(ISNUMBER($H169),$J169*$H169/'Index Summary'!$C$7,"")),"")</f>
        <v/>
      </c>
      <c r="L169" s="34">
        <f>IFERROR(IF($K169="","",$J169-$K169),"")</f>
        <v/>
      </c>
      <c r="M169" s="35">
        <f>IF($C169="","",IF(NOT(ISNUMBER($G169)),"No dividend",IF($G169=0,"No dividend",IF(ISNUMBER($H169),"OK","Franking n/a"))))</f>
        <v/>
      </c>
    </row>
    <row r="170">
      <c r="A170" s="27" t="n"/>
      <c r="B170" s="27" t="n"/>
      <c r="C170" s="27">
        <f>IF($A170="","",$A170&amp;" Equity")</f>
        <v/>
      </c>
      <c r="D170" s="27">
        <f>IF($A170="","",BDP($C170,"NAME"))</f>
        <v/>
      </c>
      <c r="E170" s="28">
        <f>IF($A170="","",BDP($C170,"EQY_DVD_SH_12M"))</f>
        <v/>
      </c>
      <c r="F170" s="29">
        <f>IF($A170="","",BDP($C170,"EQY_DVD_YLD_12M"))</f>
        <v/>
      </c>
      <c r="G170" s="29">
        <f>IF($A170="","",BDP($C170,"EQY_DVD_YLD_IND"))</f>
        <v/>
      </c>
      <c r="H170" s="29">
        <f>IF($A170="","",BDP($C170,'Field Check'!$C$4))</f>
        <v/>
      </c>
      <c r="I170" s="30">
        <f>IFERROR(IF($B170="","",$B170/$B$3),"")</f>
        <v/>
      </c>
      <c r="J170" s="30">
        <f>IFERROR(IF($I170="","",$I170*IFERROR($G170,0)/100),"")</f>
        <v/>
      </c>
      <c r="K170" s="30">
        <f>IFERROR(IF($J170="","",IF(ISNUMBER($H170),$J170*$H170/'Index Summary'!$C$7,"")),"")</f>
        <v/>
      </c>
      <c r="L170" s="30">
        <f>IFERROR(IF($K170="","",$J170-$K170),"")</f>
        <v/>
      </c>
      <c r="M170" s="31">
        <f>IF($C170="","",IF(NOT(ISNUMBER($G170)),"No dividend",IF($G170=0,"No dividend",IF(ISNUMBER($H170),"OK","Franking n/a"))))</f>
        <v/>
      </c>
    </row>
    <row r="171">
      <c r="A171" s="16" t="n"/>
      <c r="B171" s="16" t="n"/>
      <c r="C171" s="16">
        <f>IF($A171="","",$A171&amp;" Equity")</f>
        <v/>
      </c>
      <c r="D171" s="16">
        <f>IF($A171="","",BDP($C171,"NAME"))</f>
        <v/>
      </c>
      <c r="E171" s="32">
        <f>IF($A171="","",BDP($C171,"EQY_DVD_SH_12M"))</f>
        <v/>
      </c>
      <c r="F171" s="33">
        <f>IF($A171="","",BDP($C171,"EQY_DVD_YLD_12M"))</f>
        <v/>
      </c>
      <c r="G171" s="33">
        <f>IF($A171="","",BDP($C171,"EQY_DVD_YLD_IND"))</f>
        <v/>
      </c>
      <c r="H171" s="33">
        <f>IF($A171="","",BDP($C171,'Field Check'!$C$4))</f>
        <v/>
      </c>
      <c r="I171" s="34">
        <f>IFERROR(IF($B171="","",$B171/$B$3),"")</f>
        <v/>
      </c>
      <c r="J171" s="34">
        <f>IFERROR(IF($I171="","",$I171*IFERROR($G171,0)/100),"")</f>
        <v/>
      </c>
      <c r="K171" s="34">
        <f>IFERROR(IF($J171="","",IF(ISNUMBER($H171),$J171*$H171/'Index Summary'!$C$7,"")),"")</f>
        <v/>
      </c>
      <c r="L171" s="34">
        <f>IFERROR(IF($K171="","",$J171-$K171),"")</f>
        <v/>
      </c>
      <c r="M171" s="35">
        <f>IF($C171="","",IF(NOT(ISNUMBER($G171)),"No dividend",IF($G171=0,"No dividend",IF(ISNUMBER($H171),"OK","Franking n/a"))))</f>
        <v/>
      </c>
    </row>
    <row r="172">
      <c r="A172" s="27" t="n"/>
      <c r="B172" s="27" t="n"/>
      <c r="C172" s="27">
        <f>IF($A172="","",$A172&amp;" Equity")</f>
        <v/>
      </c>
      <c r="D172" s="27">
        <f>IF($A172="","",BDP($C172,"NAME"))</f>
        <v/>
      </c>
      <c r="E172" s="28">
        <f>IF($A172="","",BDP($C172,"EQY_DVD_SH_12M"))</f>
        <v/>
      </c>
      <c r="F172" s="29">
        <f>IF($A172="","",BDP($C172,"EQY_DVD_YLD_12M"))</f>
        <v/>
      </c>
      <c r="G172" s="29">
        <f>IF($A172="","",BDP($C172,"EQY_DVD_YLD_IND"))</f>
        <v/>
      </c>
      <c r="H172" s="29">
        <f>IF($A172="","",BDP($C172,'Field Check'!$C$4))</f>
        <v/>
      </c>
      <c r="I172" s="30">
        <f>IFERROR(IF($B172="","",$B172/$B$3),"")</f>
        <v/>
      </c>
      <c r="J172" s="30">
        <f>IFERROR(IF($I172="","",$I172*IFERROR($G172,0)/100),"")</f>
        <v/>
      </c>
      <c r="K172" s="30">
        <f>IFERROR(IF($J172="","",IF(ISNUMBER($H172),$J172*$H172/'Index Summary'!$C$7,"")),"")</f>
        <v/>
      </c>
      <c r="L172" s="30">
        <f>IFERROR(IF($K172="","",$J172-$K172),"")</f>
        <v/>
      </c>
      <c r="M172" s="31">
        <f>IF($C172="","",IF(NOT(ISNUMBER($G172)),"No dividend",IF($G172=0,"No dividend",IF(ISNUMBER($H172),"OK","Franking n/a"))))</f>
        <v/>
      </c>
    </row>
    <row r="173">
      <c r="A173" s="16" t="n"/>
      <c r="B173" s="16" t="n"/>
      <c r="C173" s="16">
        <f>IF($A173="","",$A173&amp;" Equity")</f>
        <v/>
      </c>
      <c r="D173" s="16">
        <f>IF($A173="","",BDP($C173,"NAME"))</f>
        <v/>
      </c>
      <c r="E173" s="32">
        <f>IF($A173="","",BDP($C173,"EQY_DVD_SH_12M"))</f>
        <v/>
      </c>
      <c r="F173" s="33">
        <f>IF($A173="","",BDP($C173,"EQY_DVD_YLD_12M"))</f>
        <v/>
      </c>
      <c r="G173" s="33">
        <f>IF($A173="","",BDP($C173,"EQY_DVD_YLD_IND"))</f>
        <v/>
      </c>
      <c r="H173" s="33">
        <f>IF($A173="","",BDP($C173,'Field Check'!$C$4))</f>
        <v/>
      </c>
      <c r="I173" s="34">
        <f>IFERROR(IF($B173="","",$B173/$B$3),"")</f>
        <v/>
      </c>
      <c r="J173" s="34">
        <f>IFERROR(IF($I173="","",$I173*IFERROR($G173,0)/100),"")</f>
        <v/>
      </c>
      <c r="K173" s="34">
        <f>IFERROR(IF($J173="","",IF(ISNUMBER($H173),$J173*$H173/'Index Summary'!$C$7,"")),"")</f>
        <v/>
      </c>
      <c r="L173" s="34">
        <f>IFERROR(IF($K173="","",$J173-$K173),"")</f>
        <v/>
      </c>
      <c r="M173" s="35">
        <f>IF($C173="","",IF(NOT(ISNUMBER($G173)),"No dividend",IF($G173=0,"No dividend",IF(ISNUMBER($H173),"OK","Franking n/a"))))</f>
        <v/>
      </c>
    </row>
    <row r="174">
      <c r="A174" s="27" t="n"/>
      <c r="B174" s="27" t="n"/>
      <c r="C174" s="27">
        <f>IF($A174="","",$A174&amp;" Equity")</f>
        <v/>
      </c>
      <c r="D174" s="27">
        <f>IF($A174="","",BDP($C174,"NAME"))</f>
        <v/>
      </c>
      <c r="E174" s="28">
        <f>IF($A174="","",BDP($C174,"EQY_DVD_SH_12M"))</f>
        <v/>
      </c>
      <c r="F174" s="29">
        <f>IF($A174="","",BDP($C174,"EQY_DVD_YLD_12M"))</f>
        <v/>
      </c>
      <c r="G174" s="29">
        <f>IF($A174="","",BDP($C174,"EQY_DVD_YLD_IND"))</f>
        <v/>
      </c>
      <c r="H174" s="29">
        <f>IF($A174="","",BDP($C174,'Field Check'!$C$4))</f>
        <v/>
      </c>
      <c r="I174" s="30">
        <f>IFERROR(IF($B174="","",$B174/$B$3),"")</f>
        <v/>
      </c>
      <c r="J174" s="30">
        <f>IFERROR(IF($I174="","",$I174*IFERROR($G174,0)/100),"")</f>
        <v/>
      </c>
      <c r="K174" s="30">
        <f>IFERROR(IF($J174="","",IF(ISNUMBER($H174),$J174*$H174/'Index Summary'!$C$7,"")),"")</f>
        <v/>
      </c>
      <c r="L174" s="30">
        <f>IFERROR(IF($K174="","",$J174-$K174),"")</f>
        <v/>
      </c>
      <c r="M174" s="31">
        <f>IF($C174="","",IF(NOT(ISNUMBER($G174)),"No dividend",IF($G174=0,"No dividend",IF(ISNUMBER($H174),"OK","Franking n/a"))))</f>
        <v/>
      </c>
    </row>
    <row r="175">
      <c r="A175" s="16" t="n"/>
      <c r="B175" s="16" t="n"/>
      <c r="C175" s="16">
        <f>IF($A175="","",$A175&amp;" Equity")</f>
        <v/>
      </c>
      <c r="D175" s="16">
        <f>IF($A175="","",BDP($C175,"NAME"))</f>
        <v/>
      </c>
      <c r="E175" s="32">
        <f>IF($A175="","",BDP($C175,"EQY_DVD_SH_12M"))</f>
        <v/>
      </c>
      <c r="F175" s="33">
        <f>IF($A175="","",BDP($C175,"EQY_DVD_YLD_12M"))</f>
        <v/>
      </c>
      <c r="G175" s="33">
        <f>IF($A175="","",BDP($C175,"EQY_DVD_YLD_IND"))</f>
        <v/>
      </c>
      <c r="H175" s="33">
        <f>IF($A175="","",BDP($C175,'Field Check'!$C$4))</f>
        <v/>
      </c>
      <c r="I175" s="34">
        <f>IFERROR(IF($B175="","",$B175/$B$3),"")</f>
        <v/>
      </c>
      <c r="J175" s="34">
        <f>IFERROR(IF($I175="","",$I175*IFERROR($G175,0)/100),"")</f>
        <v/>
      </c>
      <c r="K175" s="34">
        <f>IFERROR(IF($J175="","",IF(ISNUMBER($H175),$J175*$H175/'Index Summary'!$C$7,"")),"")</f>
        <v/>
      </c>
      <c r="L175" s="34">
        <f>IFERROR(IF($K175="","",$J175-$K175),"")</f>
        <v/>
      </c>
      <c r="M175" s="35">
        <f>IF($C175="","",IF(NOT(ISNUMBER($G175)),"No dividend",IF($G175=0,"No dividend",IF(ISNUMBER($H175),"OK","Franking n/a"))))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6" customWidth="1" min="5" max="5"/>
    <col width="74" customWidth="1" min="6" max="6"/>
  </cols>
  <sheetData>
    <row r="2">
      <c r="B2" s="1" t="inlineStr">
        <is>
          <t>INDEX DIVIDEND YIELD &amp; FRANKING SPLIT</t>
        </is>
      </c>
    </row>
    <row r="3">
      <c r="B3" s="2" t="inlineStr">
        <is>
          <t>Steps 3 and 4, driven entirely off the AS51 and MXAU tabs.</t>
        </is>
      </c>
    </row>
    <row r="5">
      <c r="B5" s="3" t="inlineStr">
        <is>
          <t>ASSUMPTIONS</t>
        </is>
      </c>
    </row>
    <row r="6">
      <c r="B6" t="inlineStr">
        <is>
          <t>Australian corporate tax rate</t>
        </is>
      </c>
      <c r="C6" s="36" t="n">
        <v>0.3</v>
      </c>
      <c r="F6" s="2" t="inlineStr">
        <is>
          <t>Standard company rate. Base rate entities are 25% - not material at index level.</t>
        </is>
      </c>
    </row>
    <row r="7">
      <c r="B7" t="inlineStr">
        <is>
          <t>Franking scale (100 or 1)</t>
        </is>
      </c>
      <c r="C7" s="37" t="n">
        <v>100</v>
      </c>
      <c r="F7" s="2" t="inlineStr">
        <is>
          <t>EQY_DVD_PCT_FRANKED returns 100 for fully franked, so 100. Change only if your terminal returns 1.0.</t>
        </is>
      </c>
    </row>
    <row r="10">
      <c r="B10" s="12" t="inlineStr">
        <is>
          <t>Metric</t>
        </is>
      </c>
      <c r="C10" s="12" t="inlineStr">
        <is>
          <t>AS51</t>
        </is>
      </c>
      <c r="D10" s="12" t="inlineStr">
        <is>
          <t>MXAU</t>
        </is>
      </c>
      <c r="E10" t="inlineStr"/>
      <c r="F10" s="12" t="inlineStr">
        <is>
          <t>Notes</t>
        </is>
      </c>
    </row>
    <row r="11">
      <c r="B11" s="13" t="inlineStr">
        <is>
          <t>STEP 3 - INDEX DIVIDEND YIELD</t>
        </is>
      </c>
      <c r="C11" s="14" t="n"/>
      <c r="D11" s="14" t="n"/>
      <c r="E11" s="14" t="n"/>
      <c r="F11" s="14" t="n"/>
    </row>
    <row r="12">
      <c r="B12" s="16" t="inlineStr">
        <is>
          <t>Bloomberg index yield, indicated (%)</t>
        </is>
      </c>
      <c r="C12" s="38">
        <f>BDP(AS51!$B$2,"EQY_DVD_YLD_IND")</f>
        <v/>
      </c>
      <c r="D12" s="38">
        <f>BDP(MXAU!$B$2,"EQY_DVD_YLD_IND")</f>
        <v/>
      </c>
      <c r="F12" s="2" t="inlineStr">
        <is>
          <t>Top-down: Bloomberg's own figure. Returns 3.85 for 3.85%.</t>
        </is>
      </c>
    </row>
    <row r="13">
      <c r="B13" s="16" t="inlineStr">
        <is>
          <t>Bottom-up weighted yield</t>
        </is>
      </c>
      <c r="C13" s="39">
        <f>IFERROR(AS51!$J$4,"")</f>
        <v/>
      </c>
      <c r="D13" s="39">
        <f>IFERROR(MXAU!$J$4,"")</f>
        <v/>
      </c>
      <c r="F13" s="2" t="inlineStr">
        <is>
          <t>SUM of member weight x member indicated yield, with non-payers included at zero.</t>
        </is>
      </c>
    </row>
    <row r="14">
      <c r="B14" s="16" t="inlineStr">
        <is>
          <t>Reconciliation gap (bottom-up less top-down)</t>
        </is>
      </c>
      <c r="C14" s="40">
        <f>IFERROR(C13-C12/100,"")</f>
        <v/>
      </c>
      <c r="D14" s="40">
        <f>IFERROR(D13-D12/100,"")</f>
        <v/>
      </c>
      <c r="F14" s="2" t="inlineStr">
        <is>
          <t>Should be within roughly 20bp. Wider means missing members, float vs full-cap weights, or stale prices.</t>
        </is>
      </c>
    </row>
    <row r="15">
      <c r="B15" s="16" t="inlineStr">
        <is>
          <t>Total index weight captured</t>
        </is>
      </c>
      <c r="C15" s="39">
        <f>IFERROR(AS51!$I$4,"")</f>
        <v/>
      </c>
      <c r="D15" s="39">
        <f>IFERROR(MXAU!$I$4,"")</f>
        <v/>
      </c>
      <c r="F15" s="2" t="inlineStr">
        <is>
          <t>Should be ~100%. If not, BDS did not return every member.</t>
        </is>
      </c>
    </row>
    <row r="16">
      <c r="B16" s="13" t="inlineStr">
        <is>
          <t>STEP 4 - FRANKED vs UNFRANKED</t>
        </is>
      </c>
      <c r="C16" s="14" t="n"/>
      <c r="D16" s="14" t="n"/>
      <c r="E16" s="14" t="n"/>
      <c r="F16" s="14" t="n"/>
    </row>
    <row r="17">
      <c r="B17" s="16" t="inlineStr">
        <is>
          <t>Franked yield contribution</t>
        </is>
      </c>
      <c r="C17" s="39">
        <f>IFERROR(AS51!$K$4,"")</f>
        <v/>
      </c>
      <c r="D17" s="39">
        <f>IFERROR(MXAU!$K$4,"")</f>
        <v/>
      </c>
      <c r="F17" s="2" t="inlineStr">
        <is>
          <t>Portion of index yield carrying franking credits.</t>
        </is>
      </c>
    </row>
    <row r="18">
      <c r="B18" s="16" t="inlineStr">
        <is>
          <t>Unfranked yield contribution</t>
        </is>
      </c>
      <c r="C18" s="39">
        <f>IFERROR(AS51!$L$4,"")</f>
        <v/>
      </c>
      <c r="D18" s="39">
        <f>IFERROR(MXAU!$L$4,"")</f>
        <v/>
      </c>
      <c r="F18" s="2" t="inlineStr">
        <is>
          <t>Portion with no franking credits attached.</t>
        </is>
      </c>
    </row>
    <row r="19">
      <c r="B19" s="23" t="inlineStr">
        <is>
          <t>Franked % of index dividends</t>
        </is>
      </c>
      <c r="C19" s="41">
        <f>IFERROR(C17/(C17+C18),"")</f>
        <v/>
      </c>
      <c r="D19" s="41">
        <f>IFERROR(D17/(D17+D18),"")</f>
        <v/>
      </c>
      <c r="F19" s="6" t="inlineStr">
        <is>
          <t>THE HEADLINE NUMBER for step 4. Share of index dividend income that is franked.</t>
        </is>
      </c>
    </row>
    <row r="20">
      <c r="B20" s="16" t="inlineStr">
        <is>
          <t>Unfranked % of index dividends</t>
        </is>
      </c>
      <c r="C20" s="40">
        <f>IFERROR(1-C19,"")</f>
        <v/>
      </c>
      <c r="D20" s="40">
        <f>IFERROR(1-D19,"")</f>
        <v/>
      </c>
      <c r="F20" s="2" t="inlineStr">
        <is>
          <t>Complement of the above.</t>
        </is>
      </c>
    </row>
    <row r="21">
      <c r="B21" s="23" t="inlineStr">
        <is>
          <t>Franking coverage (% of dividends)</t>
        </is>
      </c>
      <c r="C21" s="42">
        <f>IFERROR(AS51!$M$4,"")</f>
        <v/>
      </c>
      <c r="D21" s="42">
        <f>IFERROR(MXAU!$M$4,"")</f>
        <v/>
      </c>
      <c r="F21" s="6" t="inlineStr">
        <is>
          <t>READ BEFORE QUOTING THE SPLIT. Share of index dividends with a known franking status. Below ~95% and the two rows above are partly describing data gaps.</t>
        </is>
      </c>
    </row>
    <row r="22">
      <c r="B22" s="13" t="inlineStr">
        <is>
          <t>GROSS-UP FOR FRANKING CREDITS</t>
        </is>
      </c>
      <c r="C22" s="14" t="n"/>
      <c r="D22" s="14" t="n"/>
      <c r="E22" s="14" t="n"/>
      <c r="F22" s="14" t="n"/>
    </row>
    <row r="23">
      <c r="B23" s="16" t="inlineStr">
        <is>
          <t>Franking credit yield</t>
        </is>
      </c>
      <c r="C23" s="40">
        <f>IFERROR(C17*$C$6/(1-$C$6),"")</f>
        <v/>
      </c>
      <c r="D23" s="40">
        <f>IFERROR(D17*$C$6/(1-$C$6),"")</f>
        <v/>
      </c>
      <c r="F23" s="2" t="inlineStr">
        <is>
          <t>Imputation credit on the franked portion: franked yield x t/(1-t). At t=30%, x 0.4286.</t>
        </is>
      </c>
    </row>
    <row r="24">
      <c r="B24" s="16" t="inlineStr">
        <is>
          <t>Grossed-up yield (cash + credits)</t>
        </is>
      </c>
      <c r="C24" s="40">
        <f>IFERROR(C13+C23,"")</f>
        <v/>
      </c>
      <c r="D24" s="40">
        <f>IFERROR(D13+D23,"")</f>
        <v/>
      </c>
      <c r="F24" s="2" t="inlineStr">
        <is>
          <t>What a resident investor who can use the credits effectively receives. This is why franking matters.</t>
        </is>
      </c>
    </row>
    <row r="25">
      <c r="B25" s="16" t="inlineStr">
        <is>
          <t>Gross-up uplift</t>
        </is>
      </c>
      <c r="C25" s="40">
        <f>IFERROR(C24/C13-1,"")</f>
        <v/>
      </c>
      <c r="D25" s="40">
        <f>IFERROR(D24/D13-1,"")</f>
        <v/>
      </c>
      <c r="F25" s="2" t="inlineStr">
        <is>
          <t>Percentage uplift from imputation.</t>
        </is>
      </c>
    </row>
    <row r="26">
      <c r="B26" s="13" t="inlineStr">
        <is>
          <t>DATA QUALITY</t>
        </is>
      </c>
      <c r="C26" s="14" t="n"/>
      <c r="D26" s="14" t="n"/>
      <c r="E26" s="14" t="n"/>
      <c r="F26" s="14" t="n"/>
    </row>
    <row r="27">
      <c r="B27" s="16" t="inlineStr">
        <is>
          <t>Members returned</t>
        </is>
      </c>
      <c r="C27" s="43">
        <f>IFERROR(AS51!$G$2,"")</f>
        <v/>
      </c>
      <c r="D27" s="43">
        <f>IFERROR(MXAU!$G$2,"")</f>
        <v/>
      </c>
      <c r="F27" s="2" t="inlineStr">
        <is>
          <t>AS51 should be 200. MXAU Standard typically 55-65. Short count means BDS truncated - extend the rows.</t>
        </is>
      </c>
    </row>
    <row r="28">
      <c r="B28" s="16" t="inlineStr">
        <is>
          <t>Dividend payers</t>
        </is>
      </c>
      <c r="C28" s="43">
        <f>IFERROR(AS51!$G$3,"")</f>
        <v/>
      </c>
      <c r="D28" s="43">
        <f>IFERROR(MXAU!$G$3,"")</f>
        <v/>
      </c>
      <c r="F28" s="2" t="inlineStr">
        <is>
          <t>Members returning a positive indicated yield.</t>
        </is>
      </c>
    </row>
    <row r="29">
      <c r="B29" s="16" t="inlineStr">
        <is>
          <t>Non-payers (no dividend)</t>
        </is>
      </c>
      <c r="C29" s="43">
        <f>IFERROR(AS51!$J$2,"")</f>
        <v/>
      </c>
      <c r="D29" s="43">
        <f>IFERROR(MXAU!$J$2,"")</f>
        <v/>
      </c>
      <c r="F29" s="2" t="inlineStr">
        <is>
          <t>Held at zero yield, NOT excluded. Dropping them would overstate the index yield.</t>
        </is>
      </c>
    </row>
    <row r="30">
      <c r="B30" s="16" t="inlineStr">
        <is>
          <t>Payers missing franking data</t>
        </is>
      </c>
      <c r="C30" s="43">
        <f>IFERROR(AS51!$J$3,"")</f>
        <v/>
      </c>
      <c r="D30" s="43">
        <f>IFERROR(MXAU!$J$3,"")</f>
        <v/>
      </c>
      <c r="F30" s="2" t="inlineStr">
        <is>
          <t>Excluded from the franked/unfranked split rather than assumed unfranked. Drives the coverage ratio above.</t>
        </is>
      </c>
    </row>
    <row r="32">
      <c r="B32" s="3" t="inlineStr">
        <is>
          <t>Method note</t>
        </is>
      </c>
    </row>
    <row r="33">
      <c r="B33" s="18" t="inlineStr">
        <is>
          <t>Index yield = SUM(w_i x y_i). This identity is exact for a cap-weighted index because SUM(w_i x D_i/P_i) = SUM(n_i x D_i)/total market cap. Non-payers enter with y_i = 0 and their full weight - excluding them shrinks the denominator and overstates the yield. Franked share = SUM(w_i x y_i x f_i) / SUM(w_i x y_i) over members with known franking, so it is weighted by dividend dollars rather than market cap: a large unfranked payer moves it far more than a small one.</t>
        </is>
      </c>
    </row>
    <row r="34"/>
    <row r="35"/>
  </sheetData>
  <mergeCells count="1">
    <mergeCell ref="B33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60" customWidth="1" min="8" max="8"/>
  </cols>
  <sheetData>
    <row r="2">
      <c r="B2" s="1" t="inlineStr">
        <is>
          <t>PER-EVENT DIVIDEND HISTORY (FRANKING GROUND TRUTH)</t>
        </is>
      </c>
    </row>
    <row r="3">
      <c r="B3" s="18" t="inlineStr">
        <is>
          <t>Company-level franking flattens a real complication: franking is set per dividend, so an interim can be 100% franked and the final 50%. Use this tab to test whether the single EQY_DVD_PCT_FRANKED value is defensible for a given name.</t>
        </is>
      </c>
    </row>
    <row r="4"/>
    <row r="6">
      <c r="B6" s="3" t="inlineStr">
        <is>
          <t>Ticker</t>
        </is>
      </c>
      <c r="C6" s="10" t="inlineStr">
        <is>
          <t>BHP AU Equity</t>
        </is>
      </c>
      <c r="E6" s="2" t="inlineStr">
        <is>
          <t>YYYYMMDD as text. Bloomberg overrides reject real Excel dates.</t>
        </is>
      </c>
    </row>
    <row r="7">
      <c r="B7" s="3" t="inlineStr">
        <is>
          <t>Start date</t>
        </is>
      </c>
      <c r="C7" s="10" t="inlineStr">
        <is>
          <t>20230101</t>
        </is>
      </c>
    </row>
    <row r="8">
      <c r="B8" s="3" t="inlineStr">
        <is>
          <t>End date</t>
        </is>
      </c>
      <c r="C8" s="10" t="inlineStr">
        <is>
          <t>20260803</t>
        </is>
      </c>
    </row>
    <row r="10">
      <c r="B10" s="3" t="inlineStr">
        <is>
          <t>Dividend history</t>
        </is>
      </c>
    </row>
    <row r="11">
      <c r="B11" s="16">
        <f>BDS($C$6,"DVD_HIST_ALL","DVD_START_DT",$C$7,"DVD_END_DT",$C$8)</f>
        <v/>
      </c>
    </row>
    <row r="30">
      <c r="B30" s="6" t="inlineStr">
        <is>
          <t>WHAT TO LOOK FOR</t>
        </is>
      </c>
    </row>
    <row r="31">
      <c r="B31" s="2" t="inlineStr">
        <is>
          <t>1.</t>
        </is>
      </c>
      <c r="C31" s="18" t="inlineStr">
        <is>
          <t>Check whether the returned columns carry franking for ASX names. If so, that beats any company-level field.</t>
        </is>
      </c>
    </row>
    <row r="32">
      <c r="B32" s="2" t="inlineStr">
        <is>
          <t>2.</t>
        </is>
      </c>
      <c r="C32" s="18" t="inlineStr">
        <is>
          <t>Compare the dividend-weighted franking over the last 12 months against EQY_DVD_PCT_FRANKED for the same name. If they disagree materially, say so when you present rather than quietly picking the convenient one.</t>
        </is>
      </c>
    </row>
    <row r="33">
      <c r="B33" s="2" t="inlineStr">
        <is>
          <t>3.</t>
        </is>
      </c>
      <c r="C33" s="18" t="inlineStr">
        <is>
          <t>Cross-check visually against DVD&lt;GO&gt;. Two minutes there saves an awkward correction later.</t>
        </is>
      </c>
    </row>
    <row r="36">
      <c r="B36" s="3" t="inlineStr">
        <is>
          <t>Manual trailing-12M franking check (fill from the history above)</t>
        </is>
      </c>
    </row>
    <row r="37">
      <c r="B37" s="19" t="inlineStr">
        <is>
          <t>Ex-date</t>
        </is>
      </c>
      <c r="C37" s="19" t="inlineStr">
        <is>
          <t>DPS</t>
        </is>
      </c>
      <c r="D37" s="19" t="inlineStr">
        <is>
          <t>Franked %</t>
        </is>
      </c>
      <c r="E37" s="19" t="inlineStr">
        <is>
          <t>Franked $</t>
        </is>
      </c>
      <c r="F37" s="19" t="inlineStr">
        <is>
          <t>Unfranked $</t>
        </is>
      </c>
    </row>
    <row r="38">
      <c r="B38" s="10" t="inlineStr">
        <is>
          <t>20250903</t>
        </is>
      </c>
      <c r="C38" s="44" t="n">
        <v>0.6</v>
      </c>
      <c r="D38" s="45" t="n">
        <v>100</v>
      </c>
      <c r="E38" s="32">
        <f>IFERROR(IF($C38="","",$C38*$D38/'Index Summary'!$C$7),"")</f>
        <v/>
      </c>
      <c r="F38" s="32">
        <f>IFERROR(IF($C38="","",$C38-$E38),"")</f>
        <v/>
      </c>
      <c r="H38" s="2" t="inlineStr">
        <is>
          <t>&lt;- example row showing expected format. Overwrite it.</t>
        </is>
      </c>
    </row>
    <row r="39">
      <c r="B39" s="10" t="n"/>
      <c r="C39" s="44" t="n"/>
      <c r="D39" s="45" t="n"/>
      <c r="E39" s="32">
        <f>IFERROR(IF($C39="","",$C39*$D39/'Index Summary'!$C$7),"")</f>
        <v/>
      </c>
      <c r="F39" s="32">
        <f>IFERROR(IF($C39="","",$C39-$E39),"")</f>
        <v/>
      </c>
    </row>
    <row r="40">
      <c r="B40" s="10" t="n"/>
      <c r="C40" s="44" t="n"/>
      <c r="D40" s="45" t="n"/>
      <c r="E40" s="32">
        <f>IFERROR(IF($C40="","",$C40*$D40/'Index Summary'!$C$7),"")</f>
        <v/>
      </c>
      <c r="F40" s="32">
        <f>IFERROR(IF($C40="","",$C40-$E40),"")</f>
        <v/>
      </c>
    </row>
    <row r="41">
      <c r="B41" s="10" t="n"/>
      <c r="C41" s="44" t="n"/>
      <c r="D41" s="45" t="n"/>
      <c r="E41" s="32">
        <f>IFERROR(IF($C41="","",$C41*$D41/'Index Summary'!$C$7),"")</f>
        <v/>
      </c>
      <c r="F41" s="32">
        <f>IFERROR(IF($C41="","",$C41-$E41),"")</f>
        <v/>
      </c>
    </row>
    <row r="42">
      <c r="B42" s="10" t="n"/>
      <c r="C42" s="44" t="n"/>
      <c r="D42" s="45" t="n"/>
      <c r="E42" s="32">
        <f>IFERROR(IF($C42="","",$C42*$D42/'Index Summary'!$C$7),"")</f>
        <v/>
      </c>
      <c r="F42" s="32">
        <f>IFERROR(IF($C42="","",$C42-$E42),"")</f>
        <v/>
      </c>
    </row>
    <row r="43">
      <c r="B43" s="10" t="n"/>
      <c r="C43" s="44" t="n"/>
      <c r="D43" s="45" t="n"/>
      <c r="E43" s="32">
        <f>IFERROR(IF($C43="","",$C43*$D43/'Index Summary'!$C$7),"")</f>
        <v/>
      </c>
      <c r="F43" s="32">
        <f>IFERROR(IF($C43="","",$C43-$E43),"")</f>
        <v/>
      </c>
    </row>
    <row r="44">
      <c r="B44" s="10" t="n"/>
      <c r="C44" s="44" t="n"/>
      <c r="D44" s="45" t="n"/>
      <c r="E44" s="32">
        <f>IFERROR(IF($C44="","",$C44*$D44/'Index Summary'!$C$7),"")</f>
        <v/>
      </c>
      <c r="F44" s="32">
        <f>IFERROR(IF($C44="","",$C44-$E44),"")</f>
        <v/>
      </c>
    </row>
    <row r="45">
      <c r="B45" s="10" t="n"/>
      <c r="C45" s="44" t="n"/>
      <c r="D45" s="45" t="n"/>
      <c r="E45" s="32">
        <f>IFERROR(IF($C45="","",$C45*$D45/'Index Summary'!$C$7),"")</f>
        <v/>
      </c>
      <c r="F45" s="32">
        <f>IFERROR(IF($C45="","",$C45-$E45),"")</f>
        <v/>
      </c>
    </row>
    <row r="46">
      <c r="B46" s="3" t="inlineStr">
        <is>
          <t>TOTAL</t>
        </is>
      </c>
      <c r="C46" s="46">
        <f>IFERROR(SUM(C38:C45),"")</f>
        <v/>
      </c>
      <c r="D46" s="24">
        <f>IFERROR(E46/C46,"")</f>
        <v/>
      </c>
      <c r="E46" s="46">
        <f>IFERROR(SUM(E38:E45),"")</f>
        <v/>
      </c>
      <c r="F46" s="46">
        <f>IFERROR(SUM(F38:F45),"")</f>
        <v/>
      </c>
      <c r="H46" s="6" t="inlineStr">
        <is>
          <t>Dividend-weighted franked %. Compare against EQY_DVD_PCT_FRANKED for the same ticker.</t>
        </is>
      </c>
    </row>
  </sheetData>
  <mergeCells count="4">
    <mergeCell ref="C33:H33"/>
    <mergeCell ref="C32:H32"/>
    <mergeCell ref="B3:H4"/>
    <mergeCell ref="C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2026-08-03T05:04:08Z</dcterms:created>
  <dcterms:modified xmlns:dcterms="http://purl.org/dc/terms/" xmlns:xsi="http://www.w3.org/2001/XMLSchema-instance" xsi:type="dcterms:W3CDTF">2026-08-03T05:04:08Z</dcterms:modified>
</cp:coreProperties>
</file>