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engine)'!$AA$3:$AA$532</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'Database'!$A$4:$BW$521</definedName>
    <definedName name="_xlnm._FilterDatabase" localSheetId="4" hidden="1">'CS League'!$A$4:$K$1080</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87">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 leading AI infrastructure software provider in China. We generate revenue primarily by selling AI and big data infrastructure software products and related services to enterprise and government customers. Through deep integration of AI, big data, and cloud technologies, we enable enterprises to efficiently build AI infrastructure software that drives intelligent transformation and business model innovation across industries.</t>
      </text>
    </comment>
    <comment ref="Y7" authorId="0" shapeId="0">
      <text>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text>
    </comment>
    <comment ref="Y8"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9" authorId="0" shapeId="0">
      <text>
        <t>estimated (press report: Bamboo Works 2025-10 / Smartkarma 2026)</t>
      </text>
    </comment>
    <comment ref="Y9"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0"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text>
    </comment>
    <comment ref="Y11"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2"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Y13" authorId="0" shapeId="0">
      <text>
        <t>We provide quality services to our customers by establishing an extensive integrated sales network to provide a comprehensive range of sales services. Our sales are primarily conducted through direct sales. CUSTOMERS AND SUPPLIERS Our Customers For our PV manufacturing equipment business, our customers are primarily manufacturers in the PV industry, while for our SiPh assembly and testing equipment THIS DOCUMENT IS IN DRAFT FORM, INCOMPLETE AND SUBJECT TO CHANGE AND THAT THE INFORMATION MUST BE READ IN CONJUNCTION WITH THE SECTION HEADED “WARNING” ON THE COVER OF THIS DOCUMENT. SUMMARY –5– business, our customers are primarily companies in the datacom and telecom sectors.</t>
      </text>
    </comment>
    <comment ref="I18" authorId="0" shapeId="0">
      <text>
        <t>prospectus: net proceeds at the maximum price</t>
      </text>
    </comment>
    <comment ref="Y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Transwarp Technology (Shanghai)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engine)'!$AB$3:$AB$532,MATCH($B$5,AllDeals,0)),"")</f>
        <v/>
      </c>
      <c r="C7" s="7" t="n"/>
      <c r="D7" s="10">
        <f>IF($C7&lt;&gt;"",$C7,$B7)</f>
        <v/>
      </c>
      <c r="E7" s="9" t="n"/>
      <c r="G7" s="14" t="inlineStr">
        <is>
          <t>SIZE BENCHMARK</t>
        </is>
      </c>
      <c r="H7" s="15" t="n"/>
    </row>
    <row r="8" ht="16" customHeight="1">
      <c r="A8" s="6" t="inlineStr">
        <is>
          <t>Subsector (ranks first)</t>
        </is>
      </c>
      <c r="B8" s="10">
        <f>IFERROR(INDEX('Calc (scoring engine)'!$AC$3:$AC$532,MATCH($B$5,AllDeals,0)),"")</f>
        <v/>
      </c>
      <c r="C8" s="7" t="n"/>
      <c r="D8" s="10">
        <f>IF($C8&lt;&gt;"",$C8,$B8)</f>
        <v/>
      </c>
      <c r="E8" s="16" t="n"/>
      <c r="G8" s="17" t="inlineStr">
        <is>
          <t>Percentile vs 2021-26 deals</t>
        </is>
      </c>
      <c r="H8" s="18">
        <f>IF(N($D$9)&lt;=0,"n/a",COUNTIF(Database!$I$5:$I$521,"&lt;"&amp;$D$9)/COUNT(Database!$I$5:$I$521))</f>
        <v/>
      </c>
    </row>
    <row r="9" ht="16" customHeight="1">
      <c r="A9" s="6" t="inlineStr">
        <is>
          <t>Size (HK$m)</t>
        </is>
      </c>
      <c r="B9" s="19">
        <f>IFERROR(INDEX('Calc (scoring engine)'!$AD$3:$AD$532,MATCH($B$5,AllDeals,0)),"")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engine)'!$AE$3:$AE$532,MATCH($B$5,AllDeals,0)),"")</f>
        <v/>
      </c>
      <c r="C10" s="7" t="n"/>
      <c r="D10" s="10">
        <f>IF($C10&lt;&gt;"",$C10,$B10)</f>
        <v/>
      </c>
      <c r="E10" s="16" t="n"/>
    </row>
    <row r="11" ht="16" customHeight="1">
      <c r="A11" s="6" t="inlineStr">
        <is>
          <t>H-share (Y/N)</t>
        </is>
      </c>
      <c r="B11" s="10">
        <f>IFERROR(INDEX('Calc (scoring engine)'!$AF$3:$AF$532,MATCH($B$5,AllDeals,0)),"")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engine)'!$AG$3:$AG$532,MATCH($B$5,AllDeals,0)),"")</f>
        <v/>
      </c>
      <c r="C12" s="22" t="n"/>
      <c r="D12" s="21">
        <f>IF($C12&lt;&gt;"",$C12,IF(ISNUMBER($B12),$B12,TODAY()))</f>
        <v/>
      </c>
      <c r="E12" s="16" t="n"/>
      <c r="G12" s="17" t="inlineStr">
        <is>
          <t>Day-1</t>
        </is>
      </c>
      <c r="H12" s="23">
        <f>IFERROR(IF(INDEX(Database!$AG$5:$AG$521,MATCH($B$5,Database!$B$5:$B$521,0))="","—",INDEX(Database!$AG$5:$AG$521,MATCH($B$5,Database!$B$5:$B$521,0))),"not listed yet")</f>
        <v/>
      </c>
    </row>
    <row r="13" ht="16" customHeight="1">
      <c r="A13" s="6" t="inlineStr">
        <is>
          <t>Target P/E (x)</t>
        </is>
      </c>
      <c r="B13" s="24">
        <f>IFERROR(INDEX('Calc (scoring engine)'!$AH$3:$AH$532,MATCH($B$5,AllDeals,0)),"")</f>
        <v/>
      </c>
      <c r="C13" s="25" t="n"/>
      <c r="D13" s="24">
        <f>IF($C13&lt;&gt;"",$C13,$B13)</f>
        <v/>
      </c>
      <c r="E13" s="9" t="n"/>
      <c r="G13" s="17" t="inlineStr">
        <is>
          <t>1-month</t>
        </is>
      </c>
      <c r="H13" s="23">
        <f>IFERROR(IF(INDEX(Database!$AK$5:$AK$521,MATCH($B$5,Database!$B$5:$B$521,0))="","—",INDEX(Database!$AK$5:$AK$521,MATCH($B$5,Database!$B$5:$B$521,0))),"not listed yet")</f>
        <v/>
      </c>
    </row>
    <row r="14" ht="16" customHeight="1">
      <c r="A14" s="6" t="inlineStr">
        <is>
          <t>Public sub (x), expected</t>
        </is>
      </c>
      <c r="B14" s="26">
        <f>IFERROR(INDEX(Database!$S$5:$S$521,MATCH($B$5,Database!$B$5:$B$521,0)),"")</f>
        <v/>
      </c>
      <c r="C14" s="27" t="n"/>
      <c r="D14" s="26">
        <f>IF($C14&lt;&gt;"",$C14,$B14)</f>
        <v/>
      </c>
      <c r="E14" s="16" t="n"/>
      <c r="G14" s="17" t="inlineStr">
        <is>
          <t>Public sub (x)</t>
        </is>
      </c>
      <c r="H14" s="26">
        <f>IFERROR(IF(INDEX(Database!$S$5:$S$521,MATCH($B$5,Database!$B$5:$B$521,0))="","—",INDEX(Database!$S$5:$S$521,MATCH($B$5,Database!$B$5:$B$521,0))),"not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IFERROR(IF(INDEX(Database!$U$5:$U$521,MATCH($B$5,Database!$B$5:$B$521,0))="","—",INDEX(Database!$U$5:$U$521,MATCH($B$5,Database!$B$5:$B$521,0))),"not listed yet")</f>
        <v/>
      </c>
    </row>
    <row r="16" ht="16" customHeight="1">
      <c r="A16" s="6" t="inlineStr">
        <is>
          <t>Rank by</t>
        </is>
      </c>
      <c r="B16" s="7" t="inlineStr">
        <is>
          <t>standard</t>
        </is>
      </c>
      <c r="C16" s="8" t="n"/>
      <c r="D16" s="8" t="n"/>
      <c r="E16" s="9" t="n"/>
      <c r="G16" s="17" t="inlineStr">
        <is>
          <t>Sponsors</t>
        </is>
      </c>
      <c r="H16" s="10">
        <f>IFERROR(IF(INDEX(Database!$BO$5:$BO$521,MATCH($B$5,Database!$B$5:$B$521,0))="","—",INDEX(Database!$BO$5:$BO$521,MATCH($B$5,Database!$B$5:$B$521,0))),"not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engine)'!$K$5:$K$521,1),-999999)&lt;=-900000),"",1)</f>
        <v/>
      </c>
      <c r="B21" s="10">
        <f>IF(OR(1&gt;MAX(3,MIN(15,N($D$18))),IFERROR(LARGE('Calc (scoring engine)'!$K$5:$K$521,1),-999999)&lt;=-900000),"",IFERROR(IF(INDEX(Database!$B$5:$B$521,MATCH(LARGE('Calc (scoring engine)'!$K$5:$K$521,1),'Calc (scoring engine)'!$K$5:$K$521,0))="","—",INDEX(Database!$B$5:$B$521,MATCH(LARGE('Calc (scoring engine)'!$K$5:$K$521,1),'Calc (scoring engine)'!$K$5:$K$521,0))),""))</f>
        <v/>
      </c>
      <c r="C21" s="49">
        <f>IF(OR(1&gt;MAX(3,MIN(15,N($D$18))),IFERROR(LARGE('Calc (scoring engine)'!$K$5:$K$521,1),-999999)&lt;=-900000),"",IFERROR(IF(INDEX(Database!$A$5:$A$521,MATCH(LARGE('Calc (scoring engine)'!$K$5:$K$521,1),'Calc (scoring engine)'!$K$5:$K$521,0))="","—",INDEX(Database!$A$5:$A$521,MATCH(LARGE('Calc (scoring engine)'!$K$5:$K$521,1),'Calc (scoring engine)'!$K$5:$K$521,0))),""))</f>
        <v/>
      </c>
      <c r="D21" s="10">
        <f>IF(OR(1&gt;MAX(3,MIN(15,N($D$18))),IFERROR(LARGE('Calc (scoring engine)'!$K$5:$K$521,1),-999999)&lt;=-900000),"",IFERROR(IF(INDEX(Database!$D$5:$D$521,MATCH(LARGE('Calc (scoring engine)'!$K$5:$K$521,1),'Calc (scoring engine)'!$K$5:$K$521,0))="","—",INDEX(Database!$D$5:$D$521,MATCH(LARGE('Calc (scoring engine)'!$K$5:$K$521,1),'Calc (scoring engine)'!$K$5:$K$521,0))),""))</f>
        <v/>
      </c>
      <c r="E21" s="10">
        <f>IF(OR(1&gt;MAX(3,MIN(15,N($D$18))),IFERROR(LARGE('Calc (scoring engine)'!$K$5:$K$521,1),-999999)&lt;=-900000),"",IFERROR(IF(INDEX(Database!$E$5:$E$521,MATCH(LARGE('Calc (scoring engine)'!$K$5:$K$521,1),'Calc (scoring engine)'!$K$5:$K$521,0))="","—",INDEX(Database!$E$5:$E$521,MATCH(LARGE('Calc (scoring engine)'!$K$5:$K$521,1),'Calc (scoring engine)'!$K$5:$K$521,0))),""))</f>
        <v/>
      </c>
      <c r="F21" s="10">
        <f>IF(OR(1&gt;MAX(3,MIN(15,N($D$18))),IFERROR(LARGE('Calc (scoring engine)'!$K$5:$K$521,1),-999999)&lt;=-900000),"",IFERROR(IF(INDEX(Database!$F$5:$F$521,MATCH(LARGE('Calc (scoring engine)'!$K$5:$K$521,1),'Calc (scoring engine)'!$K$5:$K$521,0))="","—",INDEX(Database!$F$5:$F$521,MATCH(LARGE('Calc (scoring engine)'!$K$5:$K$521,1),'Calc (scoring engine)'!$K$5:$K$521,0))),""))</f>
        <v/>
      </c>
      <c r="G21" s="10">
        <f>IF(OR(1&gt;MAX(3,MIN(15,N($D$18))),IFERROR(LARGE('Calc (scoring engine)'!$K$5:$K$521,1),-999999)&lt;=-900000),"",IFERROR(IF(INDEX(Database!$G$5:$G$521,MATCH(LARGE('Calc (scoring engine)'!$K$5:$K$521,1),'Calc (scoring engine)'!$K$5:$K$521,0))="","—",INDEX(Database!$G$5:$G$521,MATCH(LARGE('Calc (scoring engine)'!$K$5:$K$521,1),'Calc (scoring engine)'!$K$5:$K$521,0))),""))</f>
        <v/>
      </c>
      <c r="H21" s="21">
        <f>IF(OR(1&gt;MAX(3,MIN(15,N($D$18))),IFERROR(LARGE('Calc (scoring engine)'!$K$5:$K$521,1),-999999)&lt;=-900000),"",IFERROR(IF(INDEX(Database!$H$5:$H$521,MATCH(LARGE('Calc (scoring engine)'!$K$5:$K$521,1),'Calc (scoring engine)'!$K$5:$K$521,0))="","—",INDEX(Database!$H$5:$H$521,MATCH(LARGE('Calc (scoring engine)'!$K$5:$K$521,1),'Calc (scoring engine)'!$K$5:$K$521,0))),""))</f>
        <v/>
      </c>
      <c r="I21" s="19">
        <f>IF(OR(1&gt;MAX(3,MIN(15,N($D$18))),IFERROR(LARGE('Calc (scoring engine)'!$K$5:$K$521,1),-999999)&lt;=-900000),"",IFERROR(IF(INDEX(Database!$I$5:$I$521,MATCH(LARGE('Calc (scoring engine)'!$K$5:$K$521,1),'Calc (scoring engine)'!$K$5:$K$521,0))="","—",INDEX(Database!$I$5:$I$521,MATCH(LARGE('Calc (scoring engine)'!$K$5:$K$521,1),'Calc (scoring engine)'!$K$5:$K$521,0))),""))</f>
        <v/>
      </c>
      <c r="J21" s="50">
        <f>IF(OR(1&gt;MAX(3,MIN(15,N($D$18))),IFERROR(LARGE('Calc (scoring engine)'!$K$5:$K$521,1),-999999)&lt;=-900000),"",IFERROR(IF(INDEX(Database!$K$5:$K$521,MATCH(LARGE('Calc (scoring engine)'!$K$5:$K$521,1),'Calc (scoring engine)'!$K$5:$K$521,0))="","—",INDEX(Database!$K$5:$K$521,MATCH(LARGE('Calc (scoring engine)'!$K$5:$K$521,1),'Calc (scoring engine)'!$K$5:$K$521,0))),""))</f>
        <v/>
      </c>
      <c r="K21" s="50">
        <f>IF(OR(1&gt;MAX(3,MIN(15,N($D$18))),IFERROR(LARGE('Calc (scoring engine)'!$K$5:$K$521,1),-999999)&lt;=-900000),"",IFERROR(IF(INDEX(Database!$L$5:$L$521,MATCH(LARGE('Calc (scoring engine)'!$K$5:$K$521,1),'Calc (scoring engine)'!$K$5:$K$521,0))="","—",INDEX(Database!$L$5:$L$521,MATCH(LARGE('Calc (scoring engine)'!$K$5:$K$521,1),'Calc (scoring engine)'!$K$5:$K$521,0))),""))</f>
        <v/>
      </c>
      <c r="L21" s="50">
        <f>IF(OR(1&gt;MAX(3,MIN(15,N($D$18))),IFERROR(LARGE('Calc (scoring engine)'!$K$5:$K$521,1),-999999)&lt;=-900000),"",IFERROR(IF(INDEX(Database!$M$5:$M$521,MATCH(LARGE('Calc (scoring engine)'!$K$5:$K$521,1),'Calc (scoring engine)'!$K$5:$K$521,0))="","—",INDEX(Database!$M$5:$M$521,MATCH(LARGE('Calc (scoring engine)'!$K$5:$K$521,1),'Calc (scoring engine)'!$K$5:$K$521,0))),""))</f>
        <v/>
      </c>
      <c r="M21" s="10">
        <f>IF(OR(1&gt;MAX(3,MIN(15,N($D$18))),IFERROR(LARGE('Calc (scoring engine)'!$K$5:$K$521,1),-999999)&lt;=-900000),"",IFERROR(IF(INDEX(Database!$N$5:$N$521,MATCH(LARGE('Calc (scoring engine)'!$K$5:$K$521,1),'Calc (scoring engine)'!$K$5:$K$521,0))="","—",INDEX(Database!$N$5:$N$521,MATCH(LARGE('Calc (scoring engine)'!$K$5:$K$521,1),'Calc (scoring engine)'!$K$5:$K$521,0))),""))</f>
        <v/>
      </c>
      <c r="N21" s="31">
        <f>IF(OR(1&gt;MAX(3,MIN(15,N($D$18))),IFERROR(LARGE('Calc (scoring engine)'!$K$5:$K$521,1),-999999)&lt;=-900000),"",IFERROR(IF(INDEX(Database!$O$5:$O$521,MATCH(LARGE('Calc (scoring engine)'!$K$5:$K$521,1),'Calc (scoring engine)'!$K$5:$K$521,0))="","—",INDEX(Database!$O$5:$O$521,MATCH(LARGE('Calc (scoring engine)'!$K$5:$K$521,1),'Calc (scoring engine)'!$K$5:$K$521,0))),""))</f>
        <v/>
      </c>
      <c r="O21" s="31">
        <f>IF(OR(1&gt;MAX(3,MIN(15,N($D$18))),IFERROR(LARGE('Calc (scoring engine)'!$K$5:$K$521,1),-999999)&lt;=-900000),"",IFERROR(IF(INDEX(Database!$P$5:$P$521,MATCH(LARGE('Calc (scoring engine)'!$K$5:$K$521,1),'Calc (scoring engine)'!$K$5:$K$521,0))="","—",INDEX(Database!$P$5:$P$521,MATCH(LARGE('Calc (scoring engine)'!$K$5:$K$521,1),'Calc (scoring engine)'!$K$5:$K$521,0))),""))</f>
        <v/>
      </c>
      <c r="P21" s="19">
        <f>IF(OR(1&gt;MAX(3,MIN(15,N($D$18))),IFERROR(LARGE('Calc (scoring engine)'!$K$5:$K$521,1),-999999)&lt;=-900000),"",IFERROR(IF(INDEX(Database!$Q$5:$Q$521,MATCH(LARGE('Calc (scoring engine)'!$K$5:$K$521,1),'Calc (scoring engine)'!$K$5:$K$521,0))="","—",INDEX(Database!$Q$5:$Q$521,MATCH(LARGE('Calc (scoring engine)'!$K$5:$K$521,1),'Calc (scoring engine)'!$K$5:$K$521,0))),""))</f>
        <v/>
      </c>
      <c r="Q21" s="26">
        <f>IF(OR(1&gt;MAX(3,MIN(15,N($D$18))),IFERROR(LARGE('Calc (scoring engine)'!$K$5:$K$521,1),-999999)&lt;=-900000),"",IFERROR(IF(INDEX(Database!$S$5:$S$521,MATCH(LARGE('Calc (scoring engine)'!$K$5:$K$521,1),'Calc (scoring engine)'!$K$5:$K$521,0))="","—",INDEX(Database!$S$5:$S$521,MATCH(LARGE('Calc (scoring engine)'!$K$5:$K$521,1),'Calc (scoring engine)'!$K$5:$K$521,0))),""))</f>
        <v/>
      </c>
      <c r="R21" s="51">
        <f>IF(OR(1&gt;MAX(3,MIN(15,N($D$18))),IFERROR(LARGE('Calc (scoring engine)'!$K$5:$K$521,1),-999999)&lt;=-900000),"",IFERROR(IF(INDEX(Database!$T$5:$T$521,MATCH(LARGE('Calc (scoring engine)'!$K$5:$K$521,1),'Calc (scoring engine)'!$K$5:$K$521,0))="","—",INDEX(Database!$T$5:$T$521,MATCH(LARGE('Calc (scoring engine)'!$K$5:$K$521,1),'Calc (scoring engine)'!$K$5:$K$521,0))),""))</f>
        <v/>
      </c>
      <c r="S21" s="52">
        <f>IF(OR(1&gt;MAX(3,MIN(15,N($D$18))),IFERROR(LARGE('Calc (scoring engine)'!$K$5:$K$521,1),-999999)&lt;=-900000),"",IFERROR(IF(INDEX(Database!$U$5:$U$521,MATCH(LARGE('Calc (scoring engine)'!$K$5:$K$521,1),'Calc (scoring engine)'!$K$5:$K$521,0))="","—",INDEX(Database!$U$5:$U$521,MATCH(LARGE('Calc (scoring engine)'!$K$5:$K$521,1),'Calc (scoring engine)'!$K$5:$K$521,0))),""))</f>
        <v/>
      </c>
      <c r="T21" s="19">
        <f>IF(OR(1&gt;MAX(3,MIN(15,N($D$18))),IFERROR(LARGE('Calc (scoring engine)'!$K$5:$K$521,1),-999999)&lt;=-900000),"",IFERROR(IF(INDEX(Database!$V$5:$V$521,MATCH(LARGE('Calc (scoring engine)'!$K$5:$K$521,1),'Calc (scoring engine)'!$K$5:$K$521,0))="","—",INDEX(Database!$V$5:$V$521,MATCH(LARGE('Calc (scoring engine)'!$K$5:$K$521,1),'Calc (scoring engine)'!$K$5:$K$521,0))),""))</f>
        <v/>
      </c>
      <c r="U21" s="19">
        <f>IF(OR(1&gt;MAX(3,MIN(15,N($D$18))),IFERROR(LARGE('Calc (scoring engine)'!$K$5:$K$521,1),-999999)&lt;=-900000),"",IFERROR(IF(INDEX(Database!$W$5:$W$521,MATCH(LARGE('Calc (scoring engine)'!$K$5:$K$521,1),'Calc (scoring engine)'!$K$5:$K$521,0))="","—",INDEX(Database!$W$5:$W$521,MATCH(LARGE('Calc (scoring engine)'!$K$5:$K$521,1),'Calc (scoring engine)'!$K$5:$K$521,0))),""))</f>
        <v/>
      </c>
      <c r="V21" s="31">
        <f>IF(OR(1&gt;MAX(3,MIN(15,N($D$18))),IFERROR(LARGE('Calc (scoring engine)'!$K$5:$K$521,1),-999999)&lt;=-900000),"",IFERROR(IF(INDEX(Database!$X$5:$X$521,MATCH(LARGE('Calc (scoring engine)'!$K$5:$K$521,1),'Calc (scoring engine)'!$K$5:$K$521,0))="","—",INDEX(Database!$X$5:$X$521,MATCH(LARGE('Calc (scoring engine)'!$K$5:$K$521,1),'Calc (scoring engine)'!$K$5:$K$521,0))),""))</f>
        <v/>
      </c>
      <c r="W21" s="10">
        <f>IF(OR(1&gt;MAX(3,MIN(15,N($D$18))),IFERROR(LARGE('Calc (scoring engine)'!$K$5:$K$521,1),-999999)&lt;=-900000),"",IFERROR(IF(INDEX(Database!$Y$5:$Y$521,MATCH(LARGE('Calc (scoring engine)'!$K$5:$K$521,1),'Calc (scoring engine)'!$K$5:$K$521,0))="","—",INDEX(Database!$Y$5:$Y$521,MATCH(LARGE('Calc (scoring engine)'!$K$5:$K$521,1),'Calc (scoring engine)'!$K$5:$K$521,0))),""))</f>
        <v/>
      </c>
      <c r="X21" s="31">
        <f>IF(OR(1&gt;MAX(3,MIN(15,N($D$18))),IFERROR(LARGE('Calc (scoring engine)'!$K$5:$K$521,1),-999999)&lt;=-900000),"",IFERROR(IF(INDEX(Database!$AA$5:$AA$521,MATCH(LARGE('Calc (scoring engine)'!$K$5:$K$521,1),'Calc (scoring engine)'!$K$5:$K$521,0))="","—",INDEX(Database!$AA$5:$AA$521,MATCH(LARGE('Calc (scoring engine)'!$K$5:$K$521,1),'Calc (scoring engine)'!$K$5:$K$521,0))),""))</f>
        <v/>
      </c>
      <c r="Y21" s="10">
        <f>IF(OR(1&gt;MAX(3,MIN(15,N($D$18))),IFERROR(LARGE('Calc (scoring engine)'!$K$5:$K$521,1),-999999)&lt;=-900000),"",IFERROR(IF(INDEX(Database!$AB$5:$AB$521,MATCH(LARGE('Calc (scoring engine)'!$K$5:$K$521,1),'Calc (scoring engine)'!$K$5:$K$521,0))="","—",INDEX(Database!$AB$5:$AB$521,MATCH(LARGE('Calc (scoring engine)'!$K$5:$K$521,1),'Calc (scoring engine)'!$K$5:$K$521,0))),""))</f>
        <v/>
      </c>
      <c r="Z21" s="10">
        <f>IF(OR(1&gt;MAX(3,MIN(15,N($D$18))),IFERROR(LARGE('Calc (scoring engine)'!$K$5:$K$521,1),-999999)&lt;=-900000),"",IFERROR(IF(INDEX(Database!$AC$5:$AC$521,MATCH(LARGE('Calc (scoring engine)'!$K$5:$K$521,1),'Calc (scoring engine)'!$K$5:$K$521,0))="","—",INDEX(Database!$AC$5:$AC$521,MATCH(LARGE('Calc (scoring engine)'!$K$5:$K$521,1),'Calc (scoring engine)'!$K$5:$K$521,0))),""))</f>
        <v/>
      </c>
      <c r="AA21" s="10">
        <f>IF(OR(1&gt;MAX(3,MIN(15,N($D$18))),IFERROR(LARGE('Calc (scoring engine)'!$K$5:$K$521,1),-999999)&lt;=-900000),"",IFERROR(IF(INDEX(Database!$AD$5:$AD$521,MATCH(LARGE('Calc (scoring engine)'!$K$5:$K$521,1),'Calc (scoring engine)'!$K$5:$K$521,0))="","—",INDEX(Database!$AD$5:$AD$521,MATCH(LARGE('Calc (scoring engine)'!$K$5:$K$521,1),'Calc (scoring engine)'!$K$5:$K$521,0))),""))</f>
        <v/>
      </c>
      <c r="AB21" s="10">
        <f>IF(OR(1&gt;MAX(3,MIN(15,N($D$18))),IFERROR(LARGE('Calc (scoring engine)'!$K$5:$K$521,1),-999999)&lt;=-900000),"",IFERROR(IF(INDEX(Database!$AE$5:$AE$521,MATCH(LARGE('Calc (scoring engine)'!$K$5:$K$521,1),'Calc (scoring engine)'!$K$5:$K$521,0))="","—",INDEX(Database!$AE$5:$AE$521,MATCH(LARGE('Calc (scoring engine)'!$K$5:$K$521,1),'Calc (scoring engine)'!$K$5:$K$521,0))),""))</f>
        <v/>
      </c>
      <c r="AC21" s="23">
        <f>IF(OR(1&gt;MAX(3,MIN(15,N($D$18))),IFERROR(LARGE('Calc (scoring engine)'!$K$5:$K$521,1),-999999)&lt;=-900000),"",IFERROR(IF(INDEX(Database!$AF$5:$AF$521,MATCH(LARGE('Calc (scoring engine)'!$K$5:$K$521,1),'Calc (scoring engine)'!$K$5:$K$521,0))="","—",INDEX(Database!$AF$5:$AF$521,MATCH(LARGE('Calc (scoring engine)'!$K$5:$K$521,1),'Calc (scoring engine)'!$K$5:$K$521,0))),""))</f>
        <v/>
      </c>
      <c r="AD21" s="23">
        <f>IF(OR(1&gt;MAX(3,MIN(15,N($D$18))),IFERROR(LARGE('Calc (scoring engine)'!$K$5:$K$521,1),-999999)&lt;=-900000),"",IFERROR(IF(INDEX(Database!$AG$5:$AG$521,MATCH(LARGE('Calc (scoring engine)'!$K$5:$K$521,1),'Calc (scoring engine)'!$K$5:$K$521,0))="","—",INDEX(Database!$AG$5:$AG$521,MATCH(LARGE('Calc (scoring engine)'!$K$5:$K$521,1),'Calc (scoring engine)'!$K$5:$K$521,0))),""))</f>
        <v/>
      </c>
      <c r="AE21" s="23">
        <f>IF(OR(1&gt;MAX(3,MIN(15,N($D$18))),IFERROR(LARGE('Calc (scoring engine)'!$K$5:$K$521,1),-999999)&lt;=-900000),"",IFERROR(IF(INDEX(Database!$AH$5:$AH$521,MATCH(LARGE('Calc (scoring engine)'!$K$5:$K$521,1),'Calc (scoring engine)'!$K$5:$K$521,0))="","—",INDEX(Database!$AH$5:$AH$521,MATCH(LARGE('Calc (scoring engine)'!$K$5:$K$521,1),'Calc (scoring engine)'!$K$5:$K$521,0))),""))</f>
        <v/>
      </c>
      <c r="AF21" s="23">
        <f>IF(OR(1&gt;MAX(3,MIN(15,N($D$18))),IFERROR(LARGE('Calc (scoring engine)'!$K$5:$K$521,1),-999999)&lt;=-900000),"",IFERROR(IF(INDEX(Database!$AI$5:$AI$521,MATCH(LARGE('Calc (scoring engine)'!$K$5:$K$521,1),'Calc (scoring engine)'!$K$5:$K$521,0))="","—",INDEX(Database!$AI$5:$AI$521,MATCH(LARGE('Calc (scoring engine)'!$K$5:$K$521,1),'Calc (scoring engine)'!$K$5:$K$521,0))),""))</f>
        <v/>
      </c>
      <c r="AG21" s="23">
        <f>IF(OR(1&gt;MAX(3,MIN(15,N($D$18))),IFERROR(LARGE('Calc (scoring engine)'!$K$5:$K$521,1),-999999)&lt;=-900000),"",IFERROR(IF(INDEX(Database!$AJ$5:$AJ$521,MATCH(LARGE('Calc (scoring engine)'!$K$5:$K$521,1),'Calc (scoring engine)'!$K$5:$K$521,0))="","—",INDEX(Database!$AJ$5:$AJ$521,MATCH(LARGE('Calc (scoring engine)'!$K$5:$K$521,1),'Calc (scoring engine)'!$K$5:$K$521,0))),""))</f>
        <v/>
      </c>
      <c r="AH21" s="23">
        <f>IF(OR(1&gt;MAX(3,MIN(15,N($D$18))),IFERROR(LARGE('Calc (scoring engine)'!$K$5:$K$521,1),-999999)&lt;=-900000),"",IFERROR(IF(INDEX(Database!$AK$5:$AK$521,MATCH(LARGE('Calc (scoring engine)'!$K$5:$K$521,1),'Calc (scoring engine)'!$K$5:$K$521,0))="","—",INDEX(Database!$AK$5:$AK$521,MATCH(LARGE('Calc (scoring engine)'!$K$5:$K$521,1),'Calc (scoring engine)'!$K$5:$K$521,0))),""))</f>
        <v/>
      </c>
      <c r="AI21" s="23">
        <f>IF(OR(1&gt;MAX(3,MIN(15,N($D$18))),IFERROR(LARGE('Calc (scoring engine)'!$K$5:$K$521,1),-999999)&lt;=-900000),"",IFERROR(IF(INDEX(Database!$AL$5:$AL$521,MATCH(LARGE('Calc (scoring engine)'!$K$5:$K$521,1),'Calc (scoring engine)'!$K$5:$K$521,0))="","—",INDEX(Database!$AL$5:$AL$521,MATCH(LARGE('Calc (scoring engine)'!$K$5:$K$521,1),'Calc (scoring engine)'!$K$5:$K$521,0))),""))</f>
        <v/>
      </c>
      <c r="AJ21" s="23">
        <f>IF(OR(1&gt;MAX(3,MIN(15,N($D$18))),IFERROR(LARGE('Calc (scoring engine)'!$K$5:$K$521,1),-999999)&lt;=-900000),"",IFERROR(IF(INDEX(Database!$AM$5:$AM$521,MATCH(LARGE('Calc (scoring engine)'!$K$5:$K$521,1),'Calc (scoring engine)'!$K$5:$K$521,0))="","—",INDEX(Database!$AM$5:$AM$521,MATCH(LARGE('Calc (scoring engine)'!$K$5:$K$521,1),'Calc (scoring engine)'!$K$5:$K$521,0))),""))</f>
        <v/>
      </c>
      <c r="AK21" s="23">
        <f>IF(OR(1&gt;MAX(3,MIN(15,N($D$18))),IFERROR(LARGE('Calc (scoring engine)'!$K$5:$K$521,1),-999999)&lt;=-900000),"",IFERROR(IF(INDEX(Database!$AN$5:$AN$521,MATCH(LARGE('Calc (scoring engine)'!$K$5:$K$521,1),'Calc (scoring engine)'!$K$5:$K$521,0))="","—",INDEX(Database!$AN$5:$AN$521,MATCH(LARGE('Calc (scoring engine)'!$K$5:$K$521,1),'Calc (scoring engine)'!$K$5:$K$521,0))),""))</f>
        <v/>
      </c>
      <c r="AL21" s="23">
        <f>IF(OR(1&gt;MAX(3,MIN(15,N($D$18))),IFERROR(LARGE('Calc (scoring engine)'!$K$5:$K$521,1),-999999)&lt;=-900000),"",IFERROR(IF(INDEX(Database!$AO$5:$AO$521,MATCH(LARGE('Calc (scoring engine)'!$K$5:$K$521,1),'Calc (scoring engine)'!$K$5:$K$521,0))="","—",INDEX(Database!$AO$5:$AO$521,MATCH(LARGE('Calc (scoring engine)'!$K$5:$K$521,1),'Calc (scoring engine)'!$K$5:$K$521,0))),""))</f>
        <v/>
      </c>
      <c r="AM21" s="23">
        <f>IF(OR(1&gt;MAX(3,MIN(15,N($D$18))),IFERROR(LARGE('Calc (scoring engine)'!$K$5:$K$521,1),-999999)&lt;=-900000),"",IFERROR(IF(INDEX(Database!$AP$5:$AP$521,MATCH(LARGE('Calc (scoring engine)'!$K$5:$K$521,1),'Calc (scoring engine)'!$K$5:$K$521,0))="","—",INDEX(Database!$AP$5:$AP$521,MATCH(LARGE('Calc (scoring engine)'!$K$5:$K$521,1),'Calc (scoring engine)'!$K$5:$K$521,0))),""))</f>
        <v/>
      </c>
      <c r="AN21" s="23">
        <f>IF(OR(1&gt;MAX(3,MIN(15,N($D$18))),IFERROR(LARGE('Calc (scoring engine)'!$K$5:$K$521,1),-999999)&lt;=-900000),"",IFERROR(IF(INDEX(Database!$AQ$5:$AQ$521,MATCH(LARGE('Calc (scoring engine)'!$K$5:$K$521,1),'Calc (scoring engine)'!$K$5:$K$521,0))="","—",INDEX(Database!$AQ$5:$AQ$521,MATCH(LARGE('Calc (scoring engine)'!$K$5:$K$521,1),'Calc (scoring engine)'!$K$5:$K$521,0))),""))</f>
        <v/>
      </c>
      <c r="AO21" s="23">
        <f>IF(OR(1&gt;MAX(3,MIN(15,N($D$18))),IFERROR(LARGE('Calc (scoring engine)'!$K$5:$K$521,1),-999999)&lt;=-900000),"",IFERROR(IF(INDEX(Database!$AR$5:$AR$521,MATCH(LARGE('Calc (scoring engine)'!$K$5:$K$521,1),'Calc (scoring engine)'!$K$5:$K$521,0))="","—",INDEX(Database!$AR$5:$AR$521,MATCH(LARGE('Calc (scoring engine)'!$K$5:$K$521,1),'Calc (scoring engine)'!$K$5:$K$521,0))),""))</f>
        <v/>
      </c>
      <c r="AP21" s="23">
        <f>IF(OR(1&gt;MAX(3,MIN(15,N($D$18))),IFERROR(LARGE('Calc (scoring engine)'!$K$5:$K$521,1),-999999)&lt;=-900000),"",IFERROR(IF(INDEX(Database!$AS$5:$AS$521,MATCH(LARGE('Calc (scoring engine)'!$K$5:$K$521,1),'Calc (scoring engine)'!$K$5:$K$521,0))="","—",INDEX(Database!$AS$5:$AS$521,MATCH(LARGE('Calc (scoring engine)'!$K$5:$K$521,1),'Calc (scoring engine)'!$K$5:$K$521,0))),""))</f>
        <v/>
      </c>
      <c r="AQ21" s="23">
        <f>IF(OR(1&gt;MAX(3,MIN(15,N($D$18))),IFERROR(LARGE('Calc (scoring engine)'!$K$5:$K$521,1),-999999)&lt;=-900000),"",IFERROR(IF(INDEX(Database!$AT$5:$AT$521,MATCH(LARGE('Calc (scoring engine)'!$K$5:$K$521,1),'Calc (scoring engine)'!$K$5:$K$521,0))="","—",INDEX(Database!$AT$5:$AT$521,MATCH(LARGE('Calc (scoring engine)'!$K$5:$K$521,1),'Calc (scoring engine)'!$K$5:$K$521,0))),""))</f>
        <v/>
      </c>
      <c r="AR21" s="23">
        <f>IF(OR(1&gt;MAX(3,MIN(15,N($D$18))),IFERROR(LARGE('Calc (scoring engine)'!$K$5:$K$521,1),-999999)&lt;=-900000),"",IFERROR(IF(INDEX(Database!$AU$5:$AU$521,MATCH(LARGE('Calc (scoring engine)'!$K$5:$K$521,1),'Calc (scoring engine)'!$K$5:$K$521,0))="","—",INDEX(Database!$AU$5:$AU$521,MATCH(LARGE('Calc (scoring engine)'!$K$5:$K$521,1),'Calc (scoring engine)'!$K$5:$K$521,0))),""))</f>
        <v/>
      </c>
      <c r="AS21" s="23">
        <f>IF(OR(1&gt;MAX(3,MIN(15,N($D$18))),IFERROR(LARGE('Calc (scoring engine)'!$K$5:$K$521,1),-999999)&lt;=-900000),"",IFERROR(IF(INDEX(Database!$AW$5:$AW$521,MATCH(LARGE('Calc (scoring engine)'!$K$5:$K$521,1),'Calc (scoring engine)'!$K$5:$K$521,0))="","—",INDEX(Database!$AW$5:$AW$521,MATCH(LARGE('Calc (scoring engine)'!$K$5:$K$521,1),'Calc (scoring engine)'!$K$5:$K$521,0))),""))</f>
        <v/>
      </c>
      <c r="AT21" s="19">
        <f>IF(OR(1&gt;MAX(3,MIN(15,N($D$18))),IFERROR(LARGE('Calc (scoring engine)'!$K$5:$K$521,1),-999999)&lt;=-900000),"",IFERROR(IF(INDEX(Database!$AY$5:$AY$521,MATCH(LARGE('Calc (scoring engine)'!$K$5:$K$521,1),'Calc (scoring engine)'!$K$5:$K$521,0))="","—",INDEX(Database!$AY$5:$AY$521,MATCH(LARGE('Calc (scoring engine)'!$K$5:$K$521,1),'Calc (scoring engine)'!$K$5:$K$521,0))),""))</f>
        <v/>
      </c>
      <c r="AU21" s="19">
        <f>IF(OR(1&gt;MAX(3,MIN(15,N($D$18))),IFERROR(LARGE('Calc (scoring engine)'!$K$5:$K$521,1),-999999)&lt;=-900000),"",IFERROR(IF(INDEX(Database!$AZ$5:$AZ$521,MATCH(LARGE('Calc (scoring engine)'!$K$5:$K$521,1),'Calc (scoring engine)'!$K$5:$K$521,0))="","—",INDEX(Database!$AZ$5:$AZ$521,MATCH(LARGE('Calc (scoring engine)'!$K$5:$K$521,1),'Calc (scoring engine)'!$K$5:$K$521,0))),""))</f>
        <v/>
      </c>
      <c r="AV21" s="10">
        <f>IF(OR(1&gt;MAX(3,MIN(15,N($D$18))),IFERROR(LARGE('Calc (scoring engine)'!$K$5:$K$521,1),-999999)&lt;=-900000),"",IFERROR(IF(INDEX(Database!$BA$5:$BA$521,MATCH(LARGE('Calc (scoring engine)'!$K$5:$K$521,1),'Calc (scoring engine)'!$K$5:$K$521,0))="","—",INDEX(Database!$BA$5:$BA$521,MATCH(LARGE('Calc (scoring engine)'!$K$5:$K$521,1),'Calc (scoring engine)'!$K$5:$K$521,0))),""))</f>
        <v/>
      </c>
      <c r="AW21" s="24">
        <f>IF(OR(1&gt;MAX(3,MIN(15,N($D$18))),IFERROR(LARGE('Calc (scoring engine)'!$K$5:$K$521,1),-999999)&lt;=-900000),"",IFERROR(IF(N(INDEX(Database!$BB$5:$BB$521,MATCH(LARGE('Calc (scoring engine)'!$K$5:$K$521,1),'Calc (scoring engine)'!$K$5:$K$521,0)))&lt;=0,IF(INDEX(Database!$BA$5:$BA$521,MATCH(LARGE('Calc (scoring engine)'!$K$5:$K$521,1),'Calc (scoring engine)'!$K$5:$K$521,0))="N","n/m","—"),INDEX(Database!$BB$5:$BB$521,MATCH(LARGE('Calc (scoring engine)'!$K$5:$K$521,1),'Calc (scoring engine)'!$K$5:$K$521,0))),""))</f>
        <v/>
      </c>
      <c r="AX21" s="24">
        <f>IF(OR(1&gt;MAX(3,MIN(15,N($D$18))),IFERROR(LARGE('Calc (scoring engine)'!$K$5:$K$521,1),-999999)&lt;=-900000),"",IFERROR(IF(INDEX(Database!$BC$5:$BC$521,MATCH(LARGE('Calc (scoring engine)'!$K$5:$K$521,1),'Calc (scoring engine)'!$K$5:$K$521,0))="","—",INDEX(Database!$BC$5:$BC$521,MATCH(LARGE('Calc (scoring engine)'!$K$5:$K$521,1),'Calc (scoring engine)'!$K$5:$K$521,0))),""))</f>
        <v/>
      </c>
      <c r="AY21" s="24">
        <f>IF(OR(1&gt;MAX(3,MIN(15,N($D$18))),IFERROR(LARGE('Calc (scoring engine)'!$K$5:$K$521,1),-999999)&lt;=-900000),"",IFERROR(IF(INDEX(Database!$BD$5:$BD$521,MATCH(LARGE('Calc (scoring engine)'!$K$5:$K$521,1),'Calc (scoring engine)'!$K$5:$K$521,0))="","—",INDEX(Database!$BD$5:$BD$521,MATCH(LARGE('Calc (scoring engine)'!$K$5:$K$521,1),'Calc (scoring engine)'!$K$5:$K$521,0))),""))</f>
        <v/>
      </c>
      <c r="AZ21" s="24">
        <f>IF(OR(1&gt;MAX(3,MIN(15,N($D$18))),IFERROR(LARGE('Calc (scoring engine)'!$K$5:$K$521,1),-999999)&lt;=-900000),"",IFERROR(IF(INDEX(Database!$BE$5:$BE$521,MATCH(LARGE('Calc (scoring engine)'!$K$5:$K$521,1),'Calc (scoring engine)'!$K$5:$K$521,0))="","—",INDEX(Database!$BE$5:$BE$521,MATCH(LARGE('Calc (scoring engine)'!$K$5:$K$521,1),'Calc (scoring engine)'!$K$5:$K$521,0))),""))</f>
        <v/>
      </c>
      <c r="BA21" s="24">
        <f>IF(OR(1&gt;MAX(3,MIN(15,N($D$18))),IFERROR(LARGE('Calc (scoring engine)'!$K$5:$K$521,1),-999999)&lt;=-900000),"",IFERROR(IF(INDEX(Database!$BF$5:$BF$521,MATCH(LARGE('Calc (scoring engine)'!$K$5:$K$521,1),'Calc (scoring engine)'!$K$5:$K$521,0))="","—",INDEX(Database!$BF$5:$BF$521,MATCH(LARGE('Calc (scoring engine)'!$K$5:$K$521,1),'Calc (scoring engine)'!$K$5:$K$521,0))),""))</f>
        <v/>
      </c>
      <c r="BB21" s="24">
        <f>IF(OR(1&gt;MAX(3,MIN(15,N($D$18))),IFERROR(LARGE('Calc (scoring engine)'!$K$5:$K$521,1),-999999)&lt;=-900000),"",IFERROR(IFERROR(BDP(TEXT(INDEX(Database!$A$5:$A$521,MATCH(LARGE('Calc (scoring engine)'!$K$5:$K$521,1),'Calc (scoring engine)'!$K$5:$K$521,0)),"0")&amp;" HK Equity","PE_RATIO"),IF(INDEX(Database!$BD$5:$BD$521,MATCH(LARGE('Calc (scoring engine)'!$K$5:$K$521,1),'Calc (scoring engine)'!$K$5:$K$521,0))="","—",INDEX(Database!$BD$5:$BD$521,MATCH(LARGE('Calc (scoring engine)'!$K$5:$K$521,1),'Calc (scoring engine)'!$K$5:$K$521,0)))),""))</f>
        <v/>
      </c>
      <c r="BC21" s="24">
        <f>IF(OR(1&gt;MAX(3,MIN(15,N($D$18))),IFERROR(LARGE('Calc (scoring engine)'!$K$5:$K$521,1),-999999)&lt;=-900000),"",IFERROR(IFERROR(BDP(TEXT(INDEX(Database!$A$5:$A$521,MATCH(LARGE('Calc (scoring engine)'!$K$5:$K$521,1),'Calc (scoring engine)'!$K$5:$K$521,0)),"0")&amp;" HK Equity","PX_TO_SALES_RATIO"),IF(INDEX(Database!$BE$5:$BE$521,MATCH(LARGE('Calc (scoring engine)'!$K$5:$K$521,1),'Calc (scoring engine)'!$K$5:$K$521,0))="","—",INDEX(Database!$BE$5:$BE$521,MATCH(LARGE('Calc (scoring engine)'!$K$5:$K$521,1),'Calc (scoring engine)'!$K$5:$K$521,0)))),""))</f>
        <v/>
      </c>
      <c r="BD21" s="10">
        <f>IF(OR(1&gt;MAX(3,MIN(15,N($D$18))),IFERROR(LARGE('Calc (scoring engine)'!$K$5:$K$521,1),-999999)&lt;=-900000),"",IFERROR(IF(INDEX(Database!$BG$5:$BG$521,MATCH(LARGE('Calc (scoring engine)'!$K$5:$K$521,1),'Calc (scoring engine)'!$K$5:$K$521,0))="","—",INDEX(Database!$BG$5:$BG$521,MATCH(LARGE('Calc (scoring engine)'!$K$5:$K$521,1),'Calc (scoring engine)'!$K$5:$K$521,0))),""))</f>
        <v/>
      </c>
      <c r="BE21" s="10">
        <f>IF(OR(1&gt;MAX(3,MIN(15,N($D$18))),IFERROR(LARGE('Calc (scoring engine)'!$K$5:$K$521,1),-999999)&lt;=-900000),"",IFERROR(IF(INDEX(Database!$BH$5:$BH$521,MATCH(LARGE('Calc (scoring engine)'!$K$5:$K$521,1),'Calc (scoring engine)'!$K$5:$K$521,0))="","—",INDEX(Database!$BH$5:$BH$521,MATCH(LARGE('Calc (scoring engine)'!$K$5:$K$521,1),'Calc (scoring engine)'!$K$5:$K$521,0))),""))</f>
        <v/>
      </c>
      <c r="BF21" s="23">
        <f>IF(OR(1&gt;MAX(3,MIN(15,N($D$18))),IFERROR(LARGE('Calc (scoring engine)'!$K$5:$K$521,1),-999999)&lt;=-900000),"",IFERROR(IF(INDEX(Database!$BI$5:$BI$521,MATCH(LARGE('Calc (scoring engine)'!$K$5:$K$521,1),'Calc (scoring engine)'!$K$5:$K$521,0))="","—",INDEX(Database!$BI$5:$BI$521,MATCH(LARGE('Calc (scoring engine)'!$K$5:$K$521,1),'Calc (scoring engine)'!$K$5:$K$521,0))),""))</f>
        <v/>
      </c>
      <c r="BG21" s="50">
        <f>IF(OR(1&gt;MAX(3,MIN(15,N($D$18))),IFERROR(LARGE('Calc (scoring engine)'!$K$5:$K$521,1),-999999)&lt;=-900000),"",IFERROR(IF(INDEX(Database!$BJ$5:$BJ$521,MATCH(LARGE('Calc (scoring engine)'!$K$5:$K$521,1),'Calc (scoring engine)'!$K$5:$K$521,0))="","—",INDEX(Database!$BJ$5:$BJ$521,MATCH(LARGE('Calc (scoring engine)'!$K$5:$K$521,1),'Calc (scoring engine)'!$K$5:$K$521,0))),""))</f>
        <v/>
      </c>
      <c r="BH21" s="53">
        <f>IF(OR(1&gt;MAX(3,MIN(15,N($D$18))),IFERROR(LARGE('Calc (scoring engine)'!$K$5:$K$521,1),-999999)&lt;=-900000),"",IFERROR(IF(INDEX(Database!$BK$5:$BK$521,MATCH(LARGE('Calc (scoring engine)'!$K$5:$K$521,1),'Calc (scoring engine)'!$K$5:$K$521,0))="","—",INDEX(Database!$BK$5:$BK$521,MATCH(LARGE('Calc (scoring engine)'!$K$5:$K$521,1),'Calc (scoring engine)'!$K$5:$K$521,0))),""))</f>
        <v/>
      </c>
      <c r="BI21" s="19">
        <f>IF(OR(1&gt;MAX(3,MIN(15,N($D$18))),IFERROR(LARGE('Calc (scoring engine)'!$K$5:$K$521,1),-999999)&lt;=-900000),"",IFERROR(IF(INDEX(Database!$BL$5:$BL$521,MATCH(LARGE('Calc (scoring engine)'!$K$5:$K$521,1),'Calc (scoring engine)'!$K$5:$K$521,0))="","—",INDEX(Database!$BL$5:$BL$521,MATCH(LARGE('Calc (scoring engine)'!$K$5:$K$521,1),'Calc (scoring engine)'!$K$5:$K$521,0))),""))</f>
        <v/>
      </c>
      <c r="BJ21" s="24">
        <f>IF(OR(1&gt;MAX(3,MIN(15,N($D$18))),IFERROR(LARGE('Calc (scoring engine)'!$K$5:$K$521,1),-999999)&lt;=-900000),"",IFERROR(IF(INDEX(Database!$BM$5:$BM$521,MATCH(LARGE('Calc (scoring engine)'!$K$5:$K$521,1),'Calc (scoring engine)'!$K$5:$K$521,0))="","—",INDEX(Database!$BM$5:$BM$521,MATCH(LARGE('Calc (scoring engine)'!$K$5:$K$521,1),'Calc (scoring engine)'!$K$5:$K$521,0))),""))</f>
        <v/>
      </c>
      <c r="BK21" s="24">
        <f>IF(OR(1&gt;MAX(3,MIN(15,N($D$18))),IFERROR(LARGE('Calc (scoring engine)'!$K$5:$K$521,1),-999999)&lt;=-900000),"",IFERROR(IF(INDEX(Database!$BN$5:$BN$521,MATCH(LARGE('Calc (scoring engine)'!$K$5:$K$521,1),'Calc (scoring engine)'!$K$5:$K$521,0))="","—",INDEX(Database!$BN$5:$BN$521,MATCH(LARGE('Calc (scoring engine)'!$K$5:$K$521,1),'Calc (scoring engine)'!$K$5:$K$521,0))),""))</f>
        <v/>
      </c>
      <c r="BL21" s="10">
        <f>IF(OR(1&gt;MAX(3,MIN(15,N($D$18))),IFERROR(LARGE('Calc (scoring engine)'!$K$5:$K$521,1),-999999)&lt;=-900000),"",IFERROR(IF(INDEX(Database!$BO$5:$BO$521,MATCH(LARGE('Calc (scoring engine)'!$K$5:$K$521,1),'Calc (scoring engine)'!$K$5:$K$521,0))="","—",INDEX(Database!$BO$5:$BO$521,MATCH(LARGE('Calc (scoring engine)'!$K$5:$K$521,1),'Calc (scoring engine)'!$K$5:$K$521,0))),""))</f>
        <v/>
      </c>
      <c r="BM21" s="10">
        <f>IF(OR(1&gt;MAX(3,MIN(15,N($D$18))),IFERROR(LARGE('Calc (scoring engine)'!$K$5:$K$521,1),-999999)&lt;=-900000),"",IFERROR(IF(INDEX(Database!$BQ$5:$BQ$521,MATCH(LARGE('Calc (scoring engine)'!$K$5:$K$521,1),'Calc (scoring engine)'!$K$5:$K$521,0))="","—",INDEX(Database!$BQ$5:$BQ$521,MATCH(LARGE('Calc (scoring engine)'!$K$5:$K$521,1),'Calc (scoring engine)'!$K$5:$K$521,0))),""))</f>
        <v/>
      </c>
      <c r="BN21" s="54">
        <f>IF(OR(1&gt;MAX(3,MIN(15,N($D$18))),IFERROR(LARGE('Calc (scoring engine)'!$K$5:$K$521,1),-999999)&lt;=-900000),"",IFERROR(IF(INDEX('Calc (scoring engine)'!$H$5:$H$521,MATCH(LARGE('Calc (scoring engine)'!$K$5:$K$521,1),'Calc (scoring engine)'!$K$5:$K$521,0))&gt;0,INDEX('Calc (scoring engine)'!$H$5:$H$521,MATCH(LARGE('Calc (scoring engine)'!$K$5:$K$521,1),'Calc (scoring engine)'!$K$5:$K$521,0)),""),""))</f>
        <v/>
      </c>
      <c r="BO21" s="10">
        <f>IF(OR(1&gt;MAX(3,MIN(15,N($D$18))),IFERROR(LARGE('Calc (scoring engine)'!$K$5:$K$521,1),-999999)&lt;=-900000),"",IF(IFERROR(INDEX('Calc (scoring engine)'!$B$5:$B$521,MATCH(LARGE('Calc (scoring engine)'!$K$5:$K$521,1),'Calc (scoring engine)'!$K$5:$K$521,0)),0)=1,"same subsector","sector only"))</f>
        <v/>
      </c>
      <c r="BP21" s="54">
        <f>IF(OR(1&gt;MAX(3,MIN(15,N($D$18))),IFERROR(LARGE('Calc (scoring engine)'!$K$5:$K$521,1),-999999)&lt;=-900000),"",ROUND(IFERROR(LARGE('Calc (scoring engine)'!$K$5:$K$521,1),0),0))</f>
        <v/>
      </c>
      <c r="BQ21" s="10">
        <f>IF(OR(1&gt;MAX(3,MIN(15,N($D$18))),IFERROR(LARGE('Calc (scoring engine)'!$K$5:$K$521,1),-999999)&lt;=-900000),"",IFERROR("sub "&amp;INDEX('Calc (scoring engine)'!$B$5:$B$521,MATCH(LARGE('Calc (scoring engine)'!$K$5:$K$521,1),'Calc (scoring engine)'!$K$5:$K$521,0))*W_SUB&amp;" + size "&amp;ROUND(INDEX('Calc (scoring engine)'!$D$5:$D$521,MATCH(LARGE('Calc (scoring engine)'!$K$5:$K$521,1),'Calc (scoring engine)'!$K$5:$K$521,0))*W_SIZE,0)&amp;" + prof "&amp;INDEX('Calc (scoring engine)'!$E$5:$E$521,MATCH(LARGE('Calc (scoring engine)'!$K$5:$K$521,1),'Calc (scoring engine)'!$K$5:$K$521,0))*W_PROF&amp;" + recency "&amp;ROUND(INDEX('Calc (scoring engine)'!$G$5:$G$521,MATCH(LARGE('Calc (scoring engine)'!$K$5:$K$521,1),'Calc (scoring engine)'!$K$5:$K$521,0))*W_REC,0)&amp;IF(INDEX('Calc (scoring engine)'!$H$5:$H$521,MATCH(LARGE('Calc (scoring engine)'!$K$5:$K$521,1),'Calc (scoring engine)'!$K$5:$K$521,0))&gt;0," + shared CS x"&amp;INDEX('Calc (scoring engine)'!$H$5:$H$521,MATCH(LARGE('Calc (scoring engine)'!$K$5:$K$521,1),'Calc (scoring engine)'!$K$5:$K$521,0)),""),""))</f>
        <v/>
      </c>
    </row>
    <row r="22">
      <c r="A22" s="48">
        <f>IF(OR(2&gt;MAX(3,MIN(15,N($D$18))),IFERROR(LARGE('Calc (scoring engine)'!$K$5:$K$521,2),-999999)&lt;=-900000),"",2)</f>
        <v/>
      </c>
      <c r="B22" s="10">
        <f>IF(OR(2&gt;MAX(3,MIN(15,N($D$18))),IFERROR(LARGE('Calc (scoring engine)'!$K$5:$K$521,2),-999999)&lt;=-900000),"",IFERROR(IF(INDEX(Database!$B$5:$B$521,MATCH(LARGE('Calc (scoring engine)'!$K$5:$K$521,2),'Calc (scoring engine)'!$K$5:$K$521,0))="","—",INDEX(Database!$B$5:$B$521,MATCH(LARGE('Calc (scoring engine)'!$K$5:$K$521,2),'Calc (scoring engine)'!$K$5:$K$521,0))),""))</f>
        <v/>
      </c>
      <c r="C22" s="49">
        <f>IF(OR(2&gt;MAX(3,MIN(15,N($D$18))),IFERROR(LARGE('Calc (scoring engine)'!$K$5:$K$521,2),-999999)&lt;=-900000),"",IFERROR(IF(INDEX(Database!$A$5:$A$521,MATCH(LARGE('Calc (scoring engine)'!$K$5:$K$521,2),'Calc (scoring engine)'!$K$5:$K$521,0))="","—",INDEX(Database!$A$5:$A$521,MATCH(LARGE('Calc (scoring engine)'!$K$5:$K$521,2),'Calc (scoring engine)'!$K$5:$K$521,0))),""))</f>
        <v/>
      </c>
      <c r="D22" s="10">
        <f>IF(OR(2&gt;MAX(3,MIN(15,N($D$18))),IFERROR(LARGE('Calc (scoring engine)'!$K$5:$K$521,2),-999999)&lt;=-900000),"",IFERROR(IF(INDEX(Database!$D$5:$D$521,MATCH(LARGE('Calc (scoring engine)'!$K$5:$K$521,2),'Calc (scoring engine)'!$K$5:$K$521,0))="","—",INDEX(Database!$D$5:$D$521,MATCH(LARGE('Calc (scoring engine)'!$K$5:$K$521,2),'Calc (scoring engine)'!$K$5:$K$521,0))),""))</f>
        <v/>
      </c>
      <c r="E22" s="10">
        <f>IF(OR(2&gt;MAX(3,MIN(15,N($D$18))),IFERROR(LARGE('Calc (scoring engine)'!$K$5:$K$521,2),-999999)&lt;=-900000),"",IFERROR(IF(INDEX(Database!$E$5:$E$521,MATCH(LARGE('Calc (scoring engine)'!$K$5:$K$521,2),'Calc (scoring engine)'!$K$5:$K$521,0))="","—",INDEX(Database!$E$5:$E$521,MATCH(LARGE('Calc (scoring engine)'!$K$5:$K$521,2),'Calc (scoring engine)'!$K$5:$K$521,0))),""))</f>
        <v/>
      </c>
      <c r="F22" s="10">
        <f>IF(OR(2&gt;MAX(3,MIN(15,N($D$18))),IFERROR(LARGE('Calc (scoring engine)'!$K$5:$K$521,2),-999999)&lt;=-900000),"",IFERROR(IF(INDEX(Database!$F$5:$F$521,MATCH(LARGE('Calc (scoring engine)'!$K$5:$K$521,2),'Calc (scoring engine)'!$K$5:$K$521,0))="","—",INDEX(Database!$F$5:$F$521,MATCH(LARGE('Calc (scoring engine)'!$K$5:$K$521,2),'Calc (scoring engine)'!$K$5:$K$521,0))),""))</f>
        <v/>
      </c>
      <c r="G22" s="10">
        <f>IF(OR(2&gt;MAX(3,MIN(15,N($D$18))),IFERROR(LARGE('Calc (scoring engine)'!$K$5:$K$521,2),-999999)&lt;=-900000),"",IFERROR(IF(INDEX(Database!$G$5:$G$521,MATCH(LARGE('Calc (scoring engine)'!$K$5:$K$521,2),'Calc (scoring engine)'!$K$5:$K$521,0))="","—",INDEX(Database!$G$5:$G$521,MATCH(LARGE('Calc (scoring engine)'!$K$5:$K$521,2),'Calc (scoring engine)'!$K$5:$K$521,0))),""))</f>
        <v/>
      </c>
      <c r="H22" s="21">
        <f>IF(OR(2&gt;MAX(3,MIN(15,N($D$18))),IFERROR(LARGE('Calc (scoring engine)'!$K$5:$K$521,2),-999999)&lt;=-900000),"",IFERROR(IF(INDEX(Database!$H$5:$H$521,MATCH(LARGE('Calc (scoring engine)'!$K$5:$K$521,2),'Calc (scoring engine)'!$K$5:$K$521,0))="","—",INDEX(Database!$H$5:$H$521,MATCH(LARGE('Calc (scoring engine)'!$K$5:$K$521,2),'Calc (scoring engine)'!$K$5:$K$521,0))),""))</f>
        <v/>
      </c>
      <c r="I22" s="19">
        <f>IF(OR(2&gt;MAX(3,MIN(15,N($D$18))),IFERROR(LARGE('Calc (scoring engine)'!$K$5:$K$521,2),-999999)&lt;=-900000),"",IFERROR(IF(INDEX(Database!$I$5:$I$521,MATCH(LARGE('Calc (scoring engine)'!$K$5:$K$521,2),'Calc (scoring engine)'!$K$5:$K$521,0))="","—",INDEX(Database!$I$5:$I$521,MATCH(LARGE('Calc (scoring engine)'!$K$5:$K$521,2),'Calc (scoring engine)'!$K$5:$K$521,0))),""))</f>
        <v/>
      </c>
      <c r="J22" s="50">
        <f>IF(OR(2&gt;MAX(3,MIN(15,N($D$18))),IFERROR(LARGE('Calc (scoring engine)'!$K$5:$K$521,2),-999999)&lt;=-900000),"",IFERROR(IF(INDEX(Database!$K$5:$K$521,MATCH(LARGE('Calc (scoring engine)'!$K$5:$K$521,2),'Calc (scoring engine)'!$K$5:$K$521,0))="","—",INDEX(Database!$K$5:$K$521,MATCH(LARGE('Calc (scoring engine)'!$K$5:$K$521,2),'Calc (scoring engine)'!$K$5:$K$521,0))),""))</f>
        <v/>
      </c>
      <c r="K22" s="50">
        <f>IF(OR(2&gt;MAX(3,MIN(15,N($D$18))),IFERROR(LARGE('Calc (scoring engine)'!$K$5:$K$521,2),-999999)&lt;=-900000),"",IFERROR(IF(INDEX(Database!$L$5:$L$521,MATCH(LARGE('Calc (scoring engine)'!$K$5:$K$521,2),'Calc (scoring engine)'!$K$5:$K$521,0))="","—",INDEX(Database!$L$5:$L$521,MATCH(LARGE('Calc (scoring engine)'!$K$5:$K$521,2),'Calc (scoring engine)'!$K$5:$K$521,0))),""))</f>
        <v/>
      </c>
      <c r="L22" s="50">
        <f>IF(OR(2&gt;MAX(3,MIN(15,N($D$18))),IFERROR(LARGE('Calc (scoring engine)'!$K$5:$K$521,2),-999999)&lt;=-900000),"",IFERROR(IF(INDEX(Database!$M$5:$M$521,MATCH(LARGE('Calc (scoring engine)'!$K$5:$K$521,2),'Calc (scoring engine)'!$K$5:$K$521,0))="","—",INDEX(Database!$M$5:$M$521,MATCH(LARGE('Calc (scoring engine)'!$K$5:$K$521,2),'Calc (scoring engine)'!$K$5:$K$521,0))),""))</f>
        <v/>
      </c>
      <c r="M22" s="10">
        <f>IF(OR(2&gt;MAX(3,MIN(15,N($D$18))),IFERROR(LARGE('Calc (scoring engine)'!$K$5:$K$521,2),-999999)&lt;=-900000),"",IFERROR(IF(INDEX(Database!$N$5:$N$521,MATCH(LARGE('Calc (scoring engine)'!$K$5:$K$521,2),'Calc (scoring engine)'!$K$5:$K$521,0))="","—",INDEX(Database!$N$5:$N$521,MATCH(LARGE('Calc (scoring engine)'!$K$5:$K$521,2),'Calc (scoring engine)'!$K$5:$K$521,0))),""))</f>
        <v/>
      </c>
      <c r="N22" s="31">
        <f>IF(OR(2&gt;MAX(3,MIN(15,N($D$18))),IFERROR(LARGE('Calc (scoring engine)'!$K$5:$K$521,2),-999999)&lt;=-900000),"",IFERROR(IF(INDEX(Database!$O$5:$O$521,MATCH(LARGE('Calc (scoring engine)'!$K$5:$K$521,2),'Calc (scoring engine)'!$K$5:$K$521,0))="","—",INDEX(Database!$O$5:$O$521,MATCH(LARGE('Calc (scoring engine)'!$K$5:$K$521,2),'Calc (scoring engine)'!$K$5:$K$521,0))),""))</f>
        <v/>
      </c>
      <c r="O22" s="31">
        <f>IF(OR(2&gt;MAX(3,MIN(15,N($D$18))),IFERROR(LARGE('Calc (scoring engine)'!$K$5:$K$521,2),-999999)&lt;=-900000),"",IFERROR(IF(INDEX(Database!$P$5:$P$521,MATCH(LARGE('Calc (scoring engine)'!$K$5:$K$521,2),'Calc (scoring engine)'!$K$5:$K$521,0))="","—",INDEX(Database!$P$5:$P$521,MATCH(LARGE('Calc (scoring engine)'!$K$5:$K$521,2),'Calc (scoring engine)'!$K$5:$K$521,0))),""))</f>
        <v/>
      </c>
      <c r="P22" s="19">
        <f>IF(OR(2&gt;MAX(3,MIN(15,N($D$18))),IFERROR(LARGE('Calc (scoring engine)'!$K$5:$K$521,2),-999999)&lt;=-900000),"",IFERROR(IF(INDEX(Database!$Q$5:$Q$521,MATCH(LARGE('Calc (scoring engine)'!$K$5:$K$521,2),'Calc (scoring engine)'!$K$5:$K$521,0))="","—",INDEX(Database!$Q$5:$Q$521,MATCH(LARGE('Calc (scoring engine)'!$K$5:$K$521,2),'Calc (scoring engine)'!$K$5:$K$521,0))),""))</f>
        <v/>
      </c>
      <c r="Q22" s="26">
        <f>IF(OR(2&gt;MAX(3,MIN(15,N($D$18))),IFERROR(LARGE('Calc (scoring engine)'!$K$5:$K$521,2),-999999)&lt;=-900000),"",IFERROR(IF(INDEX(Database!$S$5:$S$521,MATCH(LARGE('Calc (scoring engine)'!$K$5:$K$521,2),'Calc (scoring engine)'!$K$5:$K$521,0))="","—",INDEX(Database!$S$5:$S$521,MATCH(LARGE('Calc (scoring engine)'!$K$5:$K$521,2),'Calc (scoring engine)'!$K$5:$K$521,0))),""))</f>
        <v/>
      </c>
      <c r="R22" s="51">
        <f>IF(OR(2&gt;MAX(3,MIN(15,N($D$18))),IFERROR(LARGE('Calc (scoring engine)'!$K$5:$K$521,2),-999999)&lt;=-900000),"",IFERROR(IF(INDEX(Database!$T$5:$T$521,MATCH(LARGE('Calc (scoring engine)'!$K$5:$K$521,2),'Calc (scoring engine)'!$K$5:$K$521,0))="","—",INDEX(Database!$T$5:$T$521,MATCH(LARGE('Calc (scoring engine)'!$K$5:$K$521,2),'Calc (scoring engine)'!$K$5:$K$521,0))),""))</f>
        <v/>
      </c>
      <c r="S22" s="52">
        <f>IF(OR(2&gt;MAX(3,MIN(15,N($D$18))),IFERROR(LARGE('Calc (scoring engine)'!$K$5:$K$521,2),-999999)&lt;=-900000),"",IFERROR(IF(INDEX(Database!$U$5:$U$521,MATCH(LARGE('Calc (scoring engine)'!$K$5:$K$521,2),'Calc (scoring engine)'!$K$5:$K$521,0))="","—",INDEX(Database!$U$5:$U$521,MATCH(LARGE('Calc (scoring engine)'!$K$5:$K$521,2),'Calc (scoring engine)'!$K$5:$K$521,0))),""))</f>
        <v/>
      </c>
      <c r="T22" s="19">
        <f>IF(OR(2&gt;MAX(3,MIN(15,N($D$18))),IFERROR(LARGE('Calc (scoring engine)'!$K$5:$K$521,2),-999999)&lt;=-900000),"",IFERROR(IF(INDEX(Database!$V$5:$V$521,MATCH(LARGE('Calc (scoring engine)'!$K$5:$K$521,2),'Calc (scoring engine)'!$K$5:$K$521,0))="","—",INDEX(Database!$V$5:$V$521,MATCH(LARGE('Calc (scoring engine)'!$K$5:$K$521,2),'Calc (scoring engine)'!$K$5:$K$521,0))),""))</f>
        <v/>
      </c>
      <c r="U22" s="19">
        <f>IF(OR(2&gt;MAX(3,MIN(15,N($D$18))),IFERROR(LARGE('Calc (scoring engine)'!$K$5:$K$521,2),-999999)&lt;=-900000),"",IFERROR(IF(INDEX(Database!$W$5:$W$521,MATCH(LARGE('Calc (scoring engine)'!$K$5:$K$521,2),'Calc (scoring engine)'!$K$5:$K$521,0))="","—",INDEX(Database!$W$5:$W$521,MATCH(LARGE('Calc (scoring engine)'!$K$5:$K$521,2),'Calc (scoring engine)'!$K$5:$K$521,0))),""))</f>
        <v/>
      </c>
      <c r="V22" s="31">
        <f>IF(OR(2&gt;MAX(3,MIN(15,N($D$18))),IFERROR(LARGE('Calc (scoring engine)'!$K$5:$K$521,2),-999999)&lt;=-900000),"",IFERROR(IF(INDEX(Database!$X$5:$X$521,MATCH(LARGE('Calc (scoring engine)'!$K$5:$K$521,2),'Calc (scoring engine)'!$K$5:$K$521,0))="","—",INDEX(Database!$X$5:$X$521,MATCH(LARGE('Calc (scoring engine)'!$K$5:$K$521,2),'Calc (scoring engine)'!$K$5:$K$521,0))),""))</f>
        <v/>
      </c>
      <c r="W22" s="10">
        <f>IF(OR(2&gt;MAX(3,MIN(15,N($D$18))),IFERROR(LARGE('Calc (scoring engine)'!$K$5:$K$521,2),-999999)&lt;=-900000),"",IFERROR(IF(INDEX(Database!$Y$5:$Y$521,MATCH(LARGE('Calc (scoring engine)'!$K$5:$K$521,2),'Calc (scoring engine)'!$K$5:$K$521,0))="","—",INDEX(Database!$Y$5:$Y$521,MATCH(LARGE('Calc (scoring engine)'!$K$5:$K$521,2),'Calc (scoring engine)'!$K$5:$K$521,0))),""))</f>
        <v/>
      </c>
      <c r="X22" s="31">
        <f>IF(OR(2&gt;MAX(3,MIN(15,N($D$18))),IFERROR(LARGE('Calc (scoring engine)'!$K$5:$K$521,2),-999999)&lt;=-900000),"",IFERROR(IF(INDEX(Database!$AA$5:$AA$521,MATCH(LARGE('Calc (scoring engine)'!$K$5:$K$521,2),'Calc (scoring engine)'!$K$5:$K$521,0))="","—",INDEX(Database!$AA$5:$AA$521,MATCH(LARGE('Calc (scoring engine)'!$K$5:$K$521,2),'Calc (scoring engine)'!$K$5:$K$521,0))),""))</f>
        <v/>
      </c>
      <c r="Y22" s="10">
        <f>IF(OR(2&gt;MAX(3,MIN(15,N($D$18))),IFERROR(LARGE('Calc (scoring engine)'!$K$5:$K$521,2),-999999)&lt;=-900000),"",IFERROR(IF(INDEX(Database!$AB$5:$AB$521,MATCH(LARGE('Calc (scoring engine)'!$K$5:$K$521,2),'Calc (scoring engine)'!$K$5:$K$521,0))="","—",INDEX(Database!$AB$5:$AB$521,MATCH(LARGE('Calc (scoring engine)'!$K$5:$K$521,2),'Calc (scoring engine)'!$K$5:$K$521,0))),""))</f>
        <v/>
      </c>
      <c r="Z22" s="10">
        <f>IF(OR(2&gt;MAX(3,MIN(15,N($D$18))),IFERROR(LARGE('Calc (scoring engine)'!$K$5:$K$521,2),-999999)&lt;=-900000),"",IFERROR(IF(INDEX(Database!$AC$5:$AC$521,MATCH(LARGE('Calc (scoring engine)'!$K$5:$K$521,2),'Calc (scoring engine)'!$K$5:$K$521,0))="","—",INDEX(Database!$AC$5:$AC$521,MATCH(LARGE('Calc (scoring engine)'!$K$5:$K$521,2),'Calc (scoring engine)'!$K$5:$K$521,0))),""))</f>
        <v/>
      </c>
      <c r="AA22" s="10">
        <f>IF(OR(2&gt;MAX(3,MIN(15,N($D$18))),IFERROR(LARGE('Calc (scoring engine)'!$K$5:$K$521,2),-999999)&lt;=-900000),"",IFERROR(IF(INDEX(Database!$AD$5:$AD$521,MATCH(LARGE('Calc (scoring engine)'!$K$5:$K$521,2),'Calc (scoring engine)'!$K$5:$K$521,0))="","—",INDEX(Database!$AD$5:$AD$521,MATCH(LARGE('Calc (scoring engine)'!$K$5:$K$521,2),'Calc (scoring engine)'!$K$5:$K$521,0))),""))</f>
        <v/>
      </c>
      <c r="AB22" s="10">
        <f>IF(OR(2&gt;MAX(3,MIN(15,N($D$18))),IFERROR(LARGE('Calc (scoring engine)'!$K$5:$K$521,2),-999999)&lt;=-900000),"",IFERROR(IF(INDEX(Database!$AE$5:$AE$521,MATCH(LARGE('Calc (scoring engine)'!$K$5:$K$521,2),'Calc (scoring engine)'!$K$5:$K$521,0))="","—",INDEX(Database!$AE$5:$AE$521,MATCH(LARGE('Calc (scoring engine)'!$K$5:$K$521,2),'Calc (scoring engine)'!$K$5:$K$521,0))),""))</f>
        <v/>
      </c>
      <c r="AC22" s="23">
        <f>IF(OR(2&gt;MAX(3,MIN(15,N($D$18))),IFERROR(LARGE('Calc (scoring engine)'!$K$5:$K$521,2),-999999)&lt;=-900000),"",IFERROR(IF(INDEX(Database!$AF$5:$AF$521,MATCH(LARGE('Calc (scoring engine)'!$K$5:$K$521,2),'Calc (scoring engine)'!$K$5:$K$521,0))="","—",INDEX(Database!$AF$5:$AF$521,MATCH(LARGE('Calc (scoring engine)'!$K$5:$K$521,2),'Calc (scoring engine)'!$K$5:$K$521,0))),""))</f>
        <v/>
      </c>
      <c r="AD22" s="23">
        <f>IF(OR(2&gt;MAX(3,MIN(15,N($D$18))),IFERROR(LARGE('Calc (scoring engine)'!$K$5:$K$521,2),-999999)&lt;=-900000),"",IFERROR(IF(INDEX(Database!$AG$5:$AG$521,MATCH(LARGE('Calc (scoring engine)'!$K$5:$K$521,2),'Calc (scoring engine)'!$K$5:$K$521,0))="","—",INDEX(Database!$AG$5:$AG$521,MATCH(LARGE('Calc (scoring engine)'!$K$5:$K$521,2),'Calc (scoring engine)'!$K$5:$K$521,0))),""))</f>
        <v/>
      </c>
      <c r="AE22" s="23">
        <f>IF(OR(2&gt;MAX(3,MIN(15,N($D$18))),IFERROR(LARGE('Calc (scoring engine)'!$K$5:$K$521,2),-999999)&lt;=-900000),"",IFERROR(IF(INDEX(Database!$AH$5:$AH$521,MATCH(LARGE('Calc (scoring engine)'!$K$5:$K$521,2),'Calc (scoring engine)'!$K$5:$K$521,0))="","—",INDEX(Database!$AH$5:$AH$521,MATCH(LARGE('Calc (scoring engine)'!$K$5:$K$521,2),'Calc (scoring engine)'!$K$5:$K$521,0))),""))</f>
        <v/>
      </c>
      <c r="AF22" s="23">
        <f>IF(OR(2&gt;MAX(3,MIN(15,N($D$18))),IFERROR(LARGE('Calc (scoring engine)'!$K$5:$K$521,2),-999999)&lt;=-900000),"",IFERROR(IF(INDEX(Database!$AI$5:$AI$521,MATCH(LARGE('Calc (scoring engine)'!$K$5:$K$521,2),'Calc (scoring engine)'!$K$5:$K$521,0))="","—",INDEX(Database!$AI$5:$AI$521,MATCH(LARGE('Calc (scoring engine)'!$K$5:$K$521,2),'Calc (scoring engine)'!$K$5:$K$521,0))),""))</f>
        <v/>
      </c>
      <c r="AG22" s="23">
        <f>IF(OR(2&gt;MAX(3,MIN(15,N($D$18))),IFERROR(LARGE('Calc (scoring engine)'!$K$5:$K$521,2),-999999)&lt;=-900000),"",IFERROR(IF(INDEX(Database!$AJ$5:$AJ$521,MATCH(LARGE('Calc (scoring engine)'!$K$5:$K$521,2),'Calc (scoring engine)'!$K$5:$K$521,0))="","—",INDEX(Database!$AJ$5:$AJ$521,MATCH(LARGE('Calc (scoring engine)'!$K$5:$K$521,2),'Calc (scoring engine)'!$K$5:$K$521,0))),""))</f>
        <v/>
      </c>
      <c r="AH22" s="23">
        <f>IF(OR(2&gt;MAX(3,MIN(15,N($D$18))),IFERROR(LARGE('Calc (scoring engine)'!$K$5:$K$521,2),-999999)&lt;=-900000),"",IFERROR(IF(INDEX(Database!$AK$5:$AK$521,MATCH(LARGE('Calc (scoring engine)'!$K$5:$K$521,2),'Calc (scoring engine)'!$K$5:$K$521,0))="","—",INDEX(Database!$AK$5:$AK$521,MATCH(LARGE('Calc (scoring engine)'!$K$5:$K$521,2),'Calc (scoring engine)'!$K$5:$K$521,0))),""))</f>
        <v/>
      </c>
      <c r="AI22" s="23">
        <f>IF(OR(2&gt;MAX(3,MIN(15,N($D$18))),IFERROR(LARGE('Calc (scoring engine)'!$K$5:$K$521,2),-999999)&lt;=-900000),"",IFERROR(IF(INDEX(Database!$AL$5:$AL$521,MATCH(LARGE('Calc (scoring engine)'!$K$5:$K$521,2),'Calc (scoring engine)'!$K$5:$K$521,0))="","—",INDEX(Database!$AL$5:$AL$521,MATCH(LARGE('Calc (scoring engine)'!$K$5:$K$521,2),'Calc (scoring engine)'!$K$5:$K$521,0))),""))</f>
        <v/>
      </c>
      <c r="AJ22" s="23">
        <f>IF(OR(2&gt;MAX(3,MIN(15,N($D$18))),IFERROR(LARGE('Calc (scoring engine)'!$K$5:$K$521,2),-999999)&lt;=-900000),"",IFERROR(IF(INDEX(Database!$AM$5:$AM$521,MATCH(LARGE('Calc (scoring engine)'!$K$5:$K$521,2),'Calc (scoring engine)'!$K$5:$K$521,0))="","—",INDEX(Database!$AM$5:$AM$521,MATCH(LARGE('Calc (scoring engine)'!$K$5:$K$521,2),'Calc (scoring engine)'!$K$5:$K$521,0))),""))</f>
        <v/>
      </c>
      <c r="AK22" s="23">
        <f>IF(OR(2&gt;MAX(3,MIN(15,N($D$18))),IFERROR(LARGE('Calc (scoring engine)'!$K$5:$K$521,2),-999999)&lt;=-900000),"",IFERROR(IF(INDEX(Database!$AN$5:$AN$521,MATCH(LARGE('Calc (scoring engine)'!$K$5:$K$521,2),'Calc (scoring engine)'!$K$5:$K$521,0))="","—",INDEX(Database!$AN$5:$AN$521,MATCH(LARGE('Calc (scoring engine)'!$K$5:$K$521,2),'Calc (scoring engine)'!$K$5:$K$521,0))),""))</f>
        <v/>
      </c>
      <c r="AL22" s="23">
        <f>IF(OR(2&gt;MAX(3,MIN(15,N($D$18))),IFERROR(LARGE('Calc (scoring engine)'!$K$5:$K$521,2),-999999)&lt;=-900000),"",IFERROR(IF(INDEX(Database!$AO$5:$AO$521,MATCH(LARGE('Calc (scoring engine)'!$K$5:$K$521,2),'Calc (scoring engine)'!$K$5:$K$521,0))="","—",INDEX(Database!$AO$5:$AO$521,MATCH(LARGE('Calc (scoring engine)'!$K$5:$K$521,2),'Calc (scoring engine)'!$K$5:$K$521,0))),""))</f>
        <v/>
      </c>
      <c r="AM22" s="23">
        <f>IF(OR(2&gt;MAX(3,MIN(15,N($D$18))),IFERROR(LARGE('Calc (scoring engine)'!$K$5:$K$521,2),-999999)&lt;=-900000),"",IFERROR(IF(INDEX(Database!$AP$5:$AP$521,MATCH(LARGE('Calc (scoring engine)'!$K$5:$K$521,2),'Calc (scoring engine)'!$K$5:$K$521,0))="","—",INDEX(Database!$AP$5:$AP$521,MATCH(LARGE('Calc (scoring engine)'!$K$5:$K$521,2),'Calc (scoring engine)'!$K$5:$K$521,0))),""))</f>
        <v/>
      </c>
      <c r="AN22" s="23">
        <f>IF(OR(2&gt;MAX(3,MIN(15,N($D$18))),IFERROR(LARGE('Calc (scoring engine)'!$K$5:$K$521,2),-999999)&lt;=-900000),"",IFERROR(IF(INDEX(Database!$AQ$5:$AQ$521,MATCH(LARGE('Calc (scoring engine)'!$K$5:$K$521,2),'Calc (scoring engine)'!$K$5:$K$521,0))="","—",INDEX(Database!$AQ$5:$AQ$521,MATCH(LARGE('Calc (scoring engine)'!$K$5:$K$521,2),'Calc (scoring engine)'!$K$5:$K$521,0))),""))</f>
        <v/>
      </c>
      <c r="AO22" s="23">
        <f>IF(OR(2&gt;MAX(3,MIN(15,N($D$18))),IFERROR(LARGE('Calc (scoring engine)'!$K$5:$K$521,2),-999999)&lt;=-900000),"",IFERROR(IF(INDEX(Database!$AR$5:$AR$521,MATCH(LARGE('Calc (scoring engine)'!$K$5:$K$521,2),'Calc (scoring engine)'!$K$5:$K$521,0))="","—",INDEX(Database!$AR$5:$AR$521,MATCH(LARGE('Calc (scoring engine)'!$K$5:$K$521,2),'Calc (scoring engine)'!$K$5:$K$521,0))),""))</f>
        <v/>
      </c>
      <c r="AP22" s="23">
        <f>IF(OR(2&gt;MAX(3,MIN(15,N($D$18))),IFERROR(LARGE('Calc (scoring engine)'!$K$5:$K$521,2),-999999)&lt;=-900000),"",IFERROR(IF(INDEX(Database!$AS$5:$AS$521,MATCH(LARGE('Calc (scoring engine)'!$K$5:$K$521,2),'Calc (scoring engine)'!$K$5:$K$521,0))="","—",INDEX(Database!$AS$5:$AS$521,MATCH(LARGE('Calc (scoring engine)'!$K$5:$K$521,2),'Calc (scoring engine)'!$K$5:$K$521,0))),""))</f>
        <v/>
      </c>
      <c r="AQ22" s="23">
        <f>IF(OR(2&gt;MAX(3,MIN(15,N($D$18))),IFERROR(LARGE('Calc (scoring engine)'!$K$5:$K$521,2),-999999)&lt;=-900000),"",IFERROR(IF(INDEX(Database!$AT$5:$AT$521,MATCH(LARGE('Calc (scoring engine)'!$K$5:$K$521,2),'Calc (scoring engine)'!$K$5:$K$521,0))="","—",INDEX(Database!$AT$5:$AT$521,MATCH(LARGE('Calc (scoring engine)'!$K$5:$K$521,2),'Calc (scoring engine)'!$K$5:$K$521,0))),""))</f>
        <v/>
      </c>
      <c r="AR22" s="23">
        <f>IF(OR(2&gt;MAX(3,MIN(15,N($D$18))),IFERROR(LARGE('Calc (scoring engine)'!$K$5:$K$521,2),-999999)&lt;=-900000),"",IFERROR(IF(INDEX(Database!$AU$5:$AU$521,MATCH(LARGE('Calc (scoring engine)'!$K$5:$K$521,2),'Calc (scoring engine)'!$K$5:$K$521,0))="","—",INDEX(Database!$AU$5:$AU$521,MATCH(LARGE('Calc (scoring engine)'!$K$5:$K$521,2),'Calc (scoring engine)'!$K$5:$K$521,0))),""))</f>
        <v/>
      </c>
      <c r="AS22" s="23">
        <f>IF(OR(2&gt;MAX(3,MIN(15,N($D$18))),IFERROR(LARGE('Calc (scoring engine)'!$K$5:$K$521,2),-999999)&lt;=-900000),"",IFERROR(IF(INDEX(Database!$AW$5:$AW$521,MATCH(LARGE('Calc (scoring engine)'!$K$5:$K$521,2),'Calc (scoring engine)'!$K$5:$K$521,0))="","—",INDEX(Database!$AW$5:$AW$521,MATCH(LARGE('Calc (scoring engine)'!$K$5:$K$521,2),'Calc (scoring engine)'!$K$5:$K$521,0))),""))</f>
        <v/>
      </c>
      <c r="AT22" s="19">
        <f>IF(OR(2&gt;MAX(3,MIN(15,N($D$18))),IFERROR(LARGE('Calc (scoring engine)'!$K$5:$K$521,2),-999999)&lt;=-900000),"",IFERROR(IF(INDEX(Database!$AY$5:$AY$521,MATCH(LARGE('Calc (scoring engine)'!$K$5:$K$521,2),'Calc (scoring engine)'!$K$5:$K$521,0))="","—",INDEX(Database!$AY$5:$AY$521,MATCH(LARGE('Calc (scoring engine)'!$K$5:$K$521,2),'Calc (scoring engine)'!$K$5:$K$521,0))),""))</f>
        <v/>
      </c>
      <c r="AU22" s="19">
        <f>IF(OR(2&gt;MAX(3,MIN(15,N($D$18))),IFERROR(LARGE('Calc (scoring engine)'!$K$5:$K$521,2),-999999)&lt;=-900000),"",IFERROR(IF(INDEX(Database!$AZ$5:$AZ$521,MATCH(LARGE('Calc (scoring engine)'!$K$5:$K$521,2),'Calc (scoring engine)'!$K$5:$K$521,0))="","—",INDEX(Database!$AZ$5:$AZ$521,MATCH(LARGE('Calc (scoring engine)'!$K$5:$K$521,2),'Calc (scoring engine)'!$K$5:$K$521,0))),""))</f>
        <v/>
      </c>
      <c r="AV22" s="10">
        <f>IF(OR(2&gt;MAX(3,MIN(15,N($D$18))),IFERROR(LARGE('Calc (scoring engine)'!$K$5:$K$521,2),-999999)&lt;=-900000),"",IFERROR(IF(INDEX(Database!$BA$5:$BA$521,MATCH(LARGE('Calc (scoring engine)'!$K$5:$K$521,2),'Calc (scoring engine)'!$K$5:$K$521,0))="","—",INDEX(Database!$BA$5:$BA$521,MATCH(LARGE('Calc (scoring engine)'!$K$5:$K$521,2),'Calc (scoring engine)'!$K$5:$K$521,0))),""))</f>
        <v/>
      </c>
      <c r="AW22" s="24">
        <f>IF(OR(2&gt;MAX(3,MIN(15,N($D$18))),IFERROR(LARGE('Calc (scoring engine)'!$K$5:$K$521,2),-999999)&lt;=-900000),"",IFERROR(IF(N(INDEX(Database!$BB$5:$BB$521,MATCH(LARGE('Calc (scoring engine)'!$K$5:$K$521,2),'Calc (scoring engine)'!$K$5:$K$521,0)))&lt;=0,IF(INDEX(Database!$BA$5:$BA$521,MATCH(LARGE('Calc (scoring engine)'!$K$5:$K$521,2),'Calc (scoring engine)'!$K$5:$K$521,0))="N","n/m","—"),INDEX(Database!$BB$5:$BB$521,MATCH(LARGE('Calc (scoring engine)'!$K$5:$K$521,2),'Calc (scoring engine)'!$K$5:$K$521,0))),""))</f>
        <v/>
      </c>
      <c r="AX22" s="24">
        <f>IF(OR(2&gt;MAX(3,MIN(15,N($D$18))),IFERROR(LARGE('Calc (scoring engine)'!$K$5:$K$521,2),-999999)&lt;=-900000),"",IFERROR(IF(INDEX(Database!$BC$5:$BC$521,MATCH(LARGE('Calc (scoring engine)'!$K$5:$K$521,2),'Calc (scoring engine)'!$K$5:$K$521,0))="","—",INDEX(Database!$BC$5:$BC$521,MATCH(LARGE('Calc (scoring engine)'!$K$5:$K$521,2),'Calc (scoring engine)'!$K$5:$K$521,0))),""))</f>
        <v/>
      </c>
      <c r="AY22" s="24">
        <f>IF(OR(2&gt;MAX(3,MIN(15,N($D$18))),IFERROR(LARGE('Calc (scoring engine)'!$K$5:$K$521,2),-999999)&lt;=-900000),"",IFERROR(IF(INDEX(Database!$BD$5:$BD$521,MATCH(LARGE('Calc (scoring engine)'!$K$5:$K$521,2),'Calc (scoring engine)'!$K$5:$K$521,0))="","—",INDEX(Database!$BD$5:$BD$521,MATCH(LARGE('Calc (scoring engine)'!$K$5:$K$521,2),'Calc (scoring engine)'!$K$5:$K$521,0))),""))</f>
        <v/>
      </c>
      <c r="AZ22" s="24">
        <f>IF(OR(2&gt;MAX(3,MIN(15,N($D$18))),IFERROR(LARGE('Calc (scoring engine)'!$K$5:$K$521,2),-999999)&lt;=-900000),"",IFERROR(IF(INDEX(Database!$BE$5:$BE$521,MATCH(LARGE('Calc (scoring engine)'!$K$5:$K$521,2),'Calc (scoring engine)'!$K$5:$K$521,0))="","—",INDEX(Database!$BE$5:$BE$521,MATCH(LARGE('Calc (scoring engine)'!$K$5:$K$521,2),'Calc (scoring engine)'!$K$5:$K$521,0))),""))</f>
        <v/>
      </c>
      <c r="BA22" s="24">
        <f>IF(OR(2&gt;MAX(3,MIN(15,N($D$18))),IFERROR(LARGE('Calc (scoring engine)'!$K$5:$K$521,2),-999999)&lt;=-900000),"",IFERROR(IF(INDEX(Database!$BF$5:$BF$521,MATCH(LARGE('Calc (scoring engine)'!$K$5:$K$521,2),'Calc (scoring engine)'!$K$5:$K$521,0))="","—",INDEX(Database!$BF$5:$BF$521,MATCH(LARGE('Calc (scoring engine)'!$K$5:$K$521,2),'Calc (scoring engine)'!$K$5:$K$521,0))),""))</f>
        <v/>
      </c>
      <c r="BB22" s="24">
        <f>IF(OR(2&gt;MAX(3,MIN(15,N($D$18))),IFERROR(LARGE('Calc (scoring engine)'!$K$5:$K$521,2),-999999)&lt;=-900000),"",IFERROR(IFERROR(BDP(TEXT(INDEX(Database!$A$5:$A$521,MATCH(LARGE('Calc (scoring engine)'!$K$5:$K$521,2),'Calc (scoring engine)'!$K$5:$K$521,0)),"0")&amp;" HK Equity","PE_RATIO"),IF(INDEX(Database!$BD$5:$BD$521,MATCH(LARGE('Calc (scoring engine)'!$K$5:$K$521,2),'Calc (scoring engine)'!$K$5:$K$521,0))="","—",INDEX(Database!$BD$5:$BD$521,MATCH(LARGE('Calc (scoring engine)'!$K$5:$K$521,2),'Calc (scoring engine)'!$K$5:$K$521,0)))),""))</f>
        <v/>
      </c>
      <c r="BC22" s="24">
        <f>IF(OR(2&gt;MAX(3,MIN(15,N($D$18))),IFERROR(LARGE('Calc (scoring engine)'!$K$5:$K$521,2),-999999)&lt;=-900000),"",IFERROR(IFERROR(BDP(TEXT(INDEX(Database!$A$5:$A$521,MATCH(LARGE('Calc (scoring engine)'!$K$5:$K$521,2),'Calc (scoring engine)'!$K$5:$K$521,0)),"0")&amp;" HK Equity","PX_TO_SALES_RATIO"),IF(INDEX(Database!$BE$5:$BE$521,MATCH(LARGE('Calc (scoring engine)'!$K$5:$K$521,2),'Calc (scoring engine)'!$K$5:$K$521,0))="","—",INDEX(Database!$BE$5:$BE$521,MATCH(LARGE('Calc (scoring engine)'!$K$5:$K$521,2),'Calc (scoring engine)'!$K$5:$K$521,0)))),""))</f>
        <v/>
      </c>
      <c r="BD22" s="10">
        <f>IF(OR(2&gt;MAX(3,MIN(15,N($D$18))),IFERROR(LARGE('Calc (scoring engine)'!$K$5:$K$521,2),-999999)&lt;=-900000),"",IFERROR(IF(INDEX(Database!$BG$5:$BG$521,MATCH(LARGE('Calc (scoring engine)'!$K$5:$K$521,2),'Calc (scoring engine)'!$K$5:$K$521,0))="","—",INDEX(Database!$BG$5:$BG$521,MATCH(LARGE('Calc (scoring engine)'!$K$5:$K$521,2),'Calc (scoring engine)'!$K$5:$K$521,0))),""))</f>
        <v/>
      </c>
      <c r="BE22" s="10">
        <f>IF(OR(2&gt;MAX(3,MIN(15,N($D$18))),IFERROR(LARGE('Calc (scoring engine)'!$K$5:$K$521,2),-999999)&lt;=-900000),"",IFERROR(IF(INDEX(Database!$BH$5:$BH$521,MATCH(LARGE('Calc (scoring engine)'!$K$5:$K$521,2),'Calc (scoring engine)'!$K$5:$K$521,0))="","—",INDEX(Database!$BH$5:$BH$521,MATCH(LARGE('Calc (scoring engine)'!$K$5:$K$521,2),'Calc (scoring engine)'!$K$5:$K$521,0))),""))</f>
        <v/>
      </c>
      <c r="BF22" s="23">
        <f>IF(OR(2&gt;MAX(3,MIN(15,N($D$18))),IFERROR(LARGE('Calc (scoring engine)'!$K$5:$K$521,2),-999999)&lt;=-900000),"",IFERROR(IF(INDEX(Database!$BI$5:$BI$521,MATCH(LARGE('Calc (scoring engine)'!$K$5:$K$521,2),'Calc (scoring engine)'!$K$5:$K$521,0))="","—",INDEX(Database!$BI$5:$BI$521,MATCH(LARGE('Calc (scoring engine)'!$K$5:$K$521,2),'Calc (scoring engine)'!$K$5:$K$521,0))),""))</f>
        <v/>
      </c>
      <c r="BG22" s="50">
        <f>IF(OR(2&gt;MAX(3,MIN(15,N($D$18))),IFERROR(LARGE('Calc (scoring engine)'!$K$5:$K$521,2),-999999)&lt;=-900000),"",IFERROR(IF(INDEX(Database!$BJ$5:$BJ$521,MATCH(LARGE('Calc (scoring engine)'!$K$5:$K$521,2),'Calc (scoring engine)'!$K$5:$K$521,0))="","—",INDEX(Database!$BJ$5:$BJ$521,MATCH(LARGE('Calc (scoring engine)'!$K$5:$K$521,2),'Calc (scoring engine)'!$K$5:$K$521,0))),""))</f>
        <v/>
      </c>
      <c r="BH22" s="53">
        <f>IF(OR(2&gt;MAX(3,MIN(15,N($D$18))),IFERROR(LARGE('Calc (scoring engine)'!$K$5:$K$521,2),-999999)&lt;=-900000),"",IFERROR(IF(INDEX(Database!$BK$5:$BK$521,MATCH(LARGE('Calc (scoring engine)'!$K$5:$K$521,2),'Calc (scoring engine)'!$K$5:$K$521,0))="","—",INDEX(Database!$BK$5:$BK$521,MATCH(LARGE('Calc (scoring engine)'!$K$5:$K$521,2),'Calc (scoring engine)'!$K$5:$K$521,0))),""))</f>
        <v/>
      </c>
      <c r="BI22" s="19">
        <f>IF(OR(2&gt;MAX(3,MIN(15,N($D$18))),IFERROR(LARGE('Calc (scoring engine)'!$K$5:$K$521,2),-999999)&lt;=-900000),"",IFERROR(IF(INDEX(Database!$BL$5:$BL$521,MATCH(LARGE('Calc (scoring engine)'!$K$5:$K$521,2),'Calc (scoring engine)'!$K$5:$K$521,0))="","—",INDEX(Database!$BL$5:$BL$521,MATCH(LARGE('Calc (scoring engine)'!$K$5:$K$521,2),'Calc (scoring engine)'!$K$5:$K$521,0))),""))</f>
        <v/>
      </c>
      <c r="BJ22" s="24">
        <f>IF(OR(2&gt;MAX(3,MIN(15,N($D$18))),IFERROR(LARGE('Calc (scoring engine)'!$K$5:$K$521,2),-999999)&lt;=-900000),"",IFERROR(IF(INDEX(Database!$BM$5:$BM$521,MATCH(LARGE('Calc (scoring engine)'!$K$5:$K$521,2),'Calc (scoring engine)'!$K$5:$K$521,0))="","—",INDEX(Database!$BM$5:$BM$521,MATCH(LARGE('Calc (scoring engine)'!$K$5:$K$521,2),'Calc (scoring engine)'!$K$5:$K$521,0))),""))</f>
        <v/>
      </c>
      <c r="BK22" s="24">
        <f>IF(OR(2&gt;MAX(3,MIN(15,N($D$18))),IFERROR(LARGE('Calc (scoring engine)'!$K$5:$K$521,2),-999999)&lt;=-900000),"",IFERROR(IF(INDEX(Database!$BN$5:$BN$521,MATCH(LARGE('Calc (scoring engine)'!$K$5:$K$521,2),'Calc (scoring engine)'!$K$5:$K$521,0))="","—",INDEX(Database!$BN$5:$BN$521,MATCH(LARGE('Calc (scoring engine)'!$K$5:$K$521,2),'Calc (scoring engine)'!$K$5:$K$521,0))),""))</f>
        <v/>
      </c>
      <c r="BL22" s="10">
        <f>IF(OR(2&gt;MAX(3,MIN(15,N($D$18))),IFERROR(LARGE('Calc (scoring engine)'!$K$5:$K$521,2),-999999)&lt;=-900000),"",IFERROR(IF(INDEX(Database!$BO$5:$BO$521,MATCH(LARGE('Calc (scoring engine)'!$K$5:$K$521,2),'Calc (scoring engine)'!$K$5:$K$521,0))="","—",INDEX(Database!$BO$5:$BO$521,MATCH(LARGE('Calc (scoring engine)'!$K$5:$K$521,2),'Calc (scoring engine)'!$K$5:$K$521,0))),""))</f>
        <v/>
      </c>
      <c r="BM22" s="10">
        <f>IF(OR(2&gt;MAX(3,MIN(15,N($D$18))),IFERROR(LARGE('Calc (scoring engine)'!$K$5:$K$521,2),-999999)&lt;=-900000),"",IFERROR(IF(INDEX(Database!$BQ$5:$BQ$521,MATCH(LARGE('Calc (scoring engine)'!$K$5:$K$521,2),'Calc (scoring engine)'!$K$5:$K$521,0))="","—",INDEX(Database!$BQ$5:$BQ$521,MATCH(LARGE('Calc (scoring engine)'!$K$5:$K$521,2),'Calc (scoring engine)'!$K$5:$K$521,0))),""))</f>
        <v/>
      </c>
      <c r="BN22" s="54">
        <f>IF(OR(2&gt;MAX(3,MIN(15,N($D$18))),IFERROR(LARGE('Calc (scoring engine)'!$K$5:$K$521,2),-999999)&lt;=-900000),"",IFERROR(IF(INDEX('Calc (scoring engine)'!$H$5:$H$521,MATCH(LARGE('Calc (scoring engine)'!$K$5:$K$521,2),'Calc (scoring engine)'!$K$5:$K$521,0))&gt;0,INDEX('Calc (scoring engine)'!$H$5:$H$521,MATCH(LARGE('Calc (scoring engine)'!$K$5:$K$521,2),'Calc (scoring engine)'!$K$5:$K$521,0)),""),""))</f>
        <v/>
      </c>
      <c r="BO22" s="10">
        <f>IF(OR(2&gt;MAX(3,MIN(15,N($D$18))),IFERROR(LARGE('Calc (scoring engine)'!$K$5:$K$521,2),-999999)&lt;=-900000),"",IF(IFERROR(INDEX('Calc (scoring engine)'!$B$5:$B$521,MATCH(LARGE('Calc (scoring engine)'!$K$5:$K$521,2),'Calc (scoring engine)'!$K$5:$K$521,0)),0)=1,"same subsector","sector only"))</f>
        <v/>
      </c>
      <c r="BP22" s="54">
        <f>IF(OR(2&gt;MAX(3,MIN(15,N($D$18))),IFERROR(LARGE('Calc (scoring engine)'!$K$5:$K$521,2),-999999)&lt;=-900000),"",ROUND(IFERROR(LARGE('Calc (scoring engine)'!$K$5:$K$521,2),0),0))</f>
        <v/>
      </c>
      <c r="BQ22" s="10">
        <f>IF(OR(2&gt;MAX(3,MIN(15,N($D$18))),IFERROR(LARGE('Calc (scoring engine)'!$K$5:$K$521,2),-999999)&lt;=-900000),"",IFERROR("sub "&amp;INDEX('Calc (scoring engine)'!$B$5:$B$521,MATCH(LARGE('Calc (scoring engine)'!$K$5:$K$521,2),'Calc (scoring engine)'!$K$5:$K$521,0))*W_SUB&amp;" + size "&amp;ROUND(INDEX('Calc (scoring engine)'!$D$5:$D$521,MATCH(LARGE('Calc (scoring engine)'!$K$5:$K$521,2),'Calc (scoring engine)'!$K$5:$K$521,0))*W_SIZE,0)&amp;" + prof "&amp;INDEX('Calc (scoring engine)'!$E$5:$E$521,MATCH(LARGE('Calc (scoring engine)'!$K$5:$K$521,2),'Calc (scoring engine)'!$K$5:$K$521,0))*W_PROF&amp;" + recency "&amp;ROUND(INDEX('Calc (scoring engine)'!$G$5:$G$521,MATCH(LARGE('Calc (scoring engine)'!$K$5:$K$521,2),'Calc (scoring engine)'!$K$5:$K$521,0))*W_REC,0)&amp;IF(INDEX('Calc (scoring engine)'!$H$5:$H$521,MATCH(LARGE('Calc (scoring engine)'!$K$5:$K$521,2),'Calc (scoring engine)'!$K$5:$K$521,0))&gt;0," + shared CS x"&amp;INDEX('Calc (scoring engine)'!$H$5:$H$521,MATCH(LARGE('Calc (scoring engine)'!$K$5:$K$521,2),'Calc (scoring engine)'!$K$5:$K$521,0)),""),""))</f>
        <v/>
      </c>
    </row>
    <row r="23">
      <c r="A23" s="48">
        <f>IF(OR(3&gt;MAX(3,MIN(15,N($D$18))),IFERROR(LARGE('Calc (scoring engine)'!$K$5:$K$521,3),-999999)&lt;=-900000),"",3)</f>
        <v/>
      </c>
      <c r="B23" s="10">
        <f>IF(OR(3&gt;MAX(3,MIN(15,N($D$18))),IFERROR(LARGE('Calc (scoring engine)'!$K$5:$K$521,3),-999999)&lt;=-900000),"",IFERROR(IF(INDEX(Database!$B$5:$B$521,MATCH(LARGE('Calc (scoring engine)'!$K$5:$K$521,3),'Calc (scoring engine)'!$K$5:$K$521,0))="","—",INDEX(Database!$B$5:$B$521,MATCH(LARGE('Calc (scoring engine)'!$K$5:$K$521,3),'Calc (scoring engine)'!$K$5:$K$521,0))),""))</f>
        <v/>
      </c>
      <c r="C23" s="49">
        <f>IF(OR(3&gt;MAX(3,MIN(15,N($D$18))),IFERROR(LARGE('Calc (scoring engine)'!$K$5:$K$521,3),-999999)&lt;=-900000),"",IFERROR(IF(INDEX(Database!$A$5:$A$521,MATCH(LARGE('Calc (scoring engine)'!$K$5:$K$521,3),'Calc (scoring engine)'!$K$5:$K$521,0))="","—",INDEX(Database!$A$5:$A$521,MATCH(LARGE('Calc (scoring engine)'!$K$5:$K$521,3),'Calc (scoring engine)'!$K$5:$K$521,0))),""))</f>
        <v/>
      </c>
      <c r="D23" s="10">
        <f>IF(OR(3&gt;MAX(3,MIN(15,N($D$18))),IFERROR(LARGE('Calc (scoring engine)'!$K$5:$K$521,3),-999999)&lt;=-900000),"",IFERROR(IF(INDEX(Database!$D$5:$D$521,MATCH(LARGE('Calc (scoring engine)'!$K$5:$K$521,3),'Calc (scoring engine)'!$K$5:$K$521,0))="","—",INDEX(Database!$D$5:$D$521,MATCH(LARGE('Calc (scoring engine)'!$K$5:$K$521,3),'Calc (scoring engine)'!$K$5:$K$521,0))),""))</f>
        <v/>
      </c>
      <c r="E23" s="10">
        <f>IF(OR(3&gt;MAX(3,MIN(15,N($D$18))),IFERROR(LARGE('Calc (scoring engine)'!$K$5:$K$521,3),-999999)&lt;=-900000),"",IFERROR(IF(INDEX(Database!$E$5:$E$521,MATCH(LARGE('Calc (scoring engine)'!$K$5:$K$521,3),'Calc (scoring engine)'!$K$5:$K$521,0))="","—",INDEX(Database!$E$5:$E$521,MATCH(LARGE('Calc (scoring engine)'!$K$5:$K$521,3),'Calc (scoring engine)'!$K$5:$K$521,0))),""))</f>
        <v/>
      </c>
      <c r="F23" s="10">
        <f>IF(OR(3&gt;MAX(3,MIN(15,N($D$18))),IFERROR(LARGE('Calc (scoring engine)'!$K$5:$K$521,3),-999999)&lt;=-900000),"",IFERROR(IF(INDEX(Database!$F$5:$F$521,MATCH(LARGE('Calc (scoring engine)'!$K$5:$K$521,3),'Calc (scoring engine)'!$K$5:$K$521,0))="","—",INDEX(Database!$F$5:$F$521,MATCH(LARGE('Calc (scoring engine)'!$K$5:$K$521,3),'Calc (scoring engine)'!$K$5:$K$521,0))),""))</f>
        <v/>
      </c>
      <c r="G23" s="10">
        <f>IF(OR(3&gt;MAX(3,MIN(15,N($D$18))),IFERROR(LARGE('Calc (scoring engine)'!$K$5:$K$521,3),-999999)&lt;=-900000),"",IFERROR(IF(INDEX(Database!$G$5:$G$521,MATCH(LARGE('Calc (scoring engine)'!$K$5:$K$521,3),'Calc (scoring engine)'!$K$5:$K$521,0))="","—",INDEX(Database!$G$5:$G$521,MATCH(LARGE('Calc (scoring engine)'!$K$5:$K$521,3),'Calc (scoring engine)'!$K$5:$K$521,0))),""))</f>
        <v/>
      </c>
      <c r="H23" s="21">
        <f>IF(OR(3&gt;MAX(3,MIN(15,N($D$18))),IFERROR(LARGE('Calc (scoring engine)'!$K$5:$K$521,3),-999999)&lt;=-900000),"",IFERROR(IF(INDEX(Database!$H$5:$H$521,MATCH(LARGE('Calc (scoring engine)'!$K$5:$K$521,3),'Calc (scoring engine)'!$K$5:$K$521,0))="","—",INDEX(Database!$H$5:$H$521,MATCH(LARGE('Calc (scoring engine)'!$K$5:$K$521,3),'Calc (scoring engine)'!$K$5:$K$521,0))),""))</f>
        <v/>
      </c>
      <c r="I23" s="19">
        <f>IF(OR(3&gt;MAX(3,MIN(15,N($D$18))),IFERROR(LARGE('Calc (scoring engine)'!$K$5:$K$521,3),-999999)&lt;=-900000),"",IFERROR(IF(INDEX(Database!$I$5:$I$521,MATCH(LARGE('Calc (scoring engine)'!$K$5:$K$521,3),'Calc (scoring engine)'!$K$5:$K$521,0))="","—",INDEX(Database!$I$5:$I$521,MATCH(LARGE('Calc (scoring engine)'!$K$5:$K$521,3),'Calc (scoring engine)'!$K$5:$K$521,0))),""))</f>
        <v/>
      </c>
      <c r="J23" s="50">
        <f>IF(OR(3&gt;MAX(3,MIN(15,N($D$18))),IFERROR(LARGE('Calc (scoring engine)'!$K$5:$K$521,3),-999999)&lt;=-900000),"",IFERROR(IF(INDEX(Database!$K$5:$K$521,MATCH(LARGE('Calc (scoring engine)'!$K$5:$K$521,3),'Calc (scoring engine)'!$K$5:$K$521,0))="","—",INDEX(Database!$K$5:$K$521,MATCH(LARGE('Calc (scoring engine)'!$K$5:$K$521,3),'Calc (scoring engine)'!$K$5:$K$521,0))),""))</f>
        <v/>
      </c>
      <c r="K23" s="50">
        <f>IF(OR(3&gt;MAX(3,MIN(15,N($D$18))),IFERROR(LARGE('Calc (scoring engine)'!$K$5:$K$521,3),-999999)&lt;=-900000),"",IFERROR(IF(INDEX(Database!$L$5:$L$521,MATCH(LARGE('Calc (scoring engine)'!$K$5:$K$521,3),'Calc (scoring engine)'!$K$5:$K$521,0))="","—",INDEX(Database!$L$5:$L$521,MATCH(LARGE('Calc (scoring engine)'!$K$5:$K$521,3),'Calc (scoring engine)'!$K$5:$K$521,0))),""))</f>
        <v/>
      </c>
      <c r="L23" s="50">
        <f>IF(OR(3&gt;MAX(3,MIN(15,N($D$18))),IFERROR(LARGE('Calc (scoring engine)'!$K$5:$K$521,3),-999999)&lt;=-900000),"",IFERROR(IF(INDEX(Database!$M$5:$M$521,MATCH(LARGE('Calc (scoring engine)'!$K$5:$K$521,3),'Calc (scoring engine)'!$K$5:$K$521,0))="","—",INDEX(Database!$M$5:$M$521,MATCH(LARGE('Calc (scoring engine)'!$K$5:$K$521,3),'Calc (scoring engine)'!$K$5:$K$521,0))),""))</f>
        <v/>
      </c>
      <c r="M23" s="10">
        <f>IF(OR(3&gt;MAX(3,MIN(15,N($D$18))),IFERROR(LARGE('Calc (scoring engine)'!$K$5:$K$521,3),-999999)&lt;=-900000),"",IFERROR(IF(INDEX(Database!$N$5:$N$521,MATCH(LARGE('Calc (scoring engine)'!$K$5:$K$521,3),'Calc (scoring engine)'!$K$5:$K$521,0))="","—",INDEX(Database!$N$5:$N$521,MATCH(LARGE('Calc (scoring engine)'!$K$5:$K$521,3),'Calc (scoring engine)'!$K$5:$K$521,0))),""))</f>
        <v/>
      </c>
      <c r="N23" s="31">
        <f>IF(OR(3&gt;MAX(3,MIN(15,N($D$18))),IFERROR(LARGE('Calc (scoring engine)'!$K$5:$K$521,3),-999999)&lt;=-900000),"",IFERROR(IF(INDEX(Database!$O$5:$O$521,MATCH(LARGE('Calc (scoring engine)'!$K$5:$K$521,3),'Calc (scoring engine)'!$K$5:$K$521,0))="","—",INDEX(Database!$O$5:$O$521,MATCH(LARGE('Calc (scoring engine)'!$K$5:$K$521,3),'Calc (scoring engine)'!$K$5:$K$521,0))),""))</f>
        <v/>
      </c>
      <c r="O23" s="31">
        <f>IF(OR(3&gt;MAX(3,MIN(15,N($D$18))),IFERROR(LARGE('Calc (scoring engine)'!$K$5:$K$521,3),-999999)&lt;=-900000),"",IFERROR(IF(INDEX(Database!$P$5:$P$521,MATCH(LARGE('Calc (scoring engine)'!$K$5:$K$521,3),'Calc (scoring engine)'!$K$5:$K$521,0))="","—",INDEX(Database!$P$5:$P$521,MATCH(LARGE('Calc (scoring engine)'!$K$5:$K$521,3),'Calc (scoring engine)'!$K$5:$K$521,0))),""))</f>
        <v/>
      </c>
      <c r="P23" s="19">
        <f>IF(OR(3&gt;MAX(3,MIN(15,N($D$18))),IFERROR(LARGE('Calc (scoring engine)'!$K$5:$K$521,3),-999999)&lt;=-900000),"",IFERROR(IF(INDEX(Database!$Q$5:$Q$521,MATCH(LARGE('Calc (scoring engine)'!$K$5:$K$521,3),'Calc (scoring engine)'!$K$5:$K$521,0))="","—",INDEX(Database!$Q$5:$Q$521,MATCH(LARGE('Calc (scoring engine)'!$K$5:$K$521,3),'Calc (scoring engine)'!$K$5:$K$521,0))),""))</f>
        <v/>
      </c>
      <c r="Q23" s="26">
        <f>IF(OR(3&gt;MAX(3,MIN(15,N($D$18))),IFERROR(LARGE('Calc (scoring engine)'!$K$5:$K$521,3),-999999)&lt;=-900000),"",IFERROR(IF(INDEX(Database!$S$5:$S$521,MATCH(LARGE('Calc (scoring engine)'!$K$5:$K$521,3),'Calc (scoring engine)'!$K$5:$K$521,0))="","—",INDEX(Database!$S$5:$S$521,MATCH(LARGE('Calc (scoring engine)'!$K$5:$K$521,3),'Calc (scoring engine)'!$K$5:$K$521,0))),""))</f>
        <v/>
      </c>
      <c r="R23" s="51">
        <f>IF(OR(3&gt;MAX(3,MIN(15,N($D$18))),IFERROR(LARGE('Calc (scoring engine)'!$K$5:$K$521,3),-999999)&lt;=-900000),"",IFERROR(IF(INDEX(Database!$T$5:$T$521,MATCH(LARGE('Calc (scoring engine)'!$K$5:$K$521,3),'Calc (scoring engine)'!$K$5:$K$521,0))="","—",INDEX(Database!$T$5:$T$521,MATCH(LARGE('Calc (scoring engine)'!$K$5:$K$521,3),'Calc (scoring engine)'!$K$5:$K$521,0))),""))</f>
        <v/>
      </c>
      <c r="S23" s="52">
        <f>IF(OR(3&gt;MAX(3,MIN(15,N($D$18))),IFERROR(LARGE('Calc (scoring engine)'!$K$5:$K$521,3),-999999)&lt;=-900000),"",IFERROR(IF(INDEX(Database!$U$5:$U$521,MATCH(LARGE('Calc (scoring engine)'!$K$5:$K$521,3),'Calc (scoring engine)'!$K$5:$K$521,0))="","—",INDEX(Database!$U$5:$U$521,MATCH(LARGE('Calc (scoring engine)'!$K$5:$K$521,3),'Calc (scoring engine)'!$K$5:$K$521,0))),""))</f>
        <v/>
      </c>
      <c r="T23" s="19">
        <f>IF(OR(3&gt;MAX(3,MIN(15,N($D$18))),IFERROR(LARGE('Calc (scoring engine)'!$K$5:$K$521,3),-999999)&lt;=-900000),"",IFERROR(IF(INDEX(Database!$V$5:$V$521,MATCH(LARGE('Calc (scoring engine)'!$K$5:$K$521,3),'Calc (scoring engine)'!$K$5:$K$521,0))="","—",INDEX(Database!$V$5:$V$521,MATCH(LARGE('Calc (scoring engine)'!$K$5:$K$521,3),'Calc (scoring engine)'!$K$5:$K$521,0))),""))</f>
        <v/>
      </c>
      <c r="U23" s="19">
        <f>IF(OR(3&gt;MAX(3,MIN(15,N($D$18))),IFERROR(LARGE('Calc (scoring engine)'!$K$5:$K$521,3),-999999)&lt;=-900000),"",IFERROR(IF(INDEX(Database!$W$5:$W$521,MATCH(LARGE('Calc (scoring engine)'!$K$5:$K$521,3),'Calc (scoring engine)'!$K$5:$K$521,0))="","—",INDEX(Database!$W$5:$W$521,MATCH(LARGE('Calc (scoring engine)'!$K$5:$K$521,3),'Calc (scoring engine)'!$K$5:$K$521,0))),""))</f>
        <v/>
      </c>
      <c r="V23" s="31">
        <f>IF(OR(3&gt;MAX(3,MIN(15,N($D$18))),IFERROR(LARGE('Calc (scoring engine)'!$K$5:$K$521,3),-999999)&lt;=-900000),"",IFERROR(IF(INDEX(Database!$X$5:$X$521,MATCH(LARGE('Calc (scoring engine)'!$K$5:$K$521,3),'Calc (scoring engine)'!$K$5:$K$521,0))="","—",INDEX(Database!$X$5:$X$521,MATCH(LARGE('Calc (scoring engine)'!$K$5:$K$521,3),'Calc (scoring engine)'!$K$5:$K$521,0))),""))</f>
        <v/>
      </c>
      <c r="W23" s="10">
        <f>IF(OR(3&gt;MAX(3,MIN(15,N($D$18))),IFERROR(LARGE('Calc (scoring engine)'!$K$5:$K$521,3),-999999)&lt;=-900000),"",IFERROR(IF(INDEX(Database!$Y$5:$Y$521,MATCH(LARGE('Calc (scoring engine)'!$K$5:$K$521,3),'Calc (scoring engine)'!$K$5:$K$521,0))="","—",INDEX(Database!$Y$5:$Y$521,MATCH(LARGE('Calc (scoring engine)'!$K$5:$K$521,3),'Calc (scoring engine)'!$K$5:$K$521,0))),""))</f>
        <v/>
      </c>
      <c r="X23" s="31">
        <f>IF(OR(3&gt;MAX(3,MIN(15,N($D$18))),IFERROR(LARGE('Calc (scoring engine)'!$K$5:$K$521,3),-999999)&lt;=-900000),"",IFERROR(IF(INDEX(Database!$AA$5:$AA$521,MATCH(LARGE('Calc (scoring engine)'!$K$5:$K$521,3),'Calc (scoring engine)'!$K$5:$K$521,0))="","—",INDEX(Database!$AA$5:$AA$521,MATCH(LARGE('Calc (scoring engine)'!$K$5:$K$521,3),'Calc (scoring engine)'!$K$5:$K$521,0))),""))</f>
        <v/>
      </c>
      <c r="Y23" s="10">
        <f>IF(OR(3&gt;MAX(3,MIN(15,N($D$18))),IFERROR(LARGE('Calc (scoring engine)'!$K$5:$K$521,3),-999999)&lt;=-900000),"",IFERROR(IF(INDEX(Database!$AB$5:$AB$521,MATCH(LARGE('Calc (scoring engine)'!$K$5:$K$521,3),'Calc (scoring engine)'!$K$5:$K$521,0))="","—",INDEX(Database!$AB$5:$AB$521,MATCH(LARGE('Calc (scoring engine)'!$K$5:$K$521,3),'Calc (scoring engine)'!$K$5:$K$521,0))),""))</f>
        <v/>
      </c>
      <c r="Z23" s="10">
        <f>IF(OR(3&gt;MAX(3,MIN(15,N($D$18))),IFERROR(LARGE('Calc (scoring engine)'!$K$5:$K$521,3),-999999)&lt;=-900000),"",IFERROR(IF(INDEX(Database!$AC$5:$AC$521,MATCH(LARGE('Calc (scoring engine)'!$K$5:$K$521,3),'Calc (scoring engine)'!$K$5:$K$521,0))="","—",INDEX(Database!$AC$5:$AC$521,MATCH(LARGE('Calc (scoring engine)'!$K$5:$K$521,3),'Calc (scoring engine)'!$K$5:$K$521,0))),""))</f>
        <v/>
      </c>
      <c r="AA23" s="10">
        <f>IF(OR(3&gt;MAX(3,MIN(15,N($D$18))),IFERROR(LARGE('Calc (scoring engine)'!$K$5:$K$521,3),-999999)&lt;=-900000),"",IFERROR(IF(INDEX(Database!$AD$5:$AD$521,MATCH(LARGE('Calc (scoring engine)'!$K$5:$K$521,3),'Calc (scoring engine)'!$K$5:$K$521,0))="","—",INDEX(Database!$AD$5:$AD$521,MATCH(LARGE('Calc (scoring engine)'!$K$5:$K$521,3),'Calc (scoring engine)'!$K$5:$K$521,0))),""))</f>
        <v/>
      </c>
      <c r="AB23" s="10">
        <f>IF(OR(3&gt;MAX(3,MIN(15,N($D$18))),IFERROR(LARGE('Calc (scoring engine)'!$K$5:$K$521,3),-999999)&lt;=-900000),"",IFERROR(IF(INDEX(Database!$AE$5:$AE$521,MATCH(LARGE('Calc (scoring engine)'!$K$5:$K$521,3),'Calc (scoring engine)'!$K$5:$K$521,0))="","—",INDEX(Database!$AE$5:$AE$521,MATCH(LARGE('Calc (scoring engine)'!$K$5:$K$521,3),'Calc (scoring engine)'!$K$5:$K$521,0))),""))</f>
        <v/>
      </c>
      <c r="AC23" s="23">
        <f>IF(OR(3&gt;MAX(3,MIN(15,N($D$18))),IFERROR(LARGE('Calc (scoring engine)'!$K$5:$K$521,3),-999999)&lt;=-900000),"",IFERROR(IF(INDEX(Database!$AF$5:$AF$521,MATCH(LARGE('Calc (scoring engine)'!$K$5:$K$521,3),'Calc (scoring engine)'!$K$5:$K$521,0))="","—",INDEX(Database!$AF$5:$AF$521,MATCH(LARGE('Calc (scoring engine)'!$K$5:$K$521,3),'Calc (scoring engine)'!$K$5:$K$521,0))),""))</f>
        <v/>
      </c>
      <c r="AD23" s="23">
        <f>IF(OR(3&gt;MAX(3,MIN(15,N($D$18))),IFERROR(LARGE('Calc (scoring engine)'!$K$5:$K$521,3),-999999)&lt;=-900000),"",IFERROR(IF(INDEX(Database!$AG$5:$AG$521,MATCH(LARGE('Calc (scoring engine)'!$K$5:$K$521,3),'Calc (scoring engine)'!$K$5:$K$521,0))="","—",INDEX(Database!$AG$5:$AG$521,MATCH(LARGE('Calc (scoring engine)'!$K$5:$K$521,3),'Calc (scoring engine)'!$K$5:$K$521,0))),""))</f>
        <v/>
      </c>
      <c r="AE23" s="23">
        <f>IF(OR(3&gt;MAX(3,MIN(15,N($D$18))),IFERROR(LARGE('Calc (scoring engine)'!$K$5:$K$521,3),-999999)&lt;=-900000),"",IFERROR(IF(INDEX(Database!$AH$5:$AH$521,MATCH(LARGE('Calc (scoring engine)'!$K$5:$K$521,3),'Calc (scoring engine)'!$K$5:$K$521,0))="","—",INDEX(Database!$AH$5:$AH$521,MATCH(LARGE('Calc (scoring engine)'!$K$5:$K$521,3),'Calc (scoring engine)'!$K$5:$K$521,0))),""))</f>
        <v/>
      </c>
      <c r="AF23" s="23">
        <f>IF(OR(3&gt;MAX(3,MIN(15,N($D$18))),IFERROR(LARGE('Calc (scoring engine)'!$K$5:$K$521,3),-999999)&lt;=-900000),"",IFERROR(IF(INDEX(Database!$AI$5:$AI$521,MATCH(LARGE('Calc (scoring engine)'!$K$5:$K$521,3),'Calc (scoring engine)'!$K$5:$K$521,0))="","—",INDEX(Database!$AI$5:$AI$521,MATCH(LARGE('Calc (scoring engine)'!$K$5:$K$521,3),'Calc (scoring engine)'!$K$5:$K$521,0))),""))</f>
        <v/>
      </c>
      <c r="AG23" s="23">
        <f>IF(OR(3&gt;MAX(3,MIN(15,N($D$18))),IFERROR(LARGE('Calc (scoring engine)'!$K$5:$K$521,3),-999999)&lt;=-900000),"",IFERROR(IF(INDEX(Database!$AJ$5:$AJ$521,MATCH(LARGE('Calc (scoring engine)'!$K$5:$K$521,3),'Calc (scoring engine)'!$K$5:$K$521,0))="","—",INDEX(Database!$AJ$5:$AJ$521,MATCH(LARGE('Calc (scoring engine)'!$K$5:$K$521,3),'Calc (scoring engine)'!$K$5:$K$521,0))),""))</f>
        <v/>
      </c>
      <c r="AH23" s="23">
        <f>IF(OR(3&gt;MAX(3,MIN(15,N($D$18))),IFERROR(LARGE('Calc (scoring engine)'!$K$5:$K$521,3),-999999)&lt;=-900000),"",IFERROR(IF(INDEX(Database!$AK$5:$AK$521,MATCH(LARGE('Calc (scoring engine)'!$K$5:$K$521,3),'Calc (scoring engine)'!$K$5:$K$521,0))="","—",INDEX(Database!$AK$5:$AK$521,MATCH(LARGE('Calc (scoring engine)'!$K$5:$K$521,3),'Calc (scoring engine)'!$K$5:$K$521,0))),""))</f>
        <v/>
      </c>
      <c r="AI23" s="23">
        <f>IF(OR(3&gt;MAX(3,MIN(15,N($D$18))),IFERROR(LARGE('Calc (scoring engine)'!$K$5:$K$521,3),-999999)&lt;=-900000),"",IFERROR(IF(INDEX(Database!$AL$5:$AL$521,MATCH(LARGE('Calc (scoring engine)'!$K$5:$K$521,3),'Calc (scoring engine)'!$K$5:$K$521,0))="","—",INDEX(Database!$AL$5:$AL$521,MATCH(LARGE('Calc (scoring engine)'!$K$5:$K$521,3),'Calc (scoring engine)'!$K$5:$K$521,0))),""))</f>
        <v/>
      </c>
      <c r="AJ23" s="23">
        <f>IF(OR(3&gt;MAX(3,MIN(15,N($D$18))),IFERROR(LARGE('Calc (scoring engine)'!$K$5:$K$521,3),-999999)&lt;=-900000),"",IFERROR(IF(INDEX(Database!$AM$5:$AM$521,MATCH(LARGE('Calc (scoring engine)'!$K$5:$K$521,3),'Calc (scoring engine)'!$K$5:$K$521,0))="","—",INDEX(Database!$AM$5:$AM$521,MATCH(LARGE('Calc (scoring engine)'!$K$5:$K$521,3),'Calc (scoring engine)'!$K$5:$K$521,0))),""))</f>
        <v/>
      </c>
      <c r="AK23" s="23">
        <f>IF(OR(3&gt;MAX(3,MIN(15,N($D$18))),IFERROR(LARGE('Calc (scoring engine)'!$K$5:$K$521,3),-999999)&lt;=-900000),"",IFERROR(IF(INDEX(Database!$AN$5:$AN$521,MATCH(LARGE('Calc (scoring engine)'!$K$5:$K$521,3),'Calc (scoring engine)'!$K$5:$K$521,0))="","—",INDEX(Database!$AN$5:$AN$521,MATCH(LARGE('Calc (scoring engine)'!$K$5:$K$521,3),'Calc (scoring engine)'!$K$5:$K$521,0))),""))</f>
        <v/>
      </c>
      <c r="AL23" s="23">
        <f>IF(OR(3&gt;MAX(3,MIN(15,N($D$18))),IFERROR(LARGE('Calc (scoring engine)'!$K$5:$K$521,3),-999999)&lt;=-900000),"",IFERROR(IF(INDEX(Database!$AO$5:$AO$521,MATCH(LARGE('Calc (scoring engine)'!$K$5:$K$521,3),'Calc (scoring engine)'!$K$5:$K$521,0))="","—",INDEX(Database!$AO$5:$AO$521,MATCH(LARGE('Calc (scoring engine)'!$K$5:$K$521,3),'Calc (scoring engine)'!$K$5:$K$521,0))),""))</f>
        <v/>
      </c>
      <c r="AM23" s="23">
        <f>IF(OR(3&gt;MAX(3,MIN(15,N($D$18))),IFERROR(LARGE('Calc (scoring engine)'!$K$5:$K$521,3),-999999)&lt;=-900000),"",IFERROR(IF(INDEX(Database!$AP$5:$AP$521,MATCH(LARGE('Calc (scoring engine)'!$K$5:$K$521,3),'Calc (scoring engine)'!$K$5:$K$521,0))="","—",INDEX(Database!$AP$5:$AP$521,MATCH(LARGE('Calc (scoring engine)'!$K$5:$K$521,3),'Calc (scoring engine)'!$K$5:$K$521,0))),""))</f>
        <v/>
      </c>
      <c r="AN23" s="23">
        <f>IF(OR(3&gt;MAX(3,MIN(15,N($D$18))),IFERROR(LARGE('Calc (scoring engine)'!$K$5:$K$521,3),-999999)&lt;=-900000),"",IFERROR(IF(INDEX(Database!$AQ$5:$AQ$521,MATCH(LARGE('Calc (scoring engine)'!$K$5:$K$521,3),'Calc (scoring engine)'!$K$5:$K$521,0))="","—",INDEX(Database!$AQ$5:$AQ$521,MATCH(LARGE('Calc (scoring engine)'!$K$5:$K$521,3),'Calc (scoring engine)'!$K$5:$K$521,0))),""))</f>
        <v/>
      </c>
      <c r="AO23" s="23">
        <f>IF(OR(3&gt;MAX(3,MIN(15,N($D$18))),IFERROR(LARGE('Calc (scoring engine)'!$K$5:$K$521,3),-999999)&lt;=-900000),"",IFERROR(IF(INDEX(Database!$AR$5:$AR$521,MATCH(LARGE('Calc (scoring engine)'!$K$5:$K$521,3),'Calc (scoring engine)'!$K$5:$K$521,0))="","—",INDEX(Database!$AR$5:$AR$521,MATCH(LARGE('Calc (scoring engine)'!$K$5:$K$521,3),'Calc (scoring engine)'!$K$5:$K$521,0))),""))</f>
        <v/>
      </c>
      <c r="AP23" s="23">
        <f>IF(OR(3&gt;MAX(3,MIN(15,N($D$18))),IFERROR(LARGE('Calc (scoring engine)'!$K$5:$K$521,3),-999999)&lt;=-900000),"",IFERROR(IF(INDEX(Database!$AS$5:$AS$521,MATCH(LARGE('Calc (scoring engine)'!$K$5:$K$521,3),'Calc (scoring engine)'!$K$5:$K$521,0))="","—",INDEX(Database!$AS$5:$AS$521,MATCH(LARGE('Calc (scoring engine)'!$K$5:$K$521,3),'Calc (scoring engine)'!$K$5:$K$521,0))),""))</f>
        <v/>
      </c>
      <c r="AQ23" s="23">
        <f>IF(OR(3&gt;MAX(3,MIN(15,N($D$18))),IFERROR(LARGE('Calc (scoring engine)'!$K$5:$K$521,3),-999999)&lt;=-900000),"",IFERROR(IF(INDEX(Database!$AT$5:$AT$521,MATCH(LARGE('Calc (scoring engine)'!$K$5:$K$521,3),'Calc (scoring engine)'!$K$5:$K$521,0))="","—",INDEX(Database!$AT$5:$AT$521,MATCH(LARGE('Calc (scoring engine)'!$K$5:$K$521,3),'Calc (scoring engine)'!$K$5:$K$521,0))),""))</f>
        <v/>
      </c>
      <c r="AR23" s="23">
        <f>IF(OR(3&gt;MAX(3,MIN(15,N($D$18))),IFERROR(LARGE('Calc (scoring engine)'!$K$5:$K$521,3),-999999)&lt;=-900000),"",IFERROR(IF(INDEX(Database!$AU$5:$AU$521,MATCH(LARGE('Calc (scoring engine)'!$K$5:$K$521,3),'Calc (scoring engine)'!$K$5:$K$521,0))="","—",INDEX(Database!$AU$5:$AU$521,MATCH(LARGE('Calc (scoring engine)'!$K$5:$K$521,3),'Calc (scoring engine)'!$K$5:$K$521,0))),""))</f>
        <v/>
      </c>
      <c r="AS23" s="23">
        <f>IF(OR(3&gt;MAX(3,MIN(15,N($D$18))),IFERROR(LARGE('Calc (scoring engine)'!$K$5:$K$521,3),-999999)&lt;=-900000),"",IFERROR(IF(INDEX(Database!$AW$5:$AW$521,MATCH(LARGE('Calc (scoring engine)'!$K$5:$K$521,3),'Calc (scoring engine)'!$K$5:$K$521,0))="","—",INDEX(Database!$AW$5:$AW$521,MATCH(LARGE('Calc (scoring engine)'!$K$5:$K$521,3),'Calc (scoring engine)'!$K$5:$K$521,0))),""))</f>
        <v/>
      </c>
      <c r="AT23" s="19">
        <f>IF(OR(3&gt;MAX(3,MIN(15,N($D$18))),IFERROR(LARGE('Calc (scoring engine)'!$K$5:$K$521,3),-999999)&lt;=-900000),"",IFERROR(IF(INDEX(Database!$AY$5:$AY$521,MATCH(LARGE('Calc (scoring engine)'!$K$5:$K$521,3),'Calc (scoring engine)'!$K$5:$K$521,0))="","—",INDEX(Database!$AY$5:$AY$521,MATCH(LARGE('Calc (scoring engine)'!$K$5:$K$521,3),'Calc (scoring engine)'!$K$5:$K$521,0))),""))</f>
        <v/>
      </c>
      <c r="AU23" s="19">
        <f>IF(OR(3&gt;MAX(3,MIN(15,N($D$18))),IFERROR(LARGE('Calc (scoring engine)'!$K$5:$K$521,3),-999999)&lt;=-900000),"",IFERROR(IF(INDEX(Database!$AZ$5:$AZ$521,MATCH(LARGE('Calc (scoring engine)'!$K$5:$K$521,3),'Calc (scoring engine)'!$K$5:$K$521,0))="","—",INDEX(Database!$AZ$5:$AZ$521,MATCH(LARGE('Calc (scoring engine)'!$K$5:$K$521,3),'Calc (scoring engine)'!$K$5:$K$521,0))),""))</f>
        <v/>
      </c>
      <c r="AV23" s="10">
        <f>IF(OR(3&gt;MAX(3,MIN(15,N($D$18))),IFERROR(LARGE('Calc (scoring engine)'!$K$5:$K$521,3),-999999)&lt;=-900000),"",IFERROR(IF(INDEX(Database!$BA$5:$BA$521,MATCH(LARGE('Calc (scoring engine)'!$K$5:$K$521,3),'Calc (scoring engine)'!$K$5:$K$521,0))="","—",INDEX(Database!$BA$5:$BA$521,MATCH(LARGE('Calc (scoring engine)'!$K$5:$K$521,3),'Calc (scoring engine)'!$K$5:$K$521,0))),""))</f>
        <v/>
      </c>
      <c r="AW23" s="24">
        <f>IF(OR(3&gt;MAX(3,MIN(15,N($D$18))),IFERROR(LARGE('Calc (scoring engine)'!$K$5:$K$521,3),-999999)&lt;=-900000),"",IFERROR(IF(N(INDEX(Database!$BB$5:$BB$521,MATCH(LARGE('Calc (scoring engine)'!$K$5:$K$521,3),'Calc (scoring engine)'!$K$5:$K$521,0)))&lt;=0,IF(INDEX(Database!$BA$5:$BA$521,MATCH(LARGE('Calc (scoring engine)'!$K$5:$K$521,3),'Calc (scoring engine)'!$K$5:$K$521,0))="N","n/m","—"),INDEX(Database!$BB$5:$BB$521,MATCH(LARGE('Calc (scoring engine)'!$K$5:$K$521,3),'Calc (scoring engine)'!$K$5:$K$521,0))),""))</f>
        <v/>
      </c>
      <c r="AX23" s="24">
        <f>IF(OR(3&gt;MAX(3,MIN(15,N($D$18))),IFERROR(LARGE('Calc (scoring engine)'!$K$5:$K$521,3),-999999)&lt;=-900000),"",IFERROR(IF(INDEX(Database!$BC$5:$BC$521,MATCH(LARGE('Calc (scoring engine)'!$K$5:$K$521,3),'Calc (scoring engine)'!$K$5:$K$521,0))="","—",INDEX(Database!$BC$5:$BC$521,MATCH(LARGE('Calc (scoring engine)'!$K$5:$K$521,3),'Calc (scoring engine)'!$K$5:$K$521,0))),""))</f>
        <v/>
      </c>
      <c r="AY23" s="24">
        <f>IF(OR(3&gt;MAX(3,MIN(15,N($D$18))),IFERROR(LARGE('Calc (scoring engine)'!$K$5:$K$521,3),-999999)&lt;=-900000),"",IFERROR(IF(INDEX(Database!$BD$5:$BD$521,MATCH(LARGE('Calc (scoring engine)'!$K$5:$K$521,3),'Calc (scoring engine)'!$K$5:$K$521,0))="","—",INDEX(Database!$BD$5:$BD$521,MATCH(LARGE('Calc (scoring engine)'!$K$5:$K$521,3),'Calc (scoring engine)'!$K$5:$K$521,0))),""))</f>
        <v/>
      </c>
      <c r="AZ23" s="24">
        <f>IF(OR(3&gt;MAX(3,MIN(15,N($D$18))),IFERROR(LARGE('Calc (scoring engine)'!$K$5:$K$521,3),-999999)&lt;=-900000),"",IFERROR(IF(INDEX(Database!$BE$5:$BE$521,MATCH(LARGE('Calc (scoring engine)'!$K$5:$K$521,3),'Calc (scoring engine)'!$K$5:$K$521,0))="","—",INDEX(Database!$BE$5:$BE$521,MATCH(LARGE('Calc (scoring engine)'!$K$5:$K$521,3),'Calc (scoring engine)'!$K$5:$K$521,0))),""))</f>
        <v/>
      </c>
      <c r="BA23" s="24">
        <f>IF(OR(3&gt;MAX(3,MIN(15,N($D$18))),IFERROR(LARGE('Calc (scoring engine)'!$K$5:$K$521,3),-999999)&lt;=-900000),"",IFERROR(IF(INDEX(Database!$BF$5:$BF$521,MATCH(LARGE('Calc (scoring engine)'!$K$5:$K$521,3),'Calc (scoring engine)'!$K$5:$K$521,0))="","—",INDEX(Database!$BF$5:$BF$521,MATCH(LARGE('Calc (scoring engine)'!$K$5:$K$521,3),'Calc (scoring engine)'!$K$5:$K$521,0))),""))</f>
        <v/>
      </c>
      <c r="BB23" s="24">
        <f>IF(OR(3&gt;MAX(3,MIN(15,N($D$18))),IFERROR(LARGE('Calc (scoring engine)'!$K$5:$K$521,3),-999999)&lt;=-900000),"",IFERROR(IFERROR(BDP(TEXT(INDEX(Database!$A$5:$A$521,MATCH(LARGE('Calc (scoring engine)'!$K$5:$K$521,3),'Calc (scoring engine)'!$K$5:$K$521,0)),"0")&amp;" HK Equity","PE_RATIO"),IF(INDEX(Database!$BD$5:$BD$521,MATCH(LARGE('Calc (scoring engine)'!$K$5:$K$521,3),'Calc (scoring engine)'!$K$5:$K$521,0))="","—",INDEX(Database!$BD$5:$BD$521,MATCH(LARGE('Calc (scoring engine)'!$K$5:$K$521,3),'Calc (scoring engine)'!$K$5:$K$521,0)))),""))</f>
        <v/>
      </c>
      <c r="BC23" s="24">
        <f>IF(OR(3&gt;MAX(3,MIN(15,N($D$18))),IFERROR(LARGE('Calc (scoring engine)'!$K$5:$K$521,3),-999999)&lt;=-900000),"",IFERROR(IFERROR(BDP(TEXT(INDEX(Database!$A$5:$A$521,MATCH(LARGE('Calc (scoring engine)'!$K$5:$K$521,3),'Calc (scoring engine)'!$K$5:$K$521,0)),"0")&amp;" HK Equity","PX_TO_SALES_RATIO"),IF(INDEX(Database!$BE$5:$BE$521,MATCH(LARGE('Calc (scoring engine)'!$K$5:$K$521,3),'Calc (scoring engine)'!$K$5:$K$521,0))="","—",INDEX(Database!$BE$5:$BE$521,MATCH(LARGE('Calc (scoring engine)'!$K$5:$K$521,3),'Calc (scoring engine)'!$K$5:$K$521,0)))),""))</f>
        <v/>
      </c>
      <c r="BD23" s="10">
        <f>IF(OR(3&gt;MAX(3,MIN(15,N($D$18))),IFERROR(LARGE('Calc (scoring engine)'!$K$5:$K$521,3),-999999)&lt;=-900000),"",IFERROR(IF(INDEX(Database!$BG$5:$BG$521,MATCH(LARGE('Calc (scoring engine)'!$K$5:$K$521,3),'Calc (scoring engine)'!$K$5:$K$521,0))="","—",INDEX(Database!$BG$5:$BG$521,MATCH(LARGE('Calc (scoring engine)'!$K$5:$K$521,3),'Calc (scoring engine)'!$K$5:$K$521,0))),""))</f>
        <v/>
      </c>
      <c r="BE23" s="10">
        <f>IF(OR(3&gt;MAX(3,MIN(15,N($D$18))),IFERROR(LARGE('Calc (scoring engine)'!$K$5:$K$521,3),-999999)&lt;=-900000),"",IFERROR(IF(INDEX(Database!$BH$5:$BH$521,MATCH(LARGE('Calc (scoring engine)'!$K$5:$K$521,3),'Calc (scoring engine)'!$K$5:$K$521,0))="","—",INDEX(Database!$BH$5:$BH$521,MATCH(LARGE('Calc (scoring engine)'!$K$5:$K$521,3),'Calc (scoring engine)'!$K$5:$K$521,0))),""))</f>
        <v/>
      </c>
      <c r="BF23" s="23">
        <f>IF(OR(3&gt;MAX(3,MIN(15,N($D$18))),IFERROR(LARGE('Calc (scoring engine)'!$K$5:$K$521,3),-999999)&lt;=-900000),"",IFERROR(IF(INDEX(Database!$BI$5:$BI$521,MATCH(LARGE('Calc (scoring engine)'!$K$5:$K$521,3),'Calc (scoring engine)'!$K$5:$K$521,0))="","—",INDEX(Database!$BI$5:$BI$521,MATCH(LARGE('Calc (scoring engine)'!$K$5:$K$521,3),'Calc (scoring engine)'!$K$5:$K$521,0))),""))</f>
        <v/>
      </c>
      <c r="BG23" s="50">
        <f>IF(OR(3&gt;MAX(3,MIN(15,N($D$18))),IFERROR(LARGE('Calc (scoring engine)'!$K$5:$K$521,3),-999999)&lt;=-900000),"",IFERROR(IF(INDEX(Database!$BJ$5:$BJ$521,MATCH(LARGE('Calc (scoring engine)'!$K$5:$K$521,3),'Calc (scoring engine)'!$K$5:$K$521,0))="","—",INDEX(Database!$BJ$5:$BJ$521,MATCH(LARGE('Calc (scoring engine)'!$K$5:$K$521,3),'Calc (scoring engine)'!$K$5:$K$521,0))),""))</f>
        <v/>
      </c>
      <c r="BH23" s="53">
        <f>IF(OR(3&gt;MAX(3,MIN(15,N($D$18))),IFERROR(LARGE('Calc (scoring engine)'!$K$5:$K$521,3),-999999)&lt;=-900000),"",IFERROR(IF(INDEX(Database!$BK$5:$BK$521,MATCH(LARGE('Calc (scoring engine)'!$K$5:$K$521,3),'Calc (scoring engine)'!$K$5:$K$521,0))="","—",INDEX(Database!$BK$5:$BK$521,MATCH(LARGE('Calc (scoring engine)'!$K$5:$K$521,3),'Calc (scoring engine)'!$K$5:$K$521,0))),""))</f>
        <v/>
      </c>
      <c r="BI23" s="19">
        <f>IF(OR(3&gt;MAX(3,MIN(15,N($D$18))),IFERROR(LARGE('Calc (scoring engine)'!$K$5:$K$521,3),-999999)&lt;=-900000),"",IFERROR(IF(INDEX(Database!$BL$5:$BL$521,MATCH(LARGE('Calc (scoring engine)'!$K$5:$K$521,3),'Calc (scoring engine)'!$K$5:$K$521,0))="","—",INDEX(Database!$BL$5:$BL$521,MATCH(LARGE('Calc (scoring engine)'!$K$5:$K$521,3),'Calc (scoring engine)'!$K$5:$K$521,0))),""))</f>
        <v/>
      </c>
      <c r="BJ23" s="24">
        <f>IF(OR(3&gt;MAX(3,MIN(15,N($D$18))),IFERROR(LARGE('Calc (scoring engine)'!$K$5:$K$521,3),-999999)&lt;=-900000),"",IFERROR(IF(INDEX(Database!$BM$5:$BM$521,MATCH(LARGE('Calc (scoring engine)'!$K$5:$K$521,3),'Calc (scoring engine)'!$K$5:$K$521,0))="","—",INDEX(Database!$BM$5:$BM$521,MATCH(LARGE('Calc (scoring engine)'!$K$5:$K$521,3),'Calc (scoring engine)'!$K$5:$K$521,0))),""))</f>
        <v/>
      </c>
      <c r="BK23" s="24">
        <f>IF(OR(3&gt;MAX(3,MIN(15,N($D$18))),IFERROR(LARGE('Calc (scoring engine)'!$K$5:$K$521,3),-999999)&lt;=-900000),"",IFERROR(IF(INDEX(Database!$BN$5:$BN$521,MATCH(LARGE('Calc (scoring engine)'!$K$5:$K$521,3),'Calc (scoring engine)'!$K$5:$K$521,0))="","—",INDEX(Database!$BN$5:$BN$521,MATCH(LARGE('Calc (scoring engine)'!$K$5:$K$521,3),'Calc (scoring engine)'!$K$5:$K$521,0))),""))</f>
        <v/>
      </c>
      <c r="BL23" s="10">
        <f>IF(OR(3&gt;MAX(3,MIN(15,N($D$18))),IFERROR(LARGE('Calc (scoring engine)'!$K$5:$K$521,3),-999999)&lt;=-900000),"",IFERROR(IF(INDEX(Database!$BO$5:$BO$521,MATCH(LARGE('Calc (scoring engine)'!$K$5:$K$521,3),'Calc (scoring engine)'!$K$5:$K$521,0))="","—",INDEX(Database!$BO$5:$BO$521,MATCH(LARGE('Calc (scoring engine)'!$K$5:$K$521,3),'Calc (scoring engine)'!$K$5:$K$521,0))),""))</f>
        <v/>
      </c>
      <c r="BM23" s="10">
        <f>IF(OR(3&gt;MAX(3,MIN(15,N($D$18))),IFERROR(LARGE('Calc (scoring engine)'!$K$5:$K$521,3),-999999)&lt;=-900000),"",IFERROR(IF(INDEX(Database!$BQ$5:$BQ$521,MATCH(LARGE('Calc (scoring engine)'!$K$5:$K$521,3),'Calc (scoring engine)'!$K$5:$K$521,0))="","—",INDEX(Database!$BQ$5:$BQ$521,MATCH(LARGE('Calc (scoring engine)'!$K$5:$K$521,3),'Calc (scoring engine)'!$K$5:$K$521,0))),""))</f>
        <v/>
      </c>
      <c r="BN23" s="54">
        <f>IF(OR(3&gt;MAX(3,MIN(15,N($D$18))),IFERROR(LARGE('Calc (scoring engine)'!$K$5:$K$521,3),-999999)&lt;=-900000),"",IFERROR(IF(INDEX('Calc (scoring engine)'!$H$5:$H$521,MATCH(LARGE('Calc (scoring engine)'!$K$5:$K$521,3),'Calc (scoring engine)'!$K$5:$K$521,0))&gt;0,INDEX('Calc (scoring engine)'!$H$5:$H$521,MATCH(LARGE('Calc (scoring engine)'!$K$5:$K$521,3),'Calc (scoring engine)'!$K$5:$K$521,0)),""),""))</f>
        <v/>
      </c>
      <c r="BO23" s="10">
        <f>IF(OR(3&gt;MAX(3,MIN(15,N($D$18))),IFERROR(LARGE('Calc (scoring engine)'!$K$5:$K$521,3),-999999)&lt;=-900000),"",IF(IFERROR(INDEX('Calc (scoring engine)'!$B$5:$B$521,MATCH(LARGE('Calc (scoring engine)'!$K$5:$K$521,3),'Calc (scoring engine)'!$K$5:$K$521,0)),0)=1,"same subsector","sector only"))</f>
        <v/>
      </c>
      <c r="BP23" s="54">
        <f>IF(OR(3&gt;MAX(3,MIN(15,N($D$18))),IFERROR(LARGE('Calc (scoring engine)'!$K$5:$K$521,3),-999999)&lt;=-900000),"",ROUND(IFERROR(LARGE('Calc (scoring engine)'!$K$5:$K$521,3),0),0))</f>
        <v/>
      </c>
      <c r="BQ23" s="10">
        <f>IF(OR(3&gt;MAX(3,MIN(15,N($D$18))),IFERROR(LARGE('Calc (scoring engine)'!$K$5:$K$521,3),-999999)&lt;=-900000),"",IFERROR("sub "&amp;INDEX('Calc (scoring engine)'!$B$5:$B$521,MATCH(LARGE('Calc (scoring engine)'!$K$5:$K$521,3),'Calc (scoring engine)'!$K$5:$K$521,0))*W_SUB&amp;" + size "&amp;ROUND(INDEX('Calc (scoring engine)'!$D$5:$D$521,MATCH(LARGE('Calc (scoring engine)'!$K$5:$K$521,3),'Calc (scoring engine)'!$K$5:$K$521,0))*W_SIZE,0)&amp;" + prof "&amp;INDEX('Calc (scoring engine)'!$E$5:$E$521,MATCH(LARGE('Calc (scoring engine)'!$K$5:$K$521,3),'Calc (scoring engine)'!$K$5:$K$521,0))*W_PROF&amp;" + recency "&amp;ROUND(INDEX('Calc (scoring engine)'!$G$5:$G$521,MATCH(LARGE('Calc (scoring engine)'!$K$5:$K$521,3),'Calc (scoring engine)'!$K$5:$K$521,0))*W_REC,0)&amp;IF(INDEX('Calc (scoring engine)'!$H$5:$H$521,MATCH(LARGE('Calc (scoring engine)'!$K$5:$K$521,3),'Calc (scoring engine)'!$K$5:$K$521,0))&gt;0," + shared CS x"&amp;INDEX('Calc (scoring engine)'!$H$5:$H$521,MATCH(LARGE('Calc (scoring engine)'!$K$5:$K$521,3),'Calc (scoring engine)'!$K$5:$K$521,0)),""),""))</f>
        <v/>
      </c>
    </row>
    <row r="24">
      <c r="A24" s="48">
        <f>IF(OR(4&gt;MAX(3,MIN(15,N($D$18))),IFERROR(LARGE('Calc (scoring engine)'!$K$5:$K$521,4),-999999)&lt;=-900000),"",4)</f>
        <v/>
      </c>
      <c r="B24" s="10">
        <f>IF(OR(4&gt;MAX(3,MIN(15,N($D$18))),IFERROR(LARGE('Calc (scoring engine)'!$K$5:$K$521,4),-999999)&lt;=-900000),"",IFERROR(IF(INDEX(Database!$B$5:$B$521,MATCH(LARGE('Calc (scoring engine)'!$K$5:$K$521,4),'Calc (scoring engine)'!$K$5:$K$521,0))="","—",INDEX(Database!$B$5:$B$521,MATCH(LARGE('Calc (scoring engine)'!$K$5:$K$521,4),'Calc (scoring engine)'!$K$5:$K$521,0))),""))</f>
        <v/>
      </c>
      <c r="C24" s="49">
        <f>IF(OR(4&gt;MAX(3,MIN(15,N($D$18))),IFERROR(LARGE('Calc (scoring engine)'!$K$5:$K$521,4),-999999)&lt;=-900000),"",IFERROR(IF(INDEX(Database!$A$5:$A$521,MATCH(LARGE('Calc (scoring engine)'!$K$5:$K$521,4),'Calc (scoring engine)'!$K$5:$K$521,0))="","—",INDEX(Database!$A$5:$A$521,MATCH(LARGE('Calc (scoring engine)'!$K$5:$K$521,4),'Calc (scoring engine)'!$K$5:$K$521,0))),""))</f>
        <v/>
      </c>
      <c r="D24" s="10">
        <f>IF(OR(4&gt;MAX(3,MIN(15,N($D$18))),IFERROR(LARGE('Calc (scoring engine)'!$K$5:$K$521,4),-999999)&lt;=-900000),"",IFERROR(IF(INDEX(Database!$D$5:$D$521,MATCH(LARGE('Calc (scoring engine)'!$K$5:$K$521,4),'Calc (scoring engine)'!$K$5:$K$521,0))="","—",INDEX(Database!$D$5:$D$521,MATCH(LARGE('Calc (scoring engine)'!$K$5:$K$521,4),'Calc (scoring engine)'!$K$5:$K$521,0))),""))</f>
        <v/>
      </c>
      <c r="E24" s="10">
        <f>IF(OR(4&gt;MAX(3,MIN(15,N($D$18))),IFERROR(LARGE('Calc (scoring engine)'!$K$5:$K$521,4),-999999)&lt;=-900000),"",IFERROR(IF(INDEX(Database!$E$5:$E$521,MATCH(LARGE('Calc (scoring engine)'!$K$5:$K$521,4),'Calc (scoring engine)'!$K$5:$K$521,0))="","—",INDEX(Database!$E$5:$E$521,MATCH(LARGE('Calc (scoring engine)'!$K$5:$K$521,4),'Calc (scoring engine)'!$K$5:$K$521,0))),""))</f>
        <v/>
      </c>
      <c r="F24" s="10">
        <f>IF(OR(4&gt;MAX(3,MIN(15,N($D$18))),IFERROR(LARGE('Calc (scoring engine)'!$K$5:$K$521,4),-999999)&lt;=-900000),"",IFERROR(IF(INDEX(Database!$F$5:$F$521,MATCH(LARGE('Calc (scoring engine)'!$K$5:$K$521,4),'Calc (scoring engine)'!$K$5:$K$521,0))="","—",INDEX(Database!$F$5:$F$521,MATCH(LARGE('Calc (scoring engine)'!$K$5:$K$521,4),'Calc (scoring engine)'!$K$5:$K$521,0))),""))</f>
        <v/>
      </c>
      <c r="G24" s="10">
        <f>IF(OR(4&gt;MAX(3,MIN(15,N($D$18))),IFERROR(LARGE('Calc (scoring engine)'!$K$5:$K$521,4),-999999)&lt;=-900000),"",IFERROR(IF(INDEX(Database!$G$5:$G$521,MATCH(LARGE('Calc (scoring engine)'!$K$5:$K$521,4),'Calc (scoring engine)'!$K$5:$K$521,0))="","—",INDEX(Database!$G$5:$G$521,MATCH(LARGE('Calc (scoring engine)'!$K$5:$K$521,4),'Calc (scoring engine)'!$K$5:$K$521,0))),""))</f>
        <v/>
      </c>
      <c r="H24" s="21">
        <f>IF(OR(4&gt;MAX(3,MIN(15,N($D$18))),IFERROR(LARGE('Calc (scoring engine)'!$K$5:$K$521,4),-999999)&lt;=-900000),"",IFERROR(IF(INDEX(Database!$H$5:$H$521,MATCH(LARGE('Calc (scoring engine)'!$K$5:$K$521,4),'Calc (scoring engine)'!$K$5:$K$521,0))="","—",INDEX(Database!$H$5:$H$521,MATCH(LARGE('Calc (scoring engine)'!$K$5:$K$521,4),'Calc (scoring engine)'!$K$5:$K$521,0))),""))</f>
        <v/>
      </c>
      <c r="I24" s="19">
        <f>IF(OR(4&gt;MAX(3,MIN(15,N($D$18))),IFERROR(LARGE('Calc (scoring engine)'!$K$5:$K$521,4),-999999)&lt;=-900000),"",IFERROR(IF(INDEX(Database!$I$5:$I$521,MATCH(LARGE('Calc (scoring engine)'!$K$5:$K$521,4),'Calc (scoring engine)'!$K$5:$K$521,0))="","—",INDEX(Database!$I$5:$I$521,MATCH(LARGE('Calc (scoring engine)'!$K$5:$K$521,4),'Calc (scoring engine)'!$K$5:$K$521,0))),""))</f>
        <v/>
      </c>
      <c r="J24" s="50">
        <f>IF(OR(4&gt;MAX(3,MIN(15,N($D$18))),IFERROR(LARGE('Calc (scoring engine)'!$K$5:$K$521,4),-999999)&lt;=-900000),"",IFERROR(IF(INDEX(Database!$K$5:$K$521,MATCH(LARGE('Calc (scoring engine)'!$K$5:$K$521,4),'Calc (scoring engine)'!$K$5:$K$521,0))="","—",INDEX(Database!$K$5:$K$521,MATCH(LARGE('Calc (scoring engine)'!$K$5:$K$521,4),'Calc (scoring engine)'!$K$5:$K$521,0))),""))</f>
        <v/>
      </c>
      <c r="K24" s="50">
        <f>IF(OR(4&gt;MAX(3,MIN(15,N($D$18))),IFERROR(LARGE('Calc (scoring engine)'!$K$5:$K$521,4),-999999)&lt;=-900000),"",IFERROR(IF(INDEX(Database!$L$5:$L$521,MATCH(LARGE('Calc (scoring engine)'!$K$5:$K$521,4),'Calc (scoring engine)'!$K$5:$K$521,0))="","—",INDEX(Database!$L$5:$L$521,MATCH(LARGE('Calc (scoring engine)'!$K$5:$K$521,4),'Calc (scoring engine)'!$K$5:$K$521,0))),""))</f>
        <v/>
      </c>
      <c r="L24" s="50">
        <f>IF(OR(4&gt;MAX(3,MIN(15,N($D$18))),IFERROR(LARGE('Calc (scoring engine)'!$K$5:$K$521,4),-999999)&lt;=-900000),"",IFERROR(IF(INDEX(Database!$M$5:$M$521,MATCH(LARGE('Calc (scoring engine)'!$K$5:$K$521,4),'Calc (scoring engine)'!$K$5:$K$521,0))="","—",INDEX(Database!$M$5:$M$521,MATCH(LARGE('Calc (scoring engine)'!$K$5:$K$521,4),'Calc (scoring engine)'!$K$5:$K$521,0))),""))</f>
        <v/>
      </c>
      <c r="M24" s="10">
        <f>IF(OR(4&gt;MAX(3,MIN(15,N($D$18))),IFERROR(LARGE('Calc (scoring engine)'!$K$5:$K$521,4),-999999)&lt;=-900000),"",IFERROR(IF(INDEX(Database!$N$5:$N$521,MATCH(LARGE('Calc (scoring engine)'!$K$5:$K$521,4),'Calc (scoring engine)'!$K$5:$K$521,0))="","—",INDEX(Database!$N$5:$N$521,MATCH(LARGE('Calc (scoring engine)'!$K$5:$K$521,4),'Calc (scoring engine)'!$K$5:$K$521,0))),""))</f>
        <v/>
      </c>
      <c r="N24" s="31">
        <f>IF(OR(4&gt;MAX(3,MIN(15,N($D$18))),IFERROR(LARGE('Calc (scoring engine)'!$K$5:$K$521,4),-999999)&lt;=-900000),"",IFERROR(IF(INDEX(Database!$O$5:$O$521,MATCH(LARGE('Calc (scoring engine)'!$K$5:$K$521,4),'Calc (scoring engine)'!$K$5:$K$521,0))="","—",INDEX(Database!$O$5:$O$521,MATCH(LARGE('Calc (scoring engine)'!$K$5:$K$521,4),'Calc (scoring engine)'!$K$5:$K$521,0))),""))</f>
        <v/>
      </c>
      <c r="O24" s="31">
        <f>IF(OR(4&gt;MAX(3,MIN(15,N($D$18))),IFERROR(LARGE('Calc (scoring engine)'!$K$5:$K$521,4),-999999)&lt;=-900000),"",IFERROR(IF(INDEX(Database!$P$5:$P$521,MATCH(LARGE('Calc (scoring engine)'!$K$5:$K$521,4),'Calc (scoring engine)'!$K$5:$K$521,0))="","—",INDEX(Database!$P$5:$P$521,MATCH(LARGE('Calc (scoring engine)'!$K$5:$K$521,4),'Calc (scoring engine)'!$K$5:$K$521,0))),""))</f>
        <v/>
      </c>
      <c r="P24" s="19">
        <f>IF(OR(4&gt;MAX(3,MIN(15,N($D$18))),IFERROR(LARGE('Calc (scoring engine)'!$K$5:$K$521,4),-999999)&lt;=-900000),"",IFERROR(IF(INDEX(Database!$Q$5:$Q$521,MATCH(LARGE('Calc (scoring engine)'!$K$5:$K$521,4),'Calc (scoring engine)'!$K$5:$K$521,0))="","—",INDEX(Database!$Q$5:$Q$521,MATCH(LARGE('Calc (scoring engine)'!$K$5:$K$521,4),'Calc (scoring engine)'!$K$5:$K$521,0))),""))</f>
        <v/>
      </c>
      <c r="Q24" s="26">
        <f>IF(OR(4&gt;MAX(3,MIN(15,N($D$18))),IFERROR(LARGE('Calc (scoring engine)'!$K$5:$K$521,4),-999999)&lt;=-900000),"",IFERROR(IF(INDEX(Database!$S$5:$S$521,MATCH(LARGE('Calc (scoring engine)'!$K$5:$K$521,4),'Calc (scoring engine)'!$K$5:$K$521,0))="","—",INDEX(Database!$S$5:$S$521,MATCH(LARGE('Calc (scoring engine)'!$K$5:$K$521,4),'Calc (scoring engine)'!$K$5:$K$521,0))),""))</f>
        <v/>
      </c>
      <c r="R24" s="51">
        <f>IF(OR(4&gt;MAX(3,MIN(15,N($D$18))),IFERROR(LARGE('Calc (scoring engine)'!$K$5:$K$521,4),-999999)&lt;=-900000),"",IFERROR(IF(INDEX(Database!$T$5:$T$521,MATCH(LARGE('Calc (scoring engine)'!$K$5:$K$521,4),'Calc (scoring engine)'!$K$5:$K$521,0))="","—",INDEX(Database!$T$5:$T$521,MATCH(LARGE('Calc (scoring engine)'!$K$5:$K$521,4),'Calc (scoring engine)'!$K$5:$K$521,0))),""))</f>
        <v/>
      </c>
      <c r="S24" s="52">
        <f>IF(OR(4&gt;MAX(3,MIN(15,N($D$18))),IFERROR(LARGE('Calc (scoring engine)'!$K$5:$K$521,4),-999999)&lt;=-900000),"",IFERROR(IF(INDEX(Database!$U$5:$U$521,MATCH(LARGE('Calc (scoring engine)'!$K$5:$K$521,4),'Calc (scoring engine)'!$K$5:$K$521,0))="","—",INDEX(Database!$U$5:$U$521,MATCH(LARGE('Calc (scoring engine)'!$K$5:$K$521,4),'Calc (scoring engine)'!$K$5:$K$521,0))),""))</f>
        <v/>
      </c>
      <c r="T24" s="19">
        <f>IF(OR(4&gt;MAX(3,MIN(15,N($D$18))),IFERROR(LARGE('Calc (scoring engine)'!$K$5:$K$521,4),-999999)&lt;=-900000),"",IFERROR(IF(INDEX(Database!$V$5:$V$521,MATCH(LARGE('Calc (scoring engine)'!$K$5:$K$521,4),'Calc (scoring engine)'!$K$5:$K$521,0))="","—",INDEX(Database!$V$5:$V$521,MATCH(LARGE('Calc (scoring engine)'!$K$5:$K$521,4),'Calc (scoring engine)'!$K$5:$K$521,0))),""))</f>
        <v/>
      </c>
      <c r="U24" s="19">
        <f>IF(OR(4&gt;MAX(3,MIN(15,N($D$18))),IFERROR(LARGE('Calc (scoring engine)'!$K$5:$K$521,4),-999999)&lt;=-900000),"",IFERROR(IF(INDEX(Database!$W$5:$W$521,MATCH(LARGE('Calc (scoring engine)'!$K$5:$K$521,4),'Calc (scoring engine)'!$K$5:$K$521,0))="","—",INDEX(Database!$W$5:$W$521,MATCH(LARGE('Calc (scoring engine)'!$K$5:$K$521,4),'Calc (scoring engine)'!$K$5:$K$521,0))),""))</f>
        <v/>
      </c>
      <c r="V24" s="31">
        <f>IF(OR(4&gt;MAX(3,MIN(15,N($D$18))),IFERROR(LARGE('Calc (scoring engine)'!$K$5:$K$521,4),-999999)&lt;=-900000),"",IFERROR(IF(INDEX(Database!$X$5:$X$521,MATCH(LARGE('Calc (scoring engine)'!$K$5:$K$521,4),'Calc (scoring engine)'!$K$5:$K$521,0))="","—",INDEX(Database!$X$5:$X$521,MATCH(LARGE('Calc (scoring engine)'!$K$5:$K$521,4),'Calc (scoring engine)'!$K$5:$K$521,0))),""))</f>
        <v/>
      </c>
      <c r="W24" s="10">
        <f>IF(OR(4&gt;MAX(3,MIN(15,N($D$18))),IFERROR(LARGE('Calc (scoring engine)'!$K$5:$K$521,4),-999999)&lt;=-900000),"",IFERROR(IF(INDEX(Database!$Y$5:$Y$521,MATCH(LARGE('Calc (scoring engine)'!$K$5:$K$521,4),'Calc (scoring engine)'!$K$5:$K$521,0))="","—",INDEX(Database!$Y$5:$Y$521,MATCH(LARGE('Calc (scoring engine)'!$K$5:$K$521,4),'Calc (scoring engine)'!$K$5:$K$521,0))),""))</f>
        <v/>
      </c>
      <c r="X24" s="31">
        <f>IF(OR(4&gt;MAX(3,MIN(15,N($D$18))),IFERROR(LARGE('Calc (scoring engine)'!$K$5:$K$521,4),-999999)&lt;=-900000),"",IFERROR(IF(INDEX(Database!$AA$5:$AA$521,MATCH(LARGE('Calc (scoring engine)'!$K$5:$K$521,4),'Calc (scoring engine)'!$K$5:$K$521,0))="","—",INDEX(Database!$AA$5:$AA$521,MATCH(LARGE('Calc (scoring engine)'!$K$5:$K$521,4),'Calc (scoring engine)'!$K$5:$K$521,0))),""))</f>
        <v/>
      </c>
      <c r="Y24" s="10">
        <f>IF(OR(4&gt;MAX(3,MIN(15,N($D$18))),IFERROR(LARGE('Calc (scoring engine)'!$K$5:$K$521,4),-999999)&lt;=-900000),"",IFERROR(IF(INDEX(Database!$AB$5:$AB$521,MATCH(LARGE('Calc (scoring engine)'!$K$5:$K$521,4),'Calc (scoring engine)'!$K$5:$K$521,0))="","—",INDEX(Database!$AB$5:$AB$521,MATCH(LARGE('Calc (scoring engine)'!$K$5:$K$521,4),'Calc (scoring engine)'!$K$5:$K$521,0))),""))</f>
        <v/>
      </c>
      <c r="Z24" s="10">
        <f>IF(OR(4&gt;MAX(3,MIN(15,N($D$18))),IFERROR(LARGE('Calc (scoring engine)'!$K$5:$K$521,4),-999999)&lt;=-900000),"",IFERROR(IF(INDEX(Database!$AC$5:$AC$521,MATCH(LARGE('Calc (scoring engine)'!$K$5:$K$521,4),'Calc (scoring engine)'!$K$5:$K$521,0))="","—",INDEX(Database!$AC$5:$AC$521,MATCH(LARGE('Calc (scoring engine)'!$K$5:$K$521,4),'Calc (scoring engine)'!$K$5:$K$521,0))),""))</f>
        <v/>
      </c>
      <c r="AA24" s="10">
        <f>IF(OR(4&gt;MAX(3,MIN(15,N($D$18))),IFERROR(LARGE('Calc (scoring engine)'!$K$5:$K$521,4),-999999)&lt;=-900000),"",IFERROR(IF(INDEX(Database!$AD$5:$AD$521,MATCH(LARGE('Calc (scoring engine)'!$K$5:$K$521,4),'Calc (scoring engine)'!$K$5:$K$521,0))="","—",INDEX(Database!$AD$5:$AD$521,MATCH(LARGE('Calc (scoring engine)'!$K$5:$K$521,4),'Calc (scoring engine)'!$K$5:$K$521,0))),""))</f>
        <v/>
      </c>
      <c r="AB24" s="10">
        <f>IF(OR(4&gt;MAX(3,MIN(15,N($D$18))),IFERROR(LARGE('Calc (scoring engine)'!$K$5:$K$521,4),-999999)&lt;=-900000),"",IFERROR(IF(INDEX(Database!$AE$5:$AE$521,MATCH(LARGE('Calc (scoring engine)'!$K$5:$K$521,4),'Calc (scoring engine)'!$K$5:$K$521,0))="","—",INDEX(Database!$AE$5:$AE$521,MATCH(LARGE('Calc (scoring engine)'!$K$5:$K$521,4),'Calc (scoring engine)'!$K$5:$K$521,0))),""))</f>
        <v/>
      </c>
      <c r="AC24" s="23">
        <f>IF(OR(4&gt;MAX(3,MIN(15,N($D$18))),IFERROR(LARGE('Calc (scoring engine)'!$K$5:$K$521,4),-999999)&lt;=-900000),"",IFERROR(IF(INDEX(Database!$AF$5:$AF$521,MATCH(LARGE('Calc (scoring engine)'!$K$5:$K$521,4),'Calc (scoring engine)'!$K$5:$K$521,0))="","—",INDEX(Database!$AF$5:$AF$521,MATCH(LARGE('Calc (scoring engine)'!$K$5:$K$521,4),'Calc (scoring engine)'!$K$5:$K$521,0))),""))</f>
        <v/>
      </c>
      <c r="AD24" s="23">
        <f>IF(OR(4&gt;MAX(3,MIN(15,N($D$18))),IFERROR(LARGE('Calc (scoring engine)'!$K$5:$K$521,4),-999999)&lt;=-900000),"",IFERROR(IF(INDEX(Database!$AG$5:$AG$521,MATCH(LARGE('Calc (scoring engine)'!$K$5:$K$521,4),'Calc (scoring engine)'!$K$5:$K$521,0))="","—",INDEX(Database!$AG$5:$AG$521,MATCH(LARGE('Calc (scoring engine)'!$K$5:$K$521,4),'Calc (scoring engine)'!$K$5:$K$521,0))),""))</f>
        <v/>
      </c>
      <c r="AE24" s="23">
        <f>IF(OR(4&gt;MAX(3,MIN(15,N($D$18))),IFERROR(LARGE('Calc (scoring engine)'!$K$5:$K$521,4),-999999)&lt;=-900000),"",IFERROR(IF(INDEX(Database!$AH$5:$AH$521,MATCH(LARGE('Calc (scoring engine)'!$K$5:$K$521,4),'Calc (scoring engine)'!$K$5:$K$521,0))="","—",INDEX(Database!$AH$5:$AH$521,MATCH(LARGE('Calc (scoring engine)'!$K$5:$K$521,4),'Calc (scoring engine)'!$K$5:$K$521,0))),""))</f>
        <v/>
      </c>
      <c r="AF24" s="23">
        <f>IF(OR(4&gt;MAX(3,MIN(15,N($D$18))),IFERROR(LARGE('Calc (scoring engine)'!$K$5:$K$521,4),-999999)&lt;=-900000),"",IFERROR(IF(INDEX(Database!$AI$5:$AI$521,MATCH(LARGE('Calc (scoring engine)'!$K$5:$K$521,4),'Calc (scoring engine)'!$K$5:$K$521,0))="","—",INDEX(Database!$AI$5:$AI$521,MATCH(LARGE('Calc (scoring engine)'!$K$5:$K$521,4),'Calc (scoring engine)'!$K$5:$K$521,0))),""))</f>
        <v/>
      </c>
      <c r="AG24" s="23">
        <f>IF(OR(4&gt;MAX(3,MIN(15,N($D$18))),IFERROR(LARGE('Calc (scoring engine)'!$K$5:$K$521,4),-999999)&lt;=-900000),"",IFERROR(IF(INDEX(Database!$AJ$5:$AJ$521,MATCH(LARGE('Calc (scoring engine)'!$K$5:$K$521,4),'Calc (scoring engine)'!$K$5:$K$521,0))="","—",INDEX(Database!$AJ$5:$AJ$521,MATCH(LARGE('Calc (scoring engine)'!$K$5:$K$521,4),'Calc (scoring engine)'!$K$5:$K$521,0))),""))</f>
        <v/>
      </c>
      <c r="AH24" s="23">
        <f>IF(OR(4&gt;MAX(3,MIN(15,N($D$18))),IFERROR(LARGE('Calc (scoring engine)'!$K$5:$K$521,4),-999999)&lt;=-900000),"",IFERROR(IF(INDEX(Database!$AK$5:$AK$521,MATCH(LARGE('Calc (scoring engine)'!$K$5:$K$521,4),'Calc (scoring engine)'!$K$5:$K$521,0))="","—",INDEX(Database!$AK$5:$AK$521,MATCH(LARGE('Calc (scoring engine)'!$K$5:$K$521,4),'Calc (scoring engine)'!$K$5:$K$521,0))),""))</f>
        <v/>
      </c>
      <c r="AI24" s="23">
        <f>IF(OR(4&gt;MAX(3,MIN(15,N($D$18))),IFERROR(LARGE('Calc (scoring engine)'!$K$5:$K$521,4),-999999)&lt;=-900000),"",IFERROR(IF(INDEX(Database!$AL$5:$AL$521,MATCH(LARGE('Calc (scoring engine)'!$K$5:$K$521,4),'Calc (scoring engine)'!$K$5:$K$521,0))="","—",INDEX(Database!$AL$5:$AL$521,MATCH(LARGE('Calc (scoring engine)'!$K$5:$K$521,4),'Calc (scoring engine)'!$K$5:$K$521,0))),""))</f>
        <v/>
      </c>
      <c r="AJ24" s="23">
        <f>IF(OR(4&gt;MAX(3,MIN(15,N($D$18))),IFERROR(LARGE('Calc (scoring engine)'!$K$5:$K$521,4),-999999)&lt;=-900000),"",IFERROR(IF(INDEX(Database!$AM$5:$AM$521,MATCH(LARGE('Calc (scoring engine)'!$K$5:$K$521,4),'Calc (scoring engine)'!$K$5:$K$521,0))="","—",INDEX(Database!$AM$5:$AM$521,MATCH(LARGE('Calc (scoring engine)'!$K$5:$K$521,4),'Calc (scoring engine)'!$K$5:$K$521,0))),""))</f>
        <v/>
      </c>
      <c r="AK24" s="23">
        <f>IF(OR(4&gt;MAX(3,MIN(15,N($D$18))),IFERROR(LARGE('Calc (scoring engine)'!$K$5:$K$521,4),-999999)&lt;=-900000),"",IFERROR(IF(INDEX(Database!$AN$5:$AN$521,MATCH(LARGE('Calc (scoring engine)'!$K$5:$K$521,4),'Calc (scoring engine)'!$K$5:$K$521,0))="","—",INDEX(Database!$AN$5:$AN$521,MATCH(LARGE('Calc (scoring engine)'!$K$5:$K$521,4),'Calc (scoring engine)'!$K$5:$K$521,0))),""))</f>
        <v/>
      </c>
      <c r="AL24" s="23">
        <f>IF(OR(4&gt;MAX(3,MIN(15,N($D$18))),IFERROR(LARGE('Calc (scoring engine)'!$K$5:$K$521,4),-999999)&lt;=-900000),"",IFERROR(IF(INDEX(Database!$AO$5:$AO$521,MATCH(LARGE('Calc (scoring engine)'!$K$5:$K$521,4),'Calc (scoring engine)'!$K$5:$K$521,0))="","—",INDEX(Database!$AO$5:$AO$521,MATCH(LARGE('Calc (scoring engine)'!$K$5:$K$521,4),'Calc (scoring engine)'!$K$5:$K$521,0))),""))</f>
        <v/>
      </c>
      <c r="AM24" s="23">
        <f>IF(OR(4&gt;MAX(3,MIN(15,N($D$18))),IFERROR(LARGE('Calc (scoring engine)'!$K$5:$K$521,4),-999999)&lt;=-900000),"",IFERROR(IF(INDEX(Database!$AP$5:$AP$521,MATCH(LARGE('Calc (scoring engine)'!$K$5:$K$521,4),'Calc (scoring engine)'!$K$5:$K$521,0))="","—",INDEX(Database!$AP$5:$AP$521,MATCH(LARGE('Calc (scoring engine)'!$K$5:$K$521,4),'Calc (scoring engine)'!$K$5:$K$521,0))),""))</f>
        <v/>
      </c>
      <c r="AN24" s="23">
        <f>IF(OR(4&gt;MAX(3,MIN(15,N($D$18))),IFERROR(LARGE('Calc (scoring engine)'!$K$5:$K$521,4),-999999)&lt;=-900000),"",IFERROR(IF(INDEX(Database!$AQ$5:$AQ$521,MATCH(LARGE('Calc (scoring engine)'!$K$5:$K$521,4),'Calc (scoring engine)'!$K$5:$K$521,0))="","—",INDEX(Database!$AQ$5:$AQ$521,MATCH(LARGE('Calc (scoring engine)'!$K$5:$K$521,4),'Calc (scoring engine)'!$K$5:$K$521,0))),""))</f>
        <v/>
      </c>
      <c r="AO24" s="23">
        <f>IF(OR(4&gt;MAX(3,MIN(15,N($D$18))),IFERROR(LARGE('Calc (scoring engine)'!$K$5:$K$521,4),-999999)&lt;=-900000),"",IFERROR(IF(INDEX(Database!$AR$5:$AR$521,MATCH(LARGE('Calc (scoring engine)'!$K$5:$K$521,4),'Calc (scoring engine)'!$K$5:$K$521,0))="","—",INDEX(Database!$AR$5:$AR$521,MATCH(LARGE('Calc (scoring engine)'!$K$5:$K$521,4),'Calc (scoring engine)'!$K$5:$K$521,0))),""))</f>
        <v/>
      </c>
      <c r="AP24" s="23">
        <f>IF(OR(4&gt;MAX(3,MIN(15,N($D$18))),IFERROR(LARGE('Calc (scoring engine)'!$K$5:$K$521,4),-999999)&lt;=-900000),"",IFERROR(IF(INDEX(Database!$AS$5:$AS$521,MATCH(LARGE('Calc (scoring engine)'!$K$5:$K$521,4),'Calc (scoring engine)'!$K$5:$K$521,0))="","—",INDEX(Database!$AS$5:$AS$521,MATCH(LARGE('Calc (scoring engine)'!$K$5:$K$521,4),'Calc (scoring engine)'!$K$5:$K$521,0))),""))</f>
        <v/>
      </c>
      <c r="AQ24" s="23">
        <f>IF(OR(4&gt;MAX(3,MIN(15,N($D$18))),IFERROR(LARGE('Calc (scoring engine)'!$K$5:$K$521,4),-999999)&lt;=-900000),"",IFERROR(IF(INDEX(Database!$AT$5:$AT$521,MATCH(LARGE('Calc (scoring engine)'!$K$5:$K$521,4),'Calc (scoring engine)'!$K$5:$K$521,0))="","—",INDEX(Database!$AT$5:$AT$521,MATCH(LARGE('Calc (scoring engine)'!$K$5:$K$521,4),'Calc (scoring engine)'!$K$5:$K$521,0))),""))</f>
        <v/>
      </c>
      <c r="AR24" s="23">
        <f>IF(OR(4&gt;MAX(3,MIN(15,N($D$18))),IFERROR(LARGE('Calc (scoring engine)'!$K$5:$K$521,4),-999999)&lt;=-900000),"",IFERROR(IF(INDEX(Database!$AU$5:$AU$521,MATCH(LARGE('Calc (scoring engine)'!$K$5:$K$521,4),'Calc (scoring engine)'!$K$5:$K$521,0))="","—",INDEX(Database!$AU$5:$AU$521,MATCH(LARGE('Calc (scoring engine)'!$K$5:$K$521,4),'Calc (scoring engine)'!$K$5:$K$521,0))),""))</f>
        <v/>
      </c>
      <c r="AS24" s="23">
        <f>IF(OR(4&gt;MAX(3,MIN(15,N($D$18))),IFERROR(LARGE('Calc (scoring engine)'!$K$5:$K$521,4),-999999)&lt;=-900000),"",IFERROR(IF(INDEX(Database!$AW$5:$AW$521,MATCH(LARGE('Calc (scoring engine)'!$K$5:$K$521,4),'Calc (scoring engine)'!$K$5:$K$521,0))="","—",INDEX(Database!$AW$5:$AW$521,MATCH(LARGE('Calc (scoring engine)'!$K$5:$K$521,4),'Calc (scoring engine)'!$K$5:$K$521,0))),""))</f>
        <v/>
      </c>
      <c r="AT24" s="19">
        <f>IF(OR(4&gt;MAX(3,MIN(15,N($D$18))),IFERROR(LARGE('Calc (scoring engine)'!$K$5:$K$521,4),-999999)&lt;=-900000),"",IFERROR(IF(INDEX(Database!$AY$5:$AY$521,MATCH(LARGE('Calc (scoring engine)'!$K$5:$K$521,4),'Calc (scoring engine)'!$K$5:$K$521,0))="","—",INDEX(Database!$AY$5:$AY$521,MATCH(LARGE('Calc (scoring engine)'!$K$5:$K$521,4),'Calc (scoring engine)'!$K$5:$K$521,0))),""))</f>
        <v/>
      </c>
      <c r="AU24" s="19">
        <f>IF(OR(4&gt;MAX(3,MIN(15,N($D$18))),IFERROR(LARGE('Calc (scoring engine)'!$K$5:$K$521,4),-999999)&lt;=-900000),"",IFERROR(IF(INDEX(Database!$AZ$5:$AZ$521,MATCH(LARGE('Calc (scoring engine)'!$K$5:$K$521,4),'Calc (scoring engine)'!$K$5:$K$521,0))="","—",INDEX(Database!$AZ$5:$AZ$521,MATCH(LARGE('Calc (scoring engine)'!$K$5:$K$521,4),'Calc (scoring engine)'!$K$5:$K$521,0))),""))</f>
        <v/>
      </c>
      <c r="AV24" s="10">
        <f>IF(OR(4&gt;MAX(3,MIN(15,N($D$18))),IFERROR(LARGE('Calc (scoring engine)'!$K$5:$K$521,4),-999999)&lt;=-900000),"",IFERROR(IF(INDEX(Database!$BA$5:$BA$521,MATCH(LARGE('Calc (scoring engine)'!$K$5:$K$521,4),'Calc (scoring engine)'!$K$5:$K$521,0))="","—",INDEX(Database!$BA$5:$BA$521,MATCH(LARGE('Calc (scoring engine)'!$K$5:$K$521,4),'Calc (scoring engine)'!$K$5:$K$521,0))),""))</f>
        <v/>
      </c>
      <c r="AW24" s="24">
        <f>IF(OR(4&gt;MAX(3,MIN(15,N($D$18))),IFERROR(LARGE('Calc (scoring engine)'!$K$5:$K$521,4),-999999)&lt;=-900000),"",IFERROR(IF(N(INDEX(Database!$BB$5:$BB$521,MATCH(LARGE('Calc (scoring engine)'!$K$5:$K$521,4),'Calc (scoring engine)'!$K$5:$K$521,0)))&lt;=0,IF(INDEX(Database!$BA$5:$BA$521,MATCH(LARGE('Calc (scoring engine)'!$K$5:$K$521,4),'Calc (scoring engine)'!$K$5:$K$521,0))="N","n/m","—"),INDEX(Database!$BB$5:$BB$521,MATCH(LARGE('Calc (scoring engine)'!$K$5:$K$521,4),'Calc (scoring engine)'!$K$5:$K$521,0))),""))</f>
        <v/>
      </c>
      <c r="AX24" s="24">
        <f>IF(OR(4&gt;MAX(3,MIN(15,N($D$18))),IFERROR(LARGE('Calc (scoring engine)'!$K$5:$K$521,4),-999999)&lt;=-900000),"",IFERROR(IF(INDEX(Database!$BC$5:$BC$521,MATCH(LARGE('Calc (scoring engine)'!$K$5:$K$521,4),'Calc (scoring engine)'!$K$5:$K$521,0))="","—",INDEX(Database!$BC$5:$BC$521,MATCH(LARGE('Calc (scoring engine)'!$K$5:$K$521,4),'Calc (scoring engine)'!$K$5:$K$521,0))),""))</f>
        <v/>
      </c>
      <c r="AY24" s="24">
        <f>IF(OR(4&gt;MAX(3,MIN(15,N($D$18))),IFERROR(LARGE('Calc (scoring engine)'!$K$5:$K$521,4),-999999)&lt;=-900000),"",IFERROR(IF(INDEX(Database!$BD$5:$BD$521,MATCH(LARGE('Calc (scoring engine)'!$K$5:$K$521,4),'Calc (scoring engine)'!$K$5:$K$521,0))="","—",INDEX(Database!$BD$5:$BD$521,MATCH(LARGE('Calc (scoring engine)'!$K$5:$K$521,4),'Calc (scoring engine)'!$K$5:$K$521,0))),""))</f>
        <v/>
      </c>
      <c r="AZ24" s="24">
        <f>IF(OR(4&gt;MAX(3,MIN(15,N($D$18))),IFERROR(LARGE('Calc (scoring engine)'!$K$5:$K$521,4),-999999)&lt;=-900000),"",IFERROR(IF(INDEX(Database!$BE$5:$BE$521,MATCH(LARGE('Calc (scoring engine)'!$K$5:$K$521,4),'Calc (scoring engine)'!$K$5:$K$521,0))="","—",INDEX(Database!$BE$5:$BE$521,MATCH(LARGE('Calc (scoring engine)'!$K$5:$K$521,4),'Calc (scoring engine)'!$K$5:$K$521,0))),""))</f>
        <v/>
      </c>
      <c r="BA24" s="24">
        <f>IF(OR(4&gt;MAX(3,MIN(15,N($D$18))),IFERROR(LARGE('Calc (scoring engine)'!$K$5:$K$521,4),-999999)&lt;=-900000),"",IFERROR(IF(INDEX(Database!$BF$5:$BF$521,MATCH(LARGE('Calc (scoring engine)'!$K$5:$K$521,4),'Calc (scoring engine)'!$K$5:$K$521,0))="","—",INDEX(Database!$BF$5:$BF$521,MATCH(LARGE('Calc (scoring engine)'!$K$5:$K$521,4),'Calc (scoring engine)'!$K$5:$K$521,0))),""))</f>
        <v/>
      </c>
      <c r="BB24" s="24">
        <f>IF(OR(4&gt;MAX(3,MIN(15,N($D$18))),IFERROR(LARGE('Calc (scoring engine)'!$K$5:$K$521,4),-999999)&lt;=-900000),"",IFERROR(IFERROR(BDP(TEXT(INDEX(Database!$A$5:$A$521,MATCH(LARGE('Calc (scoring engine)'!$K$5:$K$521,4),'Calc (scoring engine)'!$K$5:$K$521,0)),"0")&amp;" HK Equity","PE_RATIO"),IF(INDEX(Database!$BD$5:$BD$521,MATCH(LARGE('Calc (scoring engine)'!$K$5:$K$521,4),'Calc (scoring engine)'!$K$5:$K$521,0))="","—",INDEX(Database!$BD$5:$BD$521,MATCH(LARGE('Calc (scoring engine)'!$K$5:$K$521,4),'Calc (scoring engine)'!$K$5:$K$521,0)))),""))</f>
        <v/>
      </c>
      <c r="BC24" s="24">
        <f>IF(OR(4&gt;MAX(3,MIN(15,N($D$18))),IFERROR(LARGE('Calc (scoring engine)'!$K$5:$K$521,4),-999999)&lt;=-900000),"",IFERROR(IFERROR(BDP(TEXT(INDEX(Database!$A$5:$A$521,MATCH(LARGE('Calc (scoring engine)'!$K$5:$K$521,4),'Calc (scoring engine)'!$K$5:$K$521,0)),"0")&amp;" HK Equity","PX_TO_SALES_RATIO"),IF(INDEX(Database!$BE$5:$BE$521,MATCH(LARGE('Calc (scoring engine)'!$K$5:$K$521,4),'Calc (scoring engine)'!$K$5:$K$521,0))="","—",INDEX(Database!$BE$5:$BE$521,MATCH(LARGE('Calc (scoring engine)'!$K$5:$K$521,4),'Calc (scoring engine)'!$K$5:$K$521,0)))),""))</f>
        <v/>
      </c>
      <c r="BD24" s="10">
        <f>IF(OR(4&gt;MAX(3,MIN(15,N($D$18))),IFERROR(LARGE('Calc (scoring engine)'!$K$5:$K$521,4),-999999)&lt;=-900000),"",IFERROR(IF(INDEX(Database!$BG$5:$BG$521,MATCH(LARGE('Calc (scoring engine)'!$K$5:$K$521,4),'Calc (scoring engine)'!$K$5:$K$521,0))="","—",INDEX(Database!$BG$5:$BG$521,MATCH(LARGE('Calc (scoring engine)'!$K$5:$K$521,4),'Calc (scoring engine)'!$K$5:$K$521,0))),""))</f>
        <v/>
      </c>
      <c r="BE24" s="10">
        <f>IF(OR(4&gt;MAX(3,MIN(15,N($D$18))),IFERROR(LARGE('Calc (scoring engine)'!$K$5:$K$521,4),-999999)&lt;=-900000),"",IFERROR(IF(INDEX(Database!$BH$5:$BH$521,MATCH(LARGE('Calc (scoring engine)'!$K$5:$K$521,4),'Calc (scoring engine)'!$K$5:$K$521,0))="","—",INDEX(Database!$BH$5:$BH$521,MATCH(LARGE('Calc (scoring engine)'!$K$5:$K$521,4),'Calc (scoring engine)'!$K$5:$K$521,0))),""))</f>
        <v/>
      </c>
      <c r="BF24" s="23">
        <f>IF(OR(4&gt;MAX(3,MIN(15,N($D$18))),IFERROR(LARGE('Calc (scoring engine)'!$K$5:$K$521,4),-999999)&lt;=-900000),"",IFERROR(IF(INDEX(Database!$BI$5:$BI$521,MATCH(LARGE('Calc (scoring engine)'!$K$5:$K$521,4),'Calc (scoring engine)'!$K$5:$K$521,0))="","—",INDEX(Database!$BI$5:$BI$521,MATCH(LARGE('Calc (scoring engine)'!$K$5:$K$521,4),'Calc (scoring engine)'!$K$5:$K$521,0))),""))</f>
        <v/>
      </c>
      <c r="BG24" s="50">
        <f>IF(OR(4&gt;MAX(3,MIN(15,N($D$18))),IFERROR(LARGE('Calc (scoring engine)'!$K$5:$K$521,4),-999999)&lt;=-900000),"",IFERROR(IF(INDEX(Database!$BJ$5:$BJ$521,MATCH(LARGE('Calc (scoring engine)'!$K$5:$K$521,4),'Calc (scoring engine)'!$K$5:$K$521,0))="","—",INDEX(Database!$BJ$5:$BJ$521,MATCH(LARGE('Calc (scoring engine)'!$K$5:$K$521,4),'Calc (scoring engine)'!$K$5:$K$521,0))),""))</f>
        <v/>
      </c>
      <c r="BH24" s="53">
        <f>IF(OR(4&gt;MAX(3,MIN(15,N($D$18))),IFERROR(LARGE('Calc (scoring engine)'!$K$5:$K$521,4),-999999)&lt;=-900000),"",IFERROR(IF(INDEX(Database!$BK$5:$BK$521,MATCH(LARGE('Calc (scoring engine)'!$K$5:$K$521,4),'Calc (scoring engine)'!$K$5:$K$521,0))="","—",INDEX(Database!$BK$5:$BK$521,MATCH(LARGE('Calc (scoring engine)'!$K$5:$K$521,4),'Calc (scoring engine)'!$K$5:$K$521,0))),""))</f>
        <v/>
      </c>
      <c r="BI24" s="19">
        <f>IF(OR(4&gt;MAX(3,MIN(15,N($D$18))),IFERROR(LARGE('Calc (scoring engine)'!$K$5:$K$521,4),-999999)&lt;=-900000),"",IFERROR(IF(INDEX(Database!$BL$5:$BL$521,MATCH(LARGE('Calc (scoring engine)'!$K$5:$K$521,4),'Calc (scoring engine)'!$K$5:$K$521,0))="","—",INDEX(Database!$BL$5:$BL$521,MATCH(LARGE('Calc (scoring engine)'!$K$5:$K$521,4),'Calc (scoring engine)'!$K$5:$K$521,0))),""))</f>
        <v/>
      </c>
      <c r="BJ24" s="24">
        <f>IF(OR(4&gt;MAX(3,MIN(15,N($D$18))),IFERROR(LARGE('Calc (scoring engine)'!$K$5:$K$521,4),-999999)&lt;=-900000),"",IFERROR(IF(INDEX(Database!$BM$5:$BM$521,MATCH(LARGE('Calc (scoring engine)'!$K$5:$K$521,4),'Calc (scoring engine)'!$K$5:$K$521,0))="","—",INDEX(Database!$BM$5:$BM$521,MATCH(LARGE('Calc (scoring engine)'!$K$5:$K$521,4),'Calc (scoring engine)'!$K$5:$K$521,0))),""))</f>
        <v/>
      </c>
      <c r="BK24" s="24">
        <f>IF(OR(4&gt;MAX(3,MIN(15,N($D$18))),IFERROR(LARGE('Calc (scoring engine)'!$K$5:$K$521,4),-999999)&lt;=-900000),"",IFERROR(IF(INDEX(Database!$BN$5:$BN$521,MATCH(LARGE('Calc (scoring engine)'!$K$5:$K$521,4),'Calc (scoring engine)'!$K$5:$K$521,0))="","—",INDEX(Database!$BN$5:$BN$521,MATCH(LARGE('Calc (scoring engine)'!$K$5:$K$521,4),'Calc (scoring engine)'!$K$5:$K$521,0))),""))</f>
        <v/>
      </c>
      <c r="BL24" s="10">
        <f>IF(OR(4&gt;MAX(3,MIN(15,N($D$18))),IFERROR(LARGE('Calc (scoring engine)'!$K$5:$K$521,4),-999999)&lt;=-900000),"",IFERROR(IF(INDEX(Database!$BO$5:$BO$521,MATCH(LARGE('Calc (scoring engine)'!$K$5:$K$521,4),'Calc (scoring engine)'!$K$5:$K$521,0))="","—",INDEX(Database!$BO$5:$BO$521,MATCH(LARGE('Calc (scoring engine)'!$K$5:$K$521,4),'Calc (scoring engine)'!$K$5:$K$521,0))),""))</f>
        <v/>
      </c>
      <c r="BM24" s="10">
        <f>IF(OR(4&gt;MAX(3,MIN(15,N($D$18))),IFERROR(LARGE('Calc (scoring engine)'!$K$5:$K$521,4),-999999)&lt;=-900000),"",IFERROR(IF(INDEX(Database!$BQ$5:$BQ$521,MATCH(LARGE('Calc (scoring engine)'!$K$5:$K$521,4),'Calc (scoring engine)'!$K$5:$K$521,0))="","—",INDEX(Database!$BQ$5:$BQ$521,MATCH(LARGE('Calc (scoring engine)'!$K$5:$K$521,4),'Calc (scoring engine)'!$K$5:$K$521,0))),""))</f>
        <v/>
      </c>
      <c r="BN24" s="54">
        <f>IF(OR(4&gt;MAX(3,MIN(15,N($D$18))),IFERROR(LARGE('Calc (scoring engine)'!$K$5:$K$521,4),-999999)&lt;=-900000),"",IFERROR(IF(INDEX('Calc (scoring engine)'!$H$5:$H$521,MATCH(LARGE('Calc (scoring engine)'!$K$5:$K$521,4),'Calc (scoring engine)'!$K$5:$K$521,0))&gt;0,INDEX('Calc (scoring engine)'!$H$5:$H$521,MATCH(LARGE('Calc (scoring engine)'!$K$5:$K$521,4),'Calc (scoring engine)'!$K$5:$K$521,0)),""),""))</f>
        <v/>
      </c>
      <c r="BO24" s="10">
        <f>IF(OR(4&gt;MAX(3,MIN(15,N($D$18))),IFERROR(LARGE('Calc (scoring engine)'!$K$5:$K$521,4),-999999)&lt;=-900000),"",IF(IFERROR(INDEX('Calc (scoring engine)'!$B$5:$B$521,MATCH(LARGE('Calc (scoring engine)'!$K$5:$K$521,4),'Calc (scoring engine)'!$K$5:$K$521,0)),0)=1,"same subsector","sector only"))</f>
        <v/>
      </c>
      <c r="BP24" s="54">
        <f>IF(OR(4&gt;MAX(3,MIN(15,N($D$18))),IFERROR(LARGE('Calc (scoring engine)'!$K$5:$K$521,4),-999999)&lt;=-900000),"",ROUND(IFERROR(LARGE('Calc (scoring engine)'!$K$5:$K$521,4),0),0))</f>
        <v/>
      </c>
      <c r="BQ24" s="10">
        <f>IF(OR(4&gt;MAX(3,MIN(15,N($D$18))),IFERROR(LARGE('Calc (scoring engine)'!$K$5:$K$521,4),-999999)&lt;=-900000),"",IFERROR("sub "&amp;INDEX('Calc (scoring engine)'!$B$5:$B$521,MATCH(LARGE('Calc (scoring engine)'!$K$5:$K$521,4),'Calc (scoring engine)'!$K$5:$K$521,0))*W_SUB&amp;" + size "&amp;ROUND(INDEX('Calc (scoring engine)'!$D$5:$D$521,MATCH(LARGE('Calc (scoring engine)'!$K$5:$K$521,4),'Calc (scoring engine)'!$K$5:$K$521,0))*W_SIZE,0)&amp;" + prof "&amp;INDEX('Calc (scoring engine)'!$E$5:$E$521,MATCH(LARGE('Calc (scoring engine)'!$K$5:$K$521,4),'Calc (scoring engine)'!$K$5:$K$521,0))*W_PROF&amp;" + recency "&amp;ROUND(INDEX('Calc (scoring engine)'!$G$5:$G$521,MATCH(LARGE('Calc (scoring engine)'!$K$5:$K$521,4),'Calc (scoring engine)'!$K$5:$K$521,0))*W_REC,0)&amp;IF(INDEX('Calc (scoring engine)'!$H$5:$H$521,MATCH(LARGE('Calc (scoring engine)'!$K$5:$K$521,4),'Calc (scoring engine)'!$K$5:$K$521,0))&gt;0," + shared CS x"&amp;INDEX('Calc (scoring engine)'!$H$5:$H$521,MATCH(LARGE('Calc (scoring engine)'!$K$5:$K$521,4),'Calc (scoring engine)'!$K$5:$K$521,0)),""),""))</f>
        <v/>
      </c>
    </row>
    <row r="25">
      <c r="A25" s="48">
        <f>IF(OR(5&gt;MAX(3,MIN(15,N($D$18))),IFERROR(LARGE('Calc (scoring engine)'!$K$5:$K$521,5),-999999)&lt;=-900000),"",5)</f>
        <v/>
      </c>
      <c r="B25" s="10">
        <f>IF(OR(5&gt;MAX(3,MIN(15,N($D$18))),IFERROR(LARGE('Calc (scoring engine)'!$K$5:$K$521,5),-999999)&lt;=-900000),"",IFERROR(IF(INDEX(Database!$B$5:$B$521,MATCH(LARGE('Calc (scoring engine)'!$K$5:$K$521,5),'Calc (scoring engine)'!$K$5:$K$521,0))="","—",INDEX(Database!$B$5:$B$521,MATCH(LARGE('Calc (scoring engine)'!$K$5:$K$521,5),'Calc (scoring engine)'!$K$5:$K$521,0))),""))</f>
        <v/>
      </c>
      <c r="C25" s="49">
        <f>IF(OR(5&gt;MAX(3,MIN(15,N($D$18))),IFERROR(LARGE('Calc (scoring engine)'!$K$5:$K$521,5),-999999)&lt;=-900000),"",IFERROR(IF(INDEX(Database!$A$5:$A$521,MATCH(LARGE('Calc (scoring engine)'!$K$5:$K$521,5),'Calc (scoring engine)'!$K$5:$K$521,0))="","—",INDEX(Database!$A$5:$A$521,MATCH(LARGE('Calc (scoring engine)'!$K$5:$K$521,5),'Calc (scoring engine)'!$K$5:$K$521,0))),""))</f>
        <v/>
      </c>
      <c r="D25" s="10">
        <f>IF(OR(5&gt;MAX(3,MIN(15,N($D$18))),IFERROR(LARGE('Calc (scoring engine)'!$K$5:$K$521,5),-999999)&lt;=-900000),"",IFERROR(IF(INDEX(Database!$D$5:$D$521,MATCH(LARGE('Calc (scoring engine)'!$K$5:$K$521,5),'Calc (scoring engine)'!$K$5:$K$521,0))="","—",INDEX(Database!$D$5:$D$521,MATCH(LARGE('Calc (scoring engine)'!$K$5:$K$521,5),'Calc (scoring engine)'!$K$5:$K$521,0))),""))</f>
        <v/>
      </c>
      <c r="E25" s="10">
        <f>IF(OR(5&gt;MAX(3,MIN(15,N($D$18))),IFERROR(LARGE('Calc (scoring engine)'!$K$5:$K$521,5),-999999)&lt;=-900000),"",IFERROR(IF(INDEX(Database!$E$5:$E$521,MATCH(LARGE('Calc (scoring engine)'!$K$5:$K$521,5),'Calc (scoring engine)'!$K$5:$K$521,0))="","—",INDEX(Database!$E$5:$E$521,MATCH(LARGE('Calc (scoring engine)'!$K$5:$K$521,5),'Calc (scoring engine)'!$K$5:$K$521,0))),""))</f>
        <v/>
      </c>
      <c r="F25" s="10">
        <f>IF(OR(5&gt;MAX(3,MIN(15,N($D$18))),IFERROR(LARGE('Calc (scoring engine)'!$K$5:$K$521,5),-999999)&lt;=-900000),"",IFERROR(IF(INDEX(Database!$F$5:$F$521,MATCH(LARGE('Calc (scoring engine)'!$K$5:$K$521,5),'Calc (scoring engine)'!$K$5:$K$521,0))="","—",INDEX(Database!$F$5:$F$521,MATCH(LARGE('Calc (scoring engine)'!$K$5:$K$521,5),'Calc (scoring engine)'!$K$5:$K$521,0))),""))</f>
        <v/>
      </c>
      <c r="G25" s="10">
        <f>IF(OR(5&gt;MAX(3,MIN(15,N($D$18))),IFERROR(LARGE('Calc (scoring engine)'!$K$5:$K$521,5),-999999)&lt;=-900000),"",IFERROR(IF(INDEX(Database!$G$5:$G$521,MATCH(LARGE('Calc (scoring engine)'!$K$5:$K$521,5),'Calc (scoring engine)'!$K$5:$K$521,0))="","—",INDEX(Database!$G$5:$G$521,MATCH(LARGE('Calc (scoring engine)'!$K$5:$K$521,5),'Calc (scoring engine)'!$K$5:$K$521,0))),""))</f>
        <v/>
      </c>
      <c r="H25" s="21">
        <f>IF(OR(5&gt;MAX(3,MIN(15,N($D$18))),IFERROR(LARGE('Calc (scoring engine)'!$K$5:$K$521,5),-999999)&lt;=-900000),"",IFERROR(IF(INDEX(Database!$H$5:$H$521,MATCH(LARGE('Calc (scoring engine)'!$K$5:$K$521,5),'Calc (scoring engine)'!$K$5:$K$521,0))="","—",INDEX(Database!$H$5:$H$521,MATCH(LARGE('Calc (scoring engine)'!$K$5:$K$521,5),'Calc (scoring engine)'!$K$5:$K$521,0))),""))</f>
        <v/>
      </c>
      <c r="I25" s="19">
        <f>IF(OR(5&gt;MAX(3,MIN(15,N($D$18))),IFERROR(LARGE('Calc (scoring engine)'!$K$5:$K$521,5),-999999)&lt;=-900000),"",IFERROR(IF(INDEX(Database!$I$5:$I$521,MATCH(LARGE('Calc (scoring engine)'!$K$5:$K$521,5),'Calc (scoring engine)'!$K$5:$K$521,0))="","—",INDEX(Database!$I$5:$I$521,MATCH(LARGE('Calc (scoring engine)'!$K$5:$K$521,5),'Calc (scoring engine)'!$K$5:$K$521,0))),""))</f>
        <v/>
      </c>
      <c r="J25" s="50">
        <f>IF(OR(5&gt;MAX(3,MIN(15,N($D$18))),IFERROR(LARGE('Calc (scoring engine)'!$K$5:$K$521,5),-999999)&lt;=-900000),"",IFERROR(IF(INDEX(Database!$K$5:$K$521,MATCH(LARGE('Calc (scoring engine)'!$K$5:$K$521,5),'Calc (scoring engine)'!$K$5:$K$521,0))="","—",INDEX(Database!$K$5:$K$521,MATCH(LARGE('Calc (scoring engine)'!$K$5:$K$521,5),'Calc (scoring engine)'!$K$5:$K$521,0))),""))</f>
        <v/>
      </c>
      <c r="K25" s="50">
        <f>IF(OR(5&gt;MAX(3,MIN(15,N($D$18))),IFERROR(LARGE('Calc (scoring engine)'!$K$5:$K$521,5),-999999)&lt;=-900000),"",IFERROR(IF(INDEX(Database!$L$5:$L$521,MATCH(LARGE('Calc (scoring engine)'!$K$5:$K$521,5),'Calc (scoring engine)'!$K$5:$K$521,0))="","—",INDEX(Database!$L$5:$L$521,MATCH(LARGE('Calc (scoring engine)'!$K$5:$K$521,5),'Calc (scoring engine)'!$K$5:$K$521,0))),""))</f>
        <v/>
      </c>
      <c r="L25" s="50">
        <f>IF(OR(5&gt;MAX(3,MIN(15,N($D$18))),IFERROR(LARGE('Calc (scoring engine)'!$K$5:$K$521,5),-999999)&lt;=-900000),"",IFERROR(IF(INDEX(Database!$M$5:$M$521,MATCH(LARGE('Calc (scoring engine)'!$K$5:$K$521,5),'Calc (scoring engine)'!$K$5:$K$521,0))="","—",INDEX(Database!$M$5:$M$521,MATCH(LARGE('Calc (scoring engine)'!$K$5:$K$521,5),'Calc (scoring engine)'!$K$5:$K$521,0))),""))</f>
        <v/>
      </c>
      <c r="M25" s="10">
        <f>IF(OR(5&gt;MAX(3,MIN(15,N($D$18))),IFERROR(LARGE('Calc (scoring engine)'!$K$5:$K$521,5),-999999)&lt;=-900000),"",IFERROR(IF(INDEX(Database!$N$5:$N$521,MATCH(LARGE('Calc (scoring engine)'!$K$5:$K$521,5),'Calc (scoring engine)'!$K$5:$K$521,0))="","—",INDEX(Database!$N$5:$N$521,MATCH(LARGE('Calc (scoring engine)'!$K$5:$K$521,5),'Calc (scoring engine)'!$K$5:$K$521,0))),""))</f>
        <v/>
      </c>
      <c r="N25" s="31">
        <f>IF(OR(5&gt;MAX(3,MIN(15,N($D$18))),IFERROR(LARGE('Calc (scoring engine)'!$K$5:$K$521,5),-999999)&lt;=-900000),"",IFERROR(IF(INDEX(Database!$O$5:$O$521,MATCH(LARGE('Calc (scoring engine)'!$K$5:$K$521,5),'Calc (scoring engine)'!$K$5:$K$521,0))="","—",INDEX(Database!$O$5:$O$521,MATCH(LARGE('Calc (scoring engine)'!$K$5:$K$521,5),'Calc (scoring engine)'!$K$5:$K$521,0))),""))</f>
        <v/>
      </c>
      <c r="O25" s="31">
        <f>IF(OR(5&gt;MAX(3,MIN(15,N($D$18))),IFERROR(LARGE('Calc (scoring engine)'!$K$5:$K$521,5),-999999)&lt;=-900000),"",IFERROR(IF(INDEX(Database!$P$5:$P$521,MATCH(LARGE('Calc (scoring engine)'!$K$5:$K$521,5),'Calc (scoring engine)'!$K$5:$K$521,0))="","—",INDEX(Database!$P$5:$P$521,MATCH(LARGE('Calc (scoring engine)'!$K$5:$K$521,5),'Calc (scoring engine)'!$K$5:$K$521,0))),""))</f>
        <v/>
      </c>
      <c r="P25" s="19">
        <f>IF(OR(5&gt;MAX(3,MIN(15,N($D$18))),IFERROR(LARGE('Calc (scoring engine)'!$K$5:$K$521,5),-999999)&lt;=-900000),"",IFERROR(IF(INDEX(Database!$Q$5:$Q$521,MATCH(LARGE('Calc (scoring engine)'!$K$5:$K$521,5),'Calc (scoring engine)'!$K$5:$K$521,0))="","—",INDEX(Database!$Q$5:$Q$521,MATCH(LARGE('Calc (scoring engine)'!$K$5:$K$521,5),'Calc (scoring engine)'!$K$5:$K$521,0))),""))</f>
        <v/>
      </c>
      <c r="Q25" s="26">
        <f>IF(OR(5&gt;MAX(3,MIN(15,N($D$18))),IFERROR(LARGE('Calc (scoring engine)'!$K$5:$K$521,5),-999999)&lt;=-900000),"",IFERROR(IF(INDEX(Database!$S$5:$S$521,MATCH(LARGE('Calc (scoring engine)'!$K$5:$K$521,5),'Calc (scoring engine)'!$K$5:$K$521,0))="","—",INDEX(Database!$S$5:$S$521,MATCH(LARGE('Calc (scoring engine)'!$K$5:$K$521,5),'Calc (scoring engine)'!$K$5:$K$521,0))),""))</f>
        <v/>
      </c>
      <c r="R25" s="51">
        <f>IF(OR(5&gt;MAX(3,MIN(15,N($D$18))),IFERROR(LARGE('Calc (scoring engine)'!$K$5:$K$521,5),-999999)&lt;=-900000),"",IFERROR(IF(INDEX(Database!$T$5:$T$521,MATCH(LARGE('Calc (scoring engine)'!$K$5:$K$521,5),'Calc (scoring engine)'!$K$5:$K$521,0))="","—",INDEX(Database!$T$5:$T$521,MATCH(LARGE('Calc (scoring engine)'!$K$5:$K$521,5),'Calc (scoring engine)'!$K$5:$K$521,0))),""))</f>
        <v/>
      </c>
      <c r="S25" s="52">
        <f>IF(OR(5&gt;MAX(3,MIN(15,N($D$18))),IFERROR(LARGE('Calc (scoring engine)'!$K$5:$K$521,5),-999999)&lt;=-900000),"",IFERROR(IF(INDEX(Database!$U$5:$U$521,MATCH(LARGE('Calc (scoring engine)'!$K$5:$K$521,5),'Calc (scoring engine)'!$K$5:$K$521,0))="","—",INDEX(Database!$U$5:$U$521,MATCH(LARGE('Calc (scoring engine)'!$K$5:$K$521,5),'Calc (scoring engine)'!$K$5:$K$521,0))),""))</f>
        <v/>
      </c>
      <c r="T25" s="19">
        <f>IF(OR(5&gt;MAX(3,MIN(15,N($D$18))),IFERROR(LARGE('Calc (scoring engine)'!$K$5:$K$521,5),-999999)&lt;=-900000),"",IFERROR(IF(INDEX(Database!$V$5:$V$521,MATCH(LARGE('Calc (scoring engine)'!$K$5:$K$521,5),'Calc (scoring engine)'!$K$5:$K$521,0))="","—",INDEX(Database!$V$5:$V$521,MATCH(LARGE('Calc (scoring engine)'!$K$5:$K$521,5),'Calc (scoring engine)'!$K$5:$K$521,0))),""))</f>
        <v/>
      </c>
      <c r="U25" s="19">
        <f>IF(OR(5&gt;MAX(3,MIN(15,N($D$18))),IFERROR(LARGE('Calc (scoring engine)'!$K$5:$K$521,5),-999999)&lt;=-900000),"",IFERROR(IF(INDEX(Database!$W$5:$W$521,MATCH(LARGE('Calc (scoring engine)'!$K$5:$K$521,5),'Calc (scoring engine)'!$K$5:$K$521,0))="","—",INDEX(Database!$W$5:$W$521,MATCH(LARGE('Calc (scoring engine)'!$K$5:$K$521,5),'Calc (scoring engine)'!$K$5:$K$521,0))),""))</f>
        <v/>
      </c>
      <c r="V25" s="31">
        <f>IF(OR(5&gt;MAX(3,MIN(15,N($D$18))),IFERROR(LARGE('Calc (scoring engine)'!$K$5:$K$521,5),-999999)&lt;=-900000),"",IFERROR(IF(INDEX(Database!$X$5:$X$521,MATCH(LARGE('Calc (scoring engine)'!$K$5:$K$521,5),'Calc (scoring engine)'!$K$5:$K$521,0))="","—",INDEX(Database!$X$5:$X$521,MATCH(LARGE('Calc (scoring engine)'!$K$5:$K$521,5),'Calc (scoring engine)'!$K$5:$K$521,0))),""))</f>
        <v/>
      </c>
      <c r="W25" s="10">
        <f>IF(OR(5&gt;MAX(3,MIN(15,N($D$18))),IFERROR(LARGE('Calc (scoring engine)'!$K$5:$K$521,5),-999999)&lt;=-900000),"",IFERROR(IF(INDEX(Database!$Y$5:$Y$521,MATCH(LARGE('Calc (scoring engine)'!$K$5:$K$521,5),'Calc (scoring engine)'!$K$5:$K$521,0))="","—",INDEX(Database!$Y$5:$Y$521,MATCH(LARGE('Calc (scoring engine)'!$K$5:$K$521,5),'Calc (scoring engine)'!$K$5:$K$521,0))),""))</f>
        <v/>
      </c>
      <c r="X25" s="31">
        <f>IF(OR(5&gt;MAX(3,MIN(15,N($D$18))),IFERROR(LARGE('Calc (scoring engine)'!$K$5:$K$521,5),-999999)&lt;=-900000),"",IFERROR(IF(INDEX(Database!$AA$5:$AA$521,MATCH(LARGE('Calc (scoring engine)'!$K$5:$K$521,5),'Calc (scoring engine)'!$K$5:$K$521,0))="","—",INDEX(Database!$AA$5:$AA$521,MATCH(LARGE('Calc (scoring engine)'!$K$5:$K$521,5),'Calc (scoring engine)'!$K$5:$K$521,0))),""))</f>
        <v/>
      </c>
      <c r="Y25" s="10">
        <f>IF(OR(5&gt;MAX(3,MIN(15,N($D$18))),IFERROR(LARGE('Calc (scoring engine)'!$K$5:$K$521,5),-999999)&lt;=-900000),"",IFERROR(IF(INDEX(Database!$AB$5:$AB$521,MATCH(LARGE('Calc (scoring engine)'!$K$5:$K$521,5),'Calc (scoring engine)'!$K$5:$K$521,0))="","—",INDEX(Database!$AB$5:$AB$521,MATCH(LARGE('Calc (scoring engine)'!$K$5:$K$521,5),'Calc (scoring engine)'!$K$5:$K$521,0))),""))</f>
        <v/>
      </c>
      <c r="Z25" s="10">
        <f>IF(OR(5&gt;MAX(3,MIN(15,N($D$18))),IFERROR(LARGE('Calc (scoring engine)'!$K$5:$K$521,5),-999999)&lt;=-900000),"",IFERROR(IF(INDEX(Database!$AC$5:$AC$521,MATCH(LARGE('Calc (scoring engine)'!$K$5:$K$521,5),'Calc (scoring engine)'!$K$5:$K$521,0))="","—",INDEX(Database!$AC$5:$AC$521,MATCH(LARGE('Calc (scoring engine)'!$K$5:$K$521,5),'Calc (scoring engine)'!$K$5:$K$521,0))),""))</f>
        <v/>
      </c>
      <c r="AA25" s="10">
        <f>IF(OR(5&gt;MAX(3,MIN(15,N($D$18))),IFERROR(LARGE('Calc (scoring engine)'!$K$5:$K$521,5),-999999)&lt;=-900000),"",IFERROR(IF(INDEX(Database!$AD$5:$AD$521,MATCH(LARGE('Calc (scoring engine)'!$K$5:$K$521,5),'Calc (scoring engine)'!$K$5:$K$521,0))="","—",INDEX(Database!$AD$5:$AD$521,MATCH(LARGE('Calc (scoring engine)'!$K$5:$K$521,5),'Calc (scoring engine)'!$K$5:$K$521,0))),""))</f>
        <v/>
      </c>
      <c r="AB25" s="10">
        <f>IF(OR(5&gt;MAX(3,MIN(15,N($D$18))),IFERROR(LARGE('Calc (scoring engine)'!$K$5:$K$521,5),-999999)&lt;=-900000),"",IFERROR(IF(INDEX(Database!$AE$5:$AE$521,MATCH(LARGE('Calc (scoring engine)'!$K$5:$K$521,5),'Calc (scoring engine)'!$K$5:$K$521,0))="","—",INDEX(Database!$AE$5:$AE$521,MATCH(LARGE('Calc (scoring engine)'!$K$5:$K$521,5),'Calc (scoring engine)'!$K$5:$K$521,0))),""))</f>
        <v/>
      </c>
      <c r="AC25" s="23">
        <f>IF(OR(5&gt;MAX(3,MIN(15,N($D$18))),IFERROR(LARGE('Calc (scoring engine)'!$K$5:$K$521,5),-999999)&lt;=-900000),"",IFERROR(IF(INDEX(Database!$AF$5:$AF$521,MATCH(LARGE('Calc (scoring engine)'!$K$5:$K$521,5),'Calc (scoring engine)'!$K$5:$K$521,0))="","—",INDEX(Database!$AF$5:$AF$521,MATCH(LARGE('Calc (scoring engine)'!$K$5:$K$521,5),'Calc (scoring engine)'!$K$5:$K$521,0))),""))</f>
        <v/>
      </c>
      <c r="AD25" s="23">
        <f>IF(OR(5&gt;MAX(3,MIN(15,N($D$18))),IFERROR(LARGE('Calc (scoring engine)'!$K$5:$K$521,5),-999999)&lt;=-900000),"",IFERROR(IF(INDEX(Database!$AG$5:$AG$521,MATCH(LARGE('Calc (scoring engine)'!$K$5:$K$521,5),'Calc (scoring engine)'!$K$5:$K$521,0))="","—",INDEX(Database!$AG$5:$AG$521,MATCH(LARGE('Calc (scoring engine)'!$K$5:$K$521,5),'Calc (scoring engine)'!$K$5:$K$521,0))),""))</f>
        <v/>
      </c>
      <c r="AE25" s="23">
        <f>IF(OR(5&gt;MAX(3,MIN(15,N($D$18))),IFERROR(LARGE('Calc (scoring engine)'!$K$5:$K$521,5),-999999)&lt;=-900000),"",IFERROR(IF(INDEX(Database!$AH$5:$AH$521,MATCH(LARGE('Calc (scoring engine)'!$K$5:$K$521,5),'Calc (scoring engine)'!$K$5:$K$521,0))="","—",INDEX(Database!$AH$5:$AH$521,MATCH(LARGE('Calc (scoring engine)'!$K$5:$K$521,5),'Calc (scoring engine)'!$K$5:$K$521,0))),""))</f>
        <v/>
      </c>
      <c r="AF25" s="23">
        <f>IF(OR(5&gt;MAX(3,MIN(15,N($D$18))),IFERROR(LARGE('Calc (scoring engine)'!$K$5:$K$521,5),-999999)&lt;=-900000),"",IFERROR(IF(INDEX(Database!$AI$5:$AI$521,MATCH(LARGE('Calc (scoring engine)'!$K$5:$K$521,5),'Calc (scoring engine)'!$K$5:$K$521,0))="","—",INDEX(Database!$AI$5:$AI$521,MATCH(LARGE('Calc (scoring engine)'!$K$5:$K$521,5),'Calc (scoring engine)'!$K$5:$K$521,0))),""))</f>
        <v/>
      </c>
      <c r="AG25" s="23">
        <f>IF(OR(5&gt;MAX(3,MIN(15,N($D$18))),IFERROR(LARGE('Calc (scoring engine)'!$K$5:$K$521,5),-999999)&lt;=-900000),"",IFERROR(IF(INDEX(Database!$AJ$5:$AJ$521,MATCH(LARGE('Calc (scoring engine)'!$K$5:$K$521,5),'Calc (scoring engine)'!$K$5:$K$521,0))="","—",INDEX(Database!$AJ$5:$AJ$521,MATCH(LARGE('Calc (scoring engine)'!$K$5:$K$521,5),'Calc (scoring engine)'!$K$5:$K$521,0))),""))</f>
        <v/>
      </c>
      <c r="AH25" s="23">
        <f>IF(OR(5&gt;MAX(3,MIN(15,N($D$18))),IFERROR(LARGE('Calc (scoring engine)'!$K$5:$K$521,5),-999999)&lt;=-900000),"",IFERROR(IF(INDEX(Database!$AK$5:$AK$521,MATCH(LARGE('Calc (scoring engine)'!$K$5:$K$521,5),'Calc (scoring engine)'!$K$5:$K$521,0))="","—",INDEX(Database!$AK$5:$AK$521,MATCH(LARGE('Calc (scoring engine)'!$K$5:$K$521,5),'Calc (scoring engine)'!$K$5:$K$521,0))),""))</f>
        <v/>
      </c>
      <c r="AI25" s="23">
        <f>IF(OR(5&gt;MAX(3,MIN(15,N($D$18))),IFERROR(LARGE('Calc (scoring engine)'!$K$5:$K$521,5),-999999)&lt;=-900000),"",IFERROR(IF(INDEX(Database!$AL$5:$AL$521,MATCH(LARGE('Calc (scoring engine)'!$K$5:$K$521,5),'Calc (scoring engine)'!$K$5:$K$521,0))="","—",INDEX(Database!$AL$5:$AL$521,MATCH(LARGE('Calc (scoring engine)'!$K$5:$K$521,5),'Calc (scoring engine)'!$K$5:$K$521,0))),""))</f>
        <v/>
      </c>
      <c r="AJ25" s="23">
        <f>IF(OR(5&gt;MAX(3,MIN(15,N($D$18))),IFERROR(LARGE('Calc (scoring engine)'!$K$5:$K$521,5),-999999)&lt;=-900000),"",IFERROR(IF(INDEX(Database!$AM$5:$AM$521,MATCH(LARGE('Calc (scoring engine)'!$K$5:$K$521,5),'Calc (scoring engine)'!$K$5:$K$521,0))="","—",INDEX(Database!$AM$5:$AM$521,MATCH(LARGE('Calc (scoring engine)'!$K$5:$K$521,5),'Calc (scoring engine)'!$K$5:$K$521,0))),""))</f>
        <v/>
      </c>
      <c r="AK25" s="23">
        <f>IF(OR(5&gt;MAX(3,MIN(15,N($D$18))),IFERROR(LARGE('Calc (scoring engine)'!$K$5:$K$521,5),-999999)&lt;=-900000),"",IFERROR(IF(INDEX(Database!$AN$5:$AN$521,MATCH(LARGE('Calc (scoring engine)'!$K$5:$K$521,5),'Calc (scoring engine)'!$K$5:$K$521,0))="","—",INDEX(Database!$AN$5:$AN$521,MATCH(LARGE('Calc (scoring engine)'!$K$5:$K$521,5),'Calc (scoring engine)'!$K$5:$K$521,0))),""))</f>
        <v/>
      </c>
      <c r="AL25" s="23">
        <f>IF(OR(5&gt;MAX(3,MIN(15,N($D$18))),IFERROR(LARGE('Calc (scoring engine)'!$K$5:$K$521,5),-999999)&lt;=-900000),"",IFERROR(IF(INDEX(Database!$AO$5:$AO$521,MATCH(LARGE('Calc (scoring engine)'!$K$5:$K$521,5),'Calc (scoring engine)'!$K$5:$K$521,0))="","—",INDEX(Database!$AO$5:$AO$521,MATCH(LARGE('Calc (scoring engine)'!$K$5:$K$521,5),'Calc (scoring engine)'!$K$5:$K$521,0))),""))</f>
        <v/>
      </c>
      <c r="AM25" s="23">
        <f>IF(OR(5&gt;MAX(3,MIN(15,N($D$18))),IFERROR(LARGE('Calc (scoring engine)'!$K$5:$K$521,5),-999999)&lt;=-900000),"",IFERROR(IF(INDEX(Database!$AP$5:$AP$521,MATCH(LARGE('Calc (scoring engine)'!$K$5:$K$521,5),'Calc (scoring engine)'!$K$5:$K$521,0))="","—",INDEX(Database!$AP$5:$AP$521,MATCH(LARGE('Calc (scoring engine)'!$K$5:$K$521,5),'Calc (scoring engine)'!$K$5:$K$521,0))),""))</f>
        <v/>
      </c>
      <c r="AN25" s="23">
        <f>IF(OR(5&gt;MAX(3,MIN(15,N($D$18))),IFERROR(LARGE('Calc (scoring engine)'!$K$5:$K$521,5),-999999)&lt;=-900000),"",IFERROR(IF(INDEX(Database!$AQ$5:$AQ$521,MATCH(LARGE('Calc (scoring engine)'!$K$5:$K$521,5),'Calc (scoring engine)'!$K$5:$K$521,0))="","—",INDEX(Database!$AQ$5:$AQ$521,MATCH(LARGE('Calc (scoring engine)'!$K$5:$K$521,5),'Calc (scoring engine)'!$K$5:$K$521,0))),""))</f>
        <v/>
      </c>
      <c r="AO25" s="23">
        <f>IF(OR(5&gt;MAX(3,MIN(15,N($D$18))),IFERROR(LARGE('Calc (scoring engine)'!$K$5:$K$521,5),-999999)&lt;=-900000),"",IFERROR(IF(INDEX(Database!$AR$5:$AR$521,MATCH(LARGE('Calc (scoring engine)'!$K$5:$K$521,5),'Calc (scoring engine)'!$K$5:$K$521,0))="","—",INDEX(Database!$AR$5:$AR$521,MATCH(LARGE('Calc (scoring engine)'!$K$5:$K$521,5),'Calc (scoring engine)'!$K$5:$K$521,0))),""))</f>
        <v/>
      </c>
      <c r="AP25" s="23">
        <f>IF(OR(5&gt;MAX(3,MIN(15,N($D$18))),IFERROR(LARGE('Calc (scoring engine)'!$K$5:$K$521,5),-999999)&lt;=-900000),"",IFERROR(IF(INDEX(Database!$AS$5:$AS$521,MATCH(LARGE('Calc (scoring engine)'!$K$5:$K$521,5),'Calc (scoring engine)'!$K$5:$K$521,0))="","—",INDEX(Database!$AS$5:$AS$521,MATCH(LARGE('Calc (scoring engine)'!$K$5:$K$521,5),'Calc (scoring engine)'!$K$5:$K$521,0))),""))</f>
        <v/>
      </c>
      <c r="AQ25" s="23">
        <f>IF(OR(5&gt;MAX(3,MIN(15,N($D$18))),IFERROR(LARGE('Calc (scoring engine)'!$K$5:$K$521,5),-999999)&lt;=-900000),"",IFERROR(IF(INDEX(Database!$AT$5:$AT$521,MATCH(LARGE('Calc (scoring engine)'!$K$5:$K$521,5),'Calc (scoring engine)'!$K$5:$K$521,0))="","—",INDEX(Database!$AT$5:$AT$521,MATCH(LARGE('Calc (scoring engine)'!$K$5:$K$521,5),'Calc (scoring engine)'!$K$5:$K$521,0))),""))</f>
        <v/>
      </c>
      <c r="AR25" s="23">
        <f>IF(OR(5&gt;MAX(3,MIN(15,N($D$18))),IFERROR(LARGE('Calc (scoring engine)'!$K$5:$K$521,5),-999999)&lt;=-900000),"",IFERROR(IF(INDEX(Database!$AU$5:$AU$521,MATCH(LARGE('Calc (scoring engine)'!$K$5:$K$521,5),'Calc (scoring engine)'!$K$5:$K$521,0))="","—",INDEX(Database!$AU$5:$AU$521,MATCH(LARGE('Calc (scoring engine)'!$K$5:$K$521,5),'Calc (scoring engine)'!$K$5:$K$521,0))),""))</f>
        <v/>
      </c>
      <c r="AS25" s="23">
        <f>IF(OR(5&gt;MAX(3,MIN(15,N($D$18))),IFERROR(LARGE('Calc (scoring engine)'!$K$5:$K$521,5),-999999)&lt;=-900000),"",IFERROR(IF(INDEX(Database!$AW$5:$AW$521,MATCH(LARGE('Calc (scoring engine)'!$K$5:$K$521,5),'Calc (scoring engine)'!$K$5:$K$521,0))="","—",INDEX(Database!$AW$5:$AW$521,MATCH(LARGE('Calc (scoring engine)'!$K$5:$K$521,5),'Calc (scoring engine)'!$K$5:$K$521,0))),""))</f>
        <v/>
      </c>
      <c r="AT25" s="19">
        <f>IF(OR(5&gt;MAX(3,MIN(15,N($D$18))),IFERROR(LARGE('Calc (scoring engine)'!$K$5:$K$521,5),-999999)&lt;=-900000),"",IFERROR(IF(INDEX(Database!$AY$5:$AY$521,MATCH(LARGE('Calc (scoring engine)'!$K$5:$K$521,5),'Calc (scoring engine)'!$K$5:$K$521,0))="","—",INDEX(Database!$AY$5:$AY$521,MATCH(LARGE('Calc (scoring engine)'!$K$5:$K$521,5),'Calc (scoring engine)'!$K$5:$K$521,0))),""))</f>
        <v/>
      </c>
      <c r="AU25" s="19">
        <f>IF(OR(5&gt;MAX(3,MIN(15,N($D$18))),IFERROR(LARGE('Calc (scoring engine)'!$K$5:$K$521,5),-999999)&lt;=-900000),"",IFERROR(IF(INDEX(Database!$AZ$5:$AZ$521,MATCH(LARGE('Calc (scoring engine)'!$K$5:$K$521,5),'Calc (scoring engine)'!$K$5:$K$521,0))="","—",INDEX(Database!$AZ$5:$AZ$521,MATCH(LARGE('Calc (scoring engine)'!$K$5:$K$521,5),'Calc (scoring engine)'!$K$5:$K$521,0))),""))</f>
        <v/>
      </c>
      <c r="AV25" s="10">
        <f>IF(OR(5&gt;MAX(3,MIN(15,N($D$18))),IFERROR(LARGE('Calc (scoring engine)'!$K$5:$K$521,5),-999999)&lt;=-900000),"",IFERROR(IF(INDEX(Database!$BA$5:$BA$521,MATCH(LARGE('Calc (scoring engine)'!$K$5:$K$521,5),'Calc (scoring engine)'!$K$5:$K$521,0))="","—",INDEX(Database!$BA$5:$BA$521,MATCH(LARGE('Calc (scoring engine)'!$K$5:$K$521,5),'Calc (scoring engine)'!$K$5:$K$521,0))),""))</f>
        <v/>
      </c>
      <c r="AW25" s="24">
        <f>IF(OR(5&gt;MAX(3,MIN(15,N($D$18))),IFERROR(LARGE('Calc (scoring engine)'!$K$5:$K$521,5),-999999)&lt;=-900000),"",IFERROR(IF(N(INDEX(Database!$BB$5:$BB$521,MATCH(LARGE('Calc (scoring engine)'!$K$5:$K$521,5),'Calc (scoring engine)'!$K$5:$K$521,0)))&lt;=0,IF(INDEX(Database!$BA$5:$BA$521,MATCH(LARGE('Calc (scoring engine)'!$K$5:$K$521,5),'Calc (scoring engine)'!$K$5:$K$521,0))="N","n/m","—"),INDEX(Database!$BB$5:$BB$521,MATCH(LARGE('Calc (scoring engine)'!$K$5:$K$521,5),'Calc (scoring engine)'!$K$5:$K$521,0))),""))</f>
        <v/>
      </c>
      <c r="AX25" s="24">
        <f>IF(OR(5&gt;MAX(3,MIN(15,N($D$18))),IFERROR(LARGE('Calc (scoring engine)'!$K$5:$K$521,5),-999999)&lt;=-900000),"",IFERROR(IF(INDEX(Database!$BC$5:$BC$521,MATCH(LARGE('Calc (scoring engine)'!$K$5:$K$521,5),'Calc (scoring engine)'!$K$5:$K$521,0))="","—",INDEX(Database!$BC$5:$BC$521,MATCH(LARGE('Calc (scoring engine)'!$K$5:$K$521,5),'Calc (scoring engine)'!$K$5:$K$521,0))),""))</f>
        <v/>
      </c>
      <c r="AY25" s="24">
        <f>IF(OR(5&gt;MAX(3,MIN(15,N($D$18))),IFERROR(LARGE('Calc (scoring engine)'!$K$5:$K$521,5),-999999)&lt;=-900000),"",IFERROR(IF(INDEX(Database!$BD$5:$BD$521,MATCH(LARGE('Calc (scoring engine)'!$K$5:$K$521,5),'Calc (scoring engine)'!$K$5:$K$521,0))="","—",INDEX(Database!$BD$5:$BD$521,MATCH(LARGE('Calc (scoring engine)'!$K$5:$K$521,5),'Calc (scoring engine)'!$K$5:$K$521,0))),""))</f>
        <v/>
      </c>
      <c r="AZ25" s="24">
        <f>IF(OR(5&gt;MAX(3,MIN(15,N($D$18))),IFERROR(LARGE('Calc (scoring engine)'!$K$5:$K$521,5),-999999)&lt;=-900000),"",IFERROR(IF(INDEX(Database!$BE$5:$BE$521,MATCH(LARGE('Calc (scoring engine)'!$K$5:$K$521,5),'Calc (scoring engine)'!$K$5:$K$521,0))="","—",INDEX(Database!$BE$5:$BE$521,MATCH(LARGE('Calc (scoring engine)'!$K$5:$K$521,5),'Calc (scoring engine)'!$K$5:$K$521,0))),""))</f>
        <v/>
      </c>
      <c r="BA25" s="24">
        <f>IF(OR(5&gt;MAX(3,MIN(15,N($D$18))),IFERROR(LARGE('Calc (scoring engine)'!$K$5:$K$521,5),-999999)&lt;=-900000),"",IFERROR(IF(INDEX(Database!$BF$5:$BF$521,MATCH(LARGE('Calc (scoring engine)'!$K$5:$K$521,5),'Calc (scoring engine)'!$K$5:$K$521,0))="","—",INDEX(Database!$BF$5:$BF$521,MATCH(LARGE('Calc (scoring engine)'!$K$5:$K$521,5),'Calc (scoring engine)'!$K$5:$K$521,0))),""))</f>
        <v/>
      </c>
      <c r="BB25" s="24">
        <f>IF(OR(5&gt;MAX(3,MIN(15,N($D$18))),IFERROR(LARGE('Calc (scoring engine)'!$K$5:$K$521,5),-999999)&lt;=-900000),"",IFERROR(IFERROR(BDP(TEXT(INDEX(Database!$A$5:$A$521,MATCH(LARGE('Calc (scoring engine)'!$K$5:$K$521,5),'Calc (scoring engine)'!$K$5:$K$521,0)),"0")&amp;" HK Equity","PE_RATIO"),IF(INDEX(Database!$BD$5:$BD$521,MATCH(LARGE('Calc (scoring engine)'!$K$5:$K$521,5),'Calc (scoring engine)'!$K$5:$K$521,0))="","—",INDEX(Database!$BD$5:$BD$521,MATCH(LARGE('Calc (scoring engine)'!$K$5:$K$521,5),'Calc (scoring engine)'!$K$5:$K$521,0)))),""))</f>
        <v/>
      </c>
      <c r="BC25" s="24">
        <f>IF(OR(5&gt;MAX(3,MIN(15,N($D$18))),IFERROR(LARGE('Calc (scoring engine)'!$K$5:$K$521,5),-999999)&lt;=-900000),"",IFERROR(IFERROR(BDP(TEXT(INDEX(Database!$A$5:$A$521,MATCH(LARGE('Calc (scoring engine)'!$K$5:$K$521,5),'Calc (scoring engine)'!$K$5:$K$521,0)),"0")&amp;" HK Equity","PX_TO_SALES_RATIO"),IF(INDEX(Database!$BE$5:$BE$521,MATCH(LARGE('Calc (scoring engine)'!$K$5:$K$521,5),'Calc (scoring engine)'!$K$5:$K$521,0))="","—",INDEX(Database!$BE$5:$BE$521,MATCH(LARGE('Calc (scoring engine)'!$K$5:$K$521,5),'Calc (scoring engine)'!$K$5:$K$521,0)))),""))</f>
        <v/>
      </c>
      <c r="BD25" s="10">
        <f>IF(OR(5&gt;MAX(3,MIN(15,N($D$18))),IFERROR(LARGE('Calc (scoring engine)'!$K$5:$K$521,5),-999999)&lt;=-900000),"",IFERROR(IF(INDEX(Database!$BG$5:$BG$521,MATCH(LARGE('Calc (scoring engine)'!$K$5:$K$521,5),'Calc (scoring engine)'!$K$5:$K$521,0))="","—",INDEX(Database!$BG$5:$BG$521,MATCH(LARGE('Calc (scoring engine)'!$K$5:$K$521,5),'Calc (scoring engine)'!$K$5:$K$521,0))),""))</f>
        <v/>
      </c>
      <c r="BE25" s="10">
        <f>IF(OR(5&gt;MAX(3,MIN(15,N($D$18))),IFERROR(LARGE('Calc (scoring engine)'!$K$5:$K$521,5),-999999)&lt;=-900000),"",IFERROR(IF(INDEX(Database!$BH$5:$BH$521,MATCH(LARGE('Calc (scoring engine)'!$K$5:$K$521,5),'Calc (scoring engine)'!$K$5:$K$521,0))="","—",INDEX(Database!$BH$5:$BH$521,MATCH(LARGE('Calc (scoring engine)'!$K$5:$K$521,5),'Calc (scoring engine)'!$K$5:$K$521,0))),""))</f>
        <v/>
      </c>
      <c r="BF25" s="23">
        <f>IF(OR(5&gt;MAX(3,MIN(15,N($D$18))),IFERROR(LARGE('Calc (scoring engine)'!$K$5:$K$521,5),-999999)&lt;=-900000),"",IFERROR(IF(INDEX(Database!$BI$5:$BI$521,MATCH(LARGE('Calc (scoring engine)'!$K$5:$K$521,5),'Calc (scoring engine)'!$K$5:$K$521,0))="","—",INDEX(Database!$BI$5:$BI$521,MATCH(LARGE('Calc (scoring engine)'!$K$5:$K$521,5),'Calc (scoring engine)'!$K$5:$K$521,0))),""))</f>
        <v/>
      </c>
      <c r="BG25" s="50">
        <f>IF(OR(5&gt;MAX(3,MIN(15,N($D$18))),IFERROR(LARGE('Calc (scoring engine)'!$K$5:$K$521,5),-999999)&lt;=-900000),"",IFERROR(IF(INDEX(Database!$BJ$5:$BJ$521,MATCH(LARGE('Calc (scoring engine)'!$K$5:$K$521,5),'Calc (scoring engine)'!$K$5:$K$521,0))="","—",INDEX(Database!$BJ$5:$BJ$521,MATCH(LARGE('Calc (scoring engine)'!$K$5:$K$521,5),'Calc (scoring engine)'!$K$5:$K$521,0))),""))</f>
        <v/>
      </c>
      <c r="BH25" s="53">
        <f>IF(OR(5&gt;MAX(3,MIN(15,N($D$18))),IFERROR(LARGE('Calc (scoring engine)'!$K$5:$K$521,5),-999999)&lt;=-900000),"",IFERROR(IF(INDEX(Database!$BK$5:$BK$521,MATCH(LARGE('Calc (scoring engine)'!$K$5:$K$521,5),'Calc (scoring engine)'!$K$5:$K$521,0))="","—",INDEX(Database!$BK$5:$BK$521,MATCH(LARGE('Calc (scoring engine)'!$K$5:$K$521,5),'Calc (scoring engine)'!$K$5:$K$521,0))),""))</f>
        <v/>
      </c>
      <c r="BI25" s="19">
        <f>IF(OR(5&gt;MAX(3,MIN(15,N($D$18))),IFERROR(LARGE('Calc (scoring engine)'!$K$5:$K$521,5),-999999)&lt;=-900000),"",IFERROR(IF(INDEX(Database!$BL$5:$BL$521,MATCH(LARGE('Calc (scoring engine)'!$K$5:$K$521,5),'Calc (scoring engine)'!$K$5:$K$521,0))="","—",INDEX(Database!$BL$5:$BL$521,MATCH(LARGE('Calc (scoring engine)'!$K$5:$K$521,5),'Calc (scoring engine)'!$K$5:$K$521,0))),""))</f>
        <v/>
      </c>
      <c r="BJ25" s="24">
        <f>IF(OR(5&gt;MAX(3,MIN(15,N($D$18))),IFERROR(LARGE('Calc (scoring engine)'!$K$5:$K$521,5),-999999)&lt;=-900000),"",IFERROR(IF(INDEX(Database!$BM$5:$BM$521,MATCH(LARGE('Calc (scoring engine)'!$K$5:$K$521,5),'Calc (scoring engine)'!$K$5:$K$521,0))="","—",INDEX(Database!$BM$5:$BM$521,MATCH(LARGE('Calc (scoring engine)'!$K$5:$K$521,5),'Calc (scoring engine)'!$K$5:$K$521,0))),""))</f>
        <v/>
      </c>
      <c r="BK25" s="24">
        <f>IF(OR(5&gt;MAX(3,MIN(15,N($D$18))),IFERROR(LARGE('Calc (scoring engine)'!$K$5:$K$521,5),-999999)&lt;=-900000),"",IFERROR(IF(INDEX(Database!$BN$5:$BN$521,MATCH(LARGE('Calc (scoring engine)'!$K$5:$K$521,5),'Calc (scoring engine)'!$K$5:$K$521,0))="","—",INDEX(Database!$BN$5:$BN$521,MATCH(LARGE('Calc (scoring engine)'!$K$5:$K$521,5),'Calc (scoring engine)'!$K$5:$K$521,0))),""))</f>
        <v/>
      </c>
      <c r="BL25" s="10">
        <f>IF(OR(5&gt;MAX(3,MIN(15,N($D$18))),IFERROR(LARGE('Calc (scoring engine)'!$K$5:$K$521,5),-999999)&lt;=-900000),"",IFERROR(IF(INDEX(Database!$BO$5:$BO$521,MATCH(LARGE('Calc (scoring engine)'!$K$5:$K$521,5),'Calc (scoring engine)'!$K$5:$K$521,0))="","—",INDEX(Database!$BO$5:$BO$521,MATCH(LARGE('Calc (scoring engine)'!$K$5:$K$521,5),'Calc (scoring engine)'!$K$5:$K$521,0))),""))</f>
        <v/>
      </c>
      <c r="BM25" s="10">
        <f>IF(OR(5&gt;MAX(3,MIN(15,N($D$18))),IFERROR(LARGE('Calc (scoring engine)'!$K$5:$K$521,5),-999999)&lt;=-900000),"",IFERROR(IF(INDEX(Database!$BQ$5:$BQ$521,MATCH(LARGE('Calc (scoring engine)'!$K$5:$K$521,5),'Calc (scoring engine)'!$K$5:$K$521,0))="","—",INDEX(Database!$BQ$5:$BQ$521,MATCH(LARGE('Calc (scoring engine)'!$K$5:$K$521,5),'Calc (scoring engine)'!$K$5:$K$521,0))),""))</f>
        <v/>
      </c>
      <c r="BN25" s="54">
        <f>IF(OR(5&gt;MAX(3,MIN(15,N($D$18))),IFERROR(LARGE('Calc (scoring engine)'!$K$5:$K$521,5),-999999)&lt;=-900000),"",IFERROR(IF(INDEX('Calc (scoring engine)'!$H$5:$H$521,MATCH(LARGE('Calc (scoring engine)'!$K$5:$K$521,5),'Calc (scoring engine)'!$K$5:$K$521,0))&gt;0,INDEX('Calc (scoring engine)'!$H$5:$H$521,MATCH(LARGE('Calc (scoring engine)'!$K$5:$K$521,5),'Calc (scoring engine)'!$K$5:$K$521,0)),""),""))</f>
        <v/>
      </c>
      <c r="BO25" s="10">
        <f>IF(OR(5&gt;MAX(3,MIN(15,N($D$18))),IFERROR(LARGE('Calc (scoring engine)'!$K$5:$K$521,5),-999999)&lt;=-900000),"",IF(IFERROR(INDEX('Calc (scoring engine)'!$B$5:$B$521,MATCH(LARGE('Calc (scoring engine)'!$K$5:$K$521,5),'Calc (scoring engine)'!$K$5:$K$521,0)),0)=1,"same subsector","sector only"))</f>
        <v/>
      </c>
      <c r="BP25" s="54">
        <f>IF(OR(5&gt;MAX(3,MIN(15,N($D$18))),IFERROR(LARGE('Calc (scoring engine)'!$K$5:$K$521,5),-999999)&lt;=-900000),"",ROUND(IFERROR(LARGE('Calc (scoring engine)'!$K$5:$K$521,5),0),0))</f>
        <v/>
      </c>
      <c r="BQ25" s="10">
        <f>IF(OR(5&gt;MAX(3,MIN(15,N($D$18))),IFERROR(LARGE('Calc (scoring engine)'!$K$5:$K$521,5),-999999)&lt;=-900000),"",IFERROR("sub "&amp;INDEX('Calc (scoring engine)'!$B$5:$B$521,MATCH(LARGE('Calc (scoring engine)'!$K$5:$K$521,5),'Calc (scoring engine)'!$K$5:$K$521,0))*W_SUB&amp;" + size "&amp;ROUND(INDEX('Calc (scoring engine)'!$D$5:$D$521,MATCH(LARGE('Calc (scoring engine)'!$K$5:$K$521,5),'Calc (scoring engine)'!$K$5:$K$521,0))*W_SIZE,0)&amp;" + prof "&amp;INDEX('Calc (scoring engine)'!$E$5:$E$521,MATCH(LARGE('Calc (scoring engine)'!$K$5:$K$521,5),'Calc (scoring engine)'!$K$5:$K$521,0))*W_PROF&amp;" + recency "&amp;ROUND(INDEX('Calc (scoring engine)'!$G$5:$G$521,MATCH(LARGE('Calc (scoring engine)'!$K$5:$K$521,5),'Calc (scoring engine)'!$K$5:$K$521,0))*W_REC,0)&amp;IF(INDEX('Calc (scoring engine)'!$H$5:$H$521,MATCH(LARGE('Calc (scoring engine)'!$K$5:$K$521,5),'Calc (scoring engine)'!$K$5:$K$521,0))&gt;0," + shared CS x"&amp;INDEX('Calc (scoring engine)'!$H$5:$H$521,MATCH(LARGE('Calc (scoring engine)'!$K$5:$K$521,5),'Calc (scoring engine)'!$K$5:$K$521,0)),""),""))</f>
        <v/>
      </c>
    </row>
    <row r="26">
      <c r="A26" s="48">
        <f>IF(OR(6&gt;MAX(3,MIN(15,N($D$18))),IFERROR(LARGE('Calc (scoring engine)'!$K$5:$K$521,6),-999999)&lt;=-900000),"",6)</f>
        <v/>
      </c>
      <c r="B26" s="10">
        <f>IF(OR(6&gt;MAX(3,MIN(15,N($D$18))),IFERROR(LARGE('Calc (scoring engine)'!$K$5:$K$521,6),-999999)&lt;=-900000),"",IFERROR(IF(INDEX(Database!$B$5:$B$521,MATCH(LARGE('Calc (scoring engine)'!$K$5:$K$521,6),'Calc (scoring engine)'!$K$5:$K$521,0))="","—",INDEX(Database!$B$5:$B$521,MATCH(LARGE('Calc (scoring engine)'!$K$5:$K$521,6),'Calc (scoring engine)'!$K$5:$K$521,0))),""))</f>
        <v/>
      </c>
      <c r="C26" s="49">
        <f>IF(OR(6&gt;MAX(3,MIN(15,N($D$18))),IFERROR(LARGE('Calc (scoring engine)'!$K$5:$K$521,6),-999999)&lt;=-900000),"",IFERROR(IF(INDEX(Database!$A$5:$A$521,MATCH(LARGE('Calc (scoring engine)'!$K$5:$K$521,6),'Calc (scoring engine)'!$K$5:$K$521,0))="","—",INDEX(Database!$A$5:$A$521,MATCH(LARGE('Calc (scoring engine)'!$K$5:$K$521,6),'Calc (scoring engine)'!$K$5:$K$521,0))),""))</f>
        <v/>
      </c>
      <c r="D26" s="10">
        <f>IF(OR(6&gt;MAX(3,MIN(15,N($D$18))),IFERROR(LARGE('Calc (scoring engine)'!$K$5:$K$521,6),-999999)&lt;=-900000),"",IFERROR(IF(INDEX(Database!$D$5:$D$521,MATCH(LARGE('Calc (scoring engine)'!$K$5:$K$521,6),'Calc (scoring engine)'!$K$5:$K$521,0))="","—",INDEX(Database!$D$5:$D$521,MATCH(LARGE('Calc (scoring engine)'!$K$5:$K$521,6),'Calc (scoring engine)'!$K$5:$K$521,0))),""))</f>
        <v/>
      </c>
      <c r="E26" s="10">
        <f>IF(OR(6&gt;MAX(3,MIN(15,N($D$18))),IFERROR(LARGE('Calc (scoring engine)'!$K$5:$K$521,6),-999999)&lt;=-900000),"",IFERROR(IF(INDEX(Database!$E$5:$E$521,MATCH(LARGE('Calc (scoring engine)'!$K$5:$K$521,6),'Calc (scoring engine)'!$K$5:$K$521,0))="","—",INDEX(Database!$E$5:$E$521,MATCH(LARGE('Calc (scoring engine)'!$K$5:$K$521,6),'Calc (scoring engine)'!$K$5:$K$521,0))),""))</f>
        <v/>
      </c>
      <c r="F26" s="10">
        <f>IF(OR(6&gt;MAX(3,MIN(15,N($D$18))),IFERROR(LARGE('Calc (scoring engine)'!$K$5:$K$521,6),-999999)&lt;=-900000),"",IFERROR(IF(INDEX(Database!$F$5:$F$521,MATCH(LARGE('Calc (scoring engine)'!$K$5:$K$521,6),'Calc (scoring engine)'!$K$5:$K$521,0))="","—",INDEX(Database!$F$5:$F$521,MATCH(LARGE('Calc (scoring engine)'!$K$5:$K$521,6),'Calc (scoring engine)'!$K$5:$K$521,0))),""))</f>
        <v/>
      </c>
      <c r="G26" s="10">
        <f>IF(OR(6&gt;MAX(3,MIN(15,N($D$18))),IFERROR(LARGE('Calc (scoring engine)'!$K$5:$K$521,6),-999999)&lt;=-900000),"",IFERROR(IF(INDEX(Database!$G$5:$G$521,MATCH(LARGE('Calc (scoring engine)'!$K$5:$K$521,6),'Calc (scoring engine)'!$K$5:$K$521,0))="","—",INDEX(Database!$G$5:$G$521,MATCH(LARGE('Calc (scoring engine)'!$K$5:$K$521,6),'Calc (scoring engine)'!$K$5:$K$521,0))),""))</f>
        <v/>
      </c>
      <c r="H26" s="21">
        <f>IF(OR(6&gt;MAX(3,MIN(15,N($D$18))),IFERROR(LARGE('Calc (scoring engine)'!$K$5:$K$521,6),-999999)&lt;=-900000),"",IFERROR(IF(INDEX(Database!$H$5:$H$521,MATCH(LARGE('Calc (scoring engine)'!$K$5:$K$521,6),'Calc (scoring engine)'!$K$5:$K$521,0))="","—",INDEX(Database!$H$5:$H$521,MATCH(LARGE('Calc (scoring engine)'!$K$5:$K$521,6),'Calc (scoring engine)'!$K$5:$K$521,0))),""))</f>
        <v/>
      </c>
      <c r="I26" s="19">
        <f>IF(OR(6&gt;MAX(3,MIN(15,N($D$18))),IFERROR(LARGE('Calc (scoring engine)'!$K$5:$K$521,6),-999999)&lt;=-900000),"",IFERROR(IF(INDEX(Database!$I$5:$I$521,MATCH(LARGE('Calc (scoring engine)'!$K$5:$K$521,6),'Calc (scoring engine)'!$K$5:$K$521,0))="","—",INDEX(Database!$I$5:$I$521,MATCH(LARGE('Calc (scoring engine)'!$K$5:$K$521,6),'Calc (scoring engine)'!$K$5:$K$521,0))),""))</f>
        <v/>
      </c>
      <c r="J26" s="50">
        <f>IF(OR(6&gt;MAX(3,MIN(15,N($D$18))),IFERROR(LARGE('Calc (scoring engine)'!$K$5:$K$521,6),-999999)&lt;=-900000),"",IFERROR(IF(INDEX(Database!$K$5:$K$521,MATCH(LARGE('Calc (scoring engine)'!$K$5:$K$521,6),'Calc (scoring engine)'!$K$5:$K$521,0))="","—",INDEX(Database!$K$5:$K$521,MATCH(LARGE('Calc (scoring engine)'!$K$5:$K$521,6),'Calc (scoring engine)'!$K$5:$K$521,0))),""))</f>
        <v/>
      </c>
      <c r="K26" s="50">
        <f>IF(OR(6&gt;MAX(3,MIN(15,N($D$18))),IFERROR(LARGE('Calc (scoring engine)'!$K$5:$K$521,6),-999999)&lt;=-900000),"",IFERROR(IF(INDEX(Database!$L$5:$L$521,MATCH(LARGE('Calc (scoring engine)'!$K$5:$K$521,6),'Calc (scoring engine)'!$K$5:$K$521,0))="","—",INDEX(Database!$L$5:$L$521,MATCH(LARGE('Calc (scoring engine)'!$K$5:$K$521,6),'Calc (scoring engine)'!$K$5:$K$521,0))),""))</f>
        <v/>
      </c>
      <c r="L26" s="50">
        <f>IF(OR(6&gt;MAX(3,MIN(15,N($D$18))),IFERROR(LARGE('Calc (scoring engine)'!$K$5:$K$521,6),-999999)&lt;=-900000),"",IFERROR(IF(INDEX(Database!$M$5:$M$521,MATCH(LARGE('Calc (scoring engine)'!$K$5:$K$521,6),'Calc (scoring engine)'!$K$5:$K$521,0))="","—",INDEX(Database!$M$5:$M$521,MATCH(LARGE('Calc (scoring engine)'!$K$5:$K$521,6),'Calc (scoring engine)'!$K$5:$K$521,0))),""))</f>
        <v/>
      </c>
      <c r="M26" s="10">
        <f>IF(OR(6&gt;MAX(3,MIN(15,N($D$18))),IFERROR(LARGE('Calc (scoring engine)'!$K$5:$K$521,6),-999999)&lt;=-900000),"",IFERROR(IF(INDEX(Database!$N$5:$N$521,MATCH(LARGE('Calc (scoring engine)'!$K$5:$K$521,6),'Calc (scoring engine)'!$K$5:$K$521,0))="","—",INDEX(Database!$N$5:$N$521,MATCH(LARGE('Calc (scoring engine)'!$K$5:$K$521,6),'Calc (scoring engine)'!$K$5:$K$521,0))),""))</f>
        <v/>
      </c>
      <c r="N26" s="31">
        <f>IF(OR(6&gt;MAX(3,MIN(15,N($D$18))),IFERROR(LARGE('Calc (scoring engine)'!$K$5:$K$521,6),-999999)&lt;=-900000),"",IFERROR(IF(INDEX(Database!$O$5:$O$521,MATCH(LARGE('Calc (scoring engine)'!$K$5:$K$521,6),'Calc (scoring engine)'!$K$5:$K$521,0))="","—",INDEX(Database!$O$5:$O$521,MATCH(LARGE('Calc (scoring engine)'!$K$5:$K$521,6),'Calc (scoring engine)'!$K$5:$K$521,0))),""))</f>
        <v/>
      </c>
      <c r="O26" s="31">
        <f>IF(OR(6&gt;MAX(3,MIN(15,N($D$18))),IFERROR(LARGE('Calc (scoring engine)'!$K$5:$K$521,6),-999999)&lt;=-900000),"",IFERROR(IF(INDEX(Database!$P$5:$P$521,MATCH(LARGE('Calc (scoring engine)'!$K$5:$K$521,6),'Calc (scoring engine)'!$K$5:$K$521,0))="","—",INDEX(Database!$P$5:$P$521,MATCH(LARGE('Calc (scoring engine)'!$K$5:$K$521,6),'Calc (scoring engine)'!$K$5:$K$521,0))),""))</f>
        <v/>
      </c>
      <c r="P26" s="19">
        <f>IF(OR(6&gt;MAX(3,MIN(15,N($D$18))),IFERROR(LARGE('Calc (scoring engine)'!$K$5:$K$521,6),-999999)&lt;=-900000),"",IFERROR(IF(INDEX(Database!$Q$5:$Q$521,MATCH(LARGE('Calc (scoring engine)'!$K$5:$K$521,6),'Calc (scoring engine)'!$K$5:$K$521,0))="","—",INDEX(Database!$Q$5:$Q$521,MATCH(LARGE('Calc (scoring engine)'!$K$5:$K$521,6),'Calc (scoring engine)'!$K$5:$K$521,0))),""))</f>
        <v/>
      </c>
      <c r="Q26" s="26">
        <f>IF(OR(6&gt;MAX(3,MIN(15,N($D$18))),IFERROR(LARGE('Calc (scoring engine)'!$K$5:$K$521,6),-999999)&lt;=-900000),"",IFERROR(IF(INDEX(Database!$S$5:$S$521,MATCH(LARGE('Calc (scoring engine)'!$K$5:$K$521,6),'Calc (scoring engine)'!$K$5:$K$521,0))="","—",INDEX(Database!$S$5:$S$521,MATCH(LARGE('Calc (scoring engine)'!$K$5:$K$521,6),'Calc (scoring engine)'!$K$5:$K$521,0))),""))</f>
        <v/>
      </c>
      <c r="R26" s="51">
        <f>IF(OR(6&gt;MAX(3,MIN(15,N($D$18))),IFERROR(LARGE('Calc (scoring engine)'!$K$5:$K$521,6),-999999)&lt;=-900000),"",IFERROR(IF(INDEX(Database!$T$5:$T$521,MATCH(LARGE('Calc (scoring engine)'!$K$5:$K$521,6),'Calc (scoring engine)'!$K$5:$K$521,0))="","—",INDEX(Database!$T$5:$T$521,MATCH(LARGE('Calc (scoring engine)'!$K$5:$K$521,6),'Calc (scoring engine)'!$K$5:$K$521,0))),""))</f>
        <v/>
      </c>
      <c r="S26" s="52">
        <f>IF(OR(6&gt;MAX(3,MIN(15,N($D$18))),IFERROR(LARGE('Calc (scoring engine)'!$K$5:$K$521,6),-999999)&lt;=-900000),"",IFERROR(IF(INDEX(Database!$U$5:$U$521,MATCH(LARGE('Calc (scoring engine)'!$K$5:$K$521,6),'Calc (scoring engine)'!$K$5:$K$521,0))="","—",INDEX(Database!$U$5:$U$521,MATCH(LARGE('Calc (scoring engine)'!$K$5:$K$521,6),'Calc (scoring engine)'!$K$5:$K$521,0))),""))</f>
        <v/>
      </c>
      <c r="T26" s="19">
        <f>IF(OR(6&gt;MAX(3,MIN(15,N($D$18))),IFERROR(LARGE('Calc (scoring engine)'!$K$5:$K$521,6),-999999)&lt;=-900000),"",IFERROR(IF(INDEX(Database!$V$5:$V$521,MATCH(LARGE('Calc (scoring engine)'!$K$5:$K$521,6),'Calc (scoring engine)'!$K$5:$K$521,0))="","—",INDEX(Database!$V$5:$V$521,MATCH(LARGE('Calc (scoring engine)'!$K$5:$K$521,6),'Calc (scoring engine)'!$K$5:$K$521,0))),""))</f>
        <v/>
      </c>
      <c r="U26" s="19">
        <f>IF(OR(6&gt;MAX(3,MIN(15,N($D$18))),IFERROR(LARGE('Calc (scoring engine)'!$K$5:$K$521,6),-999999)&lt;=-900000),"",IFERROR(IF(INDEX(Database!$W$5:$W$521,MATCH(LARGE('Calc (scoring engine)'!$K$5:$K$521,6),'Calc (scoring engine)'!$K$5:$K$521,0))="","—",INDEX(Database!$W$5:$W$521,MATCH(LARGE('Calc (scoring engine)'!$K$5:$K$521,6),'Calc (scoring engine)'!$K$5:$K$521,0))),""))</f>
        <v/>
      </c>
      <c r="V26" s="31">
        <f>IF(OR(6&gt;MAX(3,MIN(15,N($D$18))),IFERROR(LARGE('Calc (scoring engine)'!$K$5:$K$521,6),-999999)&lt;=-900000),"",IFERROR(IF(INDEX(Database!$X$5:$X$521,MATCH(LARGE('Calc (scoring engine)'!$K$5:$K$521,6),'Calc (scoring engine)'!$K$5:$K$521,0))="","—",INDEX(Database!$X$5:$X$521,MATCH(LARGE('Calc (scoring engine)'!$K$5:$K$521,6),'Calc (scoring engine)'!$K$5:$K$521,0))),""))</f>
        <v/>
      </c>
      <c r="W26" s="10">
        <f>IF(OR(6&gt;MAX(3,MIN(15,N($D$18))),IFERROR(LARGE('Calc (scoring engine)'!$K$5:$K$521,6),-999999)&lt;=-900000),"",IFERROR(IF(INDEX(Database!$Y$5:$Y$521,MATCH(LARGE('Calc (scoring engine)'!$K$5:$K$521,6),'Calc (scoring engine)'!$K$5:$K$521,0))="","—",INDEX(Database!$Y$5:$Y$521,MATCH(LARGE('Calc (scoring engine)'!$K$5:$K$521,6),'Calc (scoring engine)'!$K$5:$K$521,0))),""))</f>
        <v/>
      </c>
      <c r="X26" s="31">
        <f>IF(OR(6&gt;MAX(3,MIN(15,N($D$18))),IFERROR(LARGE('Calc (scoring engine)'!$K$5:$K$521,6),-999999)&lt;=-900000),"",IFERROR(IF(INDEX(Database!$AA$5:$AA$521,MATCH(LARGE('Calc (scoring engine)'!$K$5:$K$521,6),'Calc (scoring engine)'!$K$5:$K$521,0))="","—",INDEX(Database!$AA$5:$AA$521,MATCH(LARGE('Calc (scoring engine)'!$K$5:$K$521,6),'Calc (scoring engine)'!$K$5:$K$521,0))),""))</f>
        <v/>
      </c>
      <c r="Y26" s="10">
        <f>IF(OR(6&gt;MAX(3,MIN(15,N($D$18))),IFERROR(LARGE('Calc (scoring engine)'!$K$5:$K$521,6),-999999)&lt;=-900000),"",IFERROR(IF(INDEX(Database!$AB$5:$AB$521,MATCH(LARGE('Calc (scoring engine)'!$K$5:$K$521,6),'Calc (scoring engine)'!$K$5:$K$521,0))="","—",INDEX(Database!$AB$5:$AB$521,MATCH(LARGE('Calc (scoring engine)'!$K$5:$K$521,6),'Calc (scoring engine)'!$K$5:$K$521,0))),""))</f>
        <v/>
      </c>
      <c r="Z26" s="10">
        <f>IF(OR(6&gt;MAX(3,MIN(15,N($D$18))),IFERROR(LARGE('Calc (scoring engine)'!$K$5:$K$521,6),-999999)&lt;=-900000),"",IFERROR(IF(INDEX(Database!$AC$5:$AC$521,MATCH(LARGE('Calc (scoring engine)'!$K$5:$K$521,6),'Calc (scoring engine)'!$K$5:$K$521,0))="","—",INDEX(Database!$AC$5:$AC$521,MATCH(LARGE('Calc (scoring engine)'!$K$5:$K$521,6),'Calc (scoring engine)'!$K$5:$K$521,0))),""))</f>
        <v/>
      </c>
      <c r="AA26" s="10">
        <f>IF(OR(6&gt;MAX(3,MIN(15,N($D$18))),IFERROR(LARGE('Calc (scoring engine)'!$K$5:$K$521,6),-999999)&lt;=-900000),"",IFERROR(IF(INDEX(Database!$AD$5:$AD$521,MATCH(LARGE('Calc (scoring engine)'!$K$5:$K$521,6),'Calc (scoring engine)'!$K$5:$K$521,0))="","—",INDEX(Database!$AD$5:$AD$521,MATCH(LARGE('Calc (scoring engine)'!$K$5:$K$521,6),'Calc (scoring engine)'!$K$5:$K$521,0))),""))</f>
        <v/>
      </c>
      <c r="AB26" s="10">
        <f>IF(OR(6&gt;MAX(3,MIN(15,N($D$18))),IFERROR(LARGE('Calc (scoring engine)'!$K$5:$K$521,6),-999999)&lt;=-900000),"",IFERROR(IF(INDEX(Database!$AE$5:$AE$521,MATCH(LARGE('Calc (scoring engine)'!$K$5:$K$521,6),'Calc (scoring engine)'!$K$5:$K$521,0))="","—",INDEX(Database!$AE$5:$AE$521,MATCH(LARGE('Calc (scoring engine)'!$K$5:$K$521,6),'Calc (scoring engine)'!$K$5:$K$521,0))),""))</f>
        <v/>
      </c>
      <c r="AC26" s="23">
        <f>IF(OR(6&gt;MAX(3,MIN(15,N($D$18))),IFERROR(LARGE('Calc (scoring engine)'!$K$5:$K$521,6),-999999)&lt;=-900000),"",IFERROR(IF(INDEX(Database!$AF$5:$AF$521,MATCH(LARGE('Calc (scoring engine)'!$K$5:$K$521,6),'Calc (scoring engine)'!$K$5:$K$521,0))="","—",INDEX(Database!$AF$5:$AF$521,MATCH(LARGE('Calc (scoring engine)'!$K$5:$K$521,6),'Calc (scoring engine)'!$K$5:$K$521,0))),""))</f>
        <v/>
      </c>
      <c r="AD26" s="23">
        <f>IF(OR(6&gt;MAX(3,MIN(15,N($D$18))),IFERROR(LARGE('Calc (scoring engine)'!$K$5:$K$521,6),-999999)&lt;=-900000),"",IFERROR(IF(INDEX(Database!$AG$5:$AG$521,MATCH(LARGE('Calc (scoring engine)'!$K$5:$K$521,6),'Calc (scoring engine)'!$K$5:$K$521,0))="","—",INDEX(Database!$AG$5:$AG$521,MATCH(LARGE('Calc (scoring engine)'!$K$5:$K$521,6),'Calc (scoring engine)'!$K$5:$K$521,0))),""))</f>
        <v/>
      </c>
      <c r="AE26" s="23">
        <f>IF(OR(6&gt;MAX(3,MIN(15,N($D$18))),IFERROR(LARGE('Calc (scoring engine)'!$K$5:$K$521,6),-999999)&lt;=-900000),"",IFERROR(IF(INDEX(Database!$AH$5:$AH$521,MATCH(LARGE('Calc (scoring engine)'!$K$5:$K$521,6),'Calc (scoring engine)'!$K$5:$K$521,0))="","—",INDEX(Database!$AH$5:$AH$521,MATCH(LARGE('Calc (scoring engine)'!$K$5:$K$521,6),'Calc (scoring engine)'!$K$5:$K$521,0))),""))</f>
        <v/>
      </c>
      <c r="AF26" s="23">
        <f>IF(OR(6&gt;MAX(3,MIN(15,N($D$18))),IFERROR(LARGE('Calc (scoring engine)'!$K$5:$K$521,6),-999999)&lt;=-900000),"",IFERROR(IF(INDEX(Database!$AI$5:$AI$521,MATCH(LARGE('Calc (scoring engine)'!$K$5:$K$521,6),'Calc (scoring engine)'!$K$5:$K$521,0))="","—",INDEX(Database!$AI$5:$AI$521,MATCH(LARGE('Calc (scoring engine)'!$K$5:$K$521,6),'Calc (scoring engine)'!$K$5:$K$521,0))),""))</f>
        <v/>
      </c>
      <c r="AG26" s="23">
        <f>IF(OR(6&gt;MAX(3,MIN(15,N($D$18))),IFERROR(LARGE('Calc (scoring engine)'!$K$5:$K$521,6),-999999)&lt;=-900000),"",IFERROR(IF(INDEX(Database!$AJ$5:$AJ$521,MATCH(LARGE('Calc (scoring engine)'!$K$5:$K$521,6),'Calc (scoring engine)'!$K$5:$K$521,0))="","—",INDEX(Database!$AJ$5:$AJ$521,MATCH(LARGE('Calc (scoring engine)'!$K$5:$K$521,6),'Calc (scoring engine)'!$K$5:$K$521,0))),""))</f>
        <v/>
      </c>
      <c r="AH26" s="23">
        <f>IF(OR(6&gt;MAX(3,MIN(15,N($D$18))),IFERROR(LARGE('Calc (scoring engine)'!$K$5:$K$521,6),-999999)&lt;=-900000),"",IFERROR(IF(INDEX(Database!$AK$5:$AK$521,MATCH(LARGE('Calc (scoring engine)'!$K$5:$K$521,6),'Calc (scoring engine)'!$K$5:$K$521,0))="","—",INDEX(Database!$AK$5:$AK$521,MATCH(LARGE('Calc (scoring engine)'!$K$5:$K$521,6),'Calc (scoring engine)'!$K$5:$K$521,0))),""))</f>
        <v/>
      </c>
      <c r="AI26" s="23">
        <f>IF(OR(6&gt;MAX(3,MIN(15,N($D$18))),IFERROR(LARGE('Calc (scoring engine)'!$K$5:$K$521,6),-999999)&lt;=-900000),"",IFERROR(IF(INDEX(Database!$AL$5:$AL$521,MATCH(LARGE('Calc (scoring engine)'!$K$5:$K$521,6),'Calc (scoring engine)'!$K$5:$K$521,0))="","—",INDEX(Database!$AL$5:$AL$521,MATCH(LARGE('Calc (scoring engine)'!$K$5:$K$521,6),'Calc (scoring engine)'!$K$5:$K$521,0))),""))</f>
        <v/>
      </c>
      <c r="AJ26" s="23">
        <f>IF(OR(6&gt;MAX(3,MIN(15,N($D$18))),IFERROR(LARGE('Calc (scoring engine)'!$K$5:$K$521,6),-999999)&lt;=-900000),"",IFERROR(IF(INDEX(Database!$AM$5:$AM$521,MATCH(LARGE('Calc (scoring engine)'!$K$5:$K$521,6),'Calc (scoring engine)'!$K$5:$K$521,0))="","—",INDEX(Database!$AM$5:$AM$521,MATCH(LARGE('Calc (scoring engine)'!$K$5:$K$521,6),'Calc (scoring engine)'!$K$5:$K$521,0))),""))</f>
        <v/>
      </c>
      <c r="AK26" s="23">
        <f>IF(OR(6&gt;MAX(3,MIN(15,N($D$18))),IFERROR(LARGE('Calc (scoring engine)'!$K$5:$K$521,6),-999999)&lt;=-900000),"",IFERROR(IF(INDEX(Database!$AN$5:$AN$521,MATCH(LARGE('Calc (scoring engine)'!$K$5:$K$521,6),'Calc (scoring engine)'!$K$5:$K$521,0))="","—",INDEX(Database!$AN$5:$AN$521,MATCH(LARGE('Calc (scoring engine)'!$K$5:$K$521,6),'Calc (scoring engine)'!$K$5:$K$521,0))),""))</f>
        <v/>
      </c>
      <c r="AL26" s="23">
        <f>IF(OR(6&gt;MAX(3,MIN(15,N($D$18))),IFERROR(LARGE('Calc (scoring engine)'!$K$5:$K$521,6),-999999)&lt;=-900000),"",IFERROR(IF(INDEX(Database!$AO$5:$AO$521,MATCH(LARGE('Calc (scoring engine)'!$K$5:$K$521,6),'Calc (scoring engine)'!$K$5:$K$521,0))="","—",INDEX(Database!$AO$5:$AO$521,MATCH(LARGE('Calc (scoring engine)'!$K$5:$K$521,6),'Calc (scoring engine)'!$K$5:$K$521,0))),""))</f>
        <v/>
      </c>
      <c r="AM26" s="23">
        <f>IF(OR(6&gt;MAX(3,MIN(15,N($D$18))),IFERROR(LARGE('Calc (scoring engine)'!$K$5:$K$521,6),-999999)&lt;=-900000),"",IFERROR(IF(INDEX(Database!$AP$5:$AP$521,MATCH(LARGE('Calc (scoring engine)'!$K$5:$K$521,6),'Calc (scoring engine)'!$K$5:$K$521,0))="","—",INDEX(Database!$AP$5:$AP$521,MATCH(LARGE('Calc (scoring engine)'!$K$5:$K$521,6),'Calc (scoring engine)'!$K$5:$K$521,0))),""))</f>
        <v/>
      </c>
      <c r="AN26" s="23">
        <f>IF(OR(6&gt;MAX(3,MIN(15,N($D$18))),IFERROR(LARGE('Calc (scoring engine)'!$K$5:$K$521,6),-999999)&lt;=-900000),"",IFERROR(IF(INDEX(Database!$AQ$5:$AQ$521,MATCH(LARGE('Calc (scoring engine)'!$K$5:$K$521,6),'Calc (scoring engine)'!$K$5:$K$521,0))="","—",INDEX(Database!$AQ$5:$AQ$521,MATCH(LARGE('Calc (scoring engine)'!$K$5:$K$521,6),'Calc (scoring engine)'!$K$5:$K$521,0))),""))</f>
        <v/>
      </c>
      <c r="AO26" s="23">
        <f>IF(OR(6&gt;MAX(3,MIN(15,N($D$18))),IFERROR(LARGE('Calc (scoring engine)'!$K$5:$K$521,6),-999999)&lt;=-900000),"",IFERROR(IF(INDEX(Database!$AR$5:$AR$521,MATCH(LARGE('Calc (scoring engine)'!$K$5:$K$521,6),'Calc (scoring engine)'!$K$5:$K$521,0))="","—",INDEX(Database!$AR$5:$AR$521,MATCH(LARGE('Calc (scoring engine)'!$K$5:$K$521,6),'Calc (scoring engine)'!$K$5:$K$521,0))),""))</f>
        <v/>
      </c>
      <c r="AP26" s="23">
        <f>IF(OR(6&gt;MAX(3,MIN(15,N($D$18))),IFERROR(LARGE('Calc (scoring engine)'!$K$5:$K$521,6),-999999)&lt;=-900000),"",IFERROR(IF(INDEX(Database!$AS$5:$AS$521,MATCH(LARGE('Calc (scoring engine)'!$K$5:$K$521,6),'Calc (scoring engine)'!$K$5:$K$521,0))="","—",INDEX(Database!$AS$5:$AS$521,MATCH(LARGE('Calc (scoring engine)'!$K$5:$K$521,6),'Calc (scoring engine)'!$K$5:$K$521,0))),""))</f>
        <v/>
      </c>
      <c r="AQ26" s="23">
        <f>IF(OR(6&gt;MAX(3,MIN(15,N($D$18))),IFERROR(LARGE('Calc (scoring engine)'!$K$5:$K$521,6),-999999)&lt;=-900000),"",IFERROR(IF(INDEX(Database!$AT$5:$AT$521,MATCH(LARGE('Calc (scoring engine)'!$K$5:$K$521,6),'Calc (scoring engine)'!$K$5:$K$521,0))="","—",INDEX(Database!$AT$5:$AT$521,MATCH(LARGE('Calc (scoring engine)'!$K$5:$K$521,6),'Calc (scoring engine)'!$K$5:$K$521,0))),""))</f>
        <v/>
      </c>
      <c r="AR26" s="23">
        <f>IF(OR(6&gt;MAX(3,MIN(15,N($D$18))),IFERROR(LARGE('Calc (scoring engine)'!$K$5:$K$521,6),-999999)&lt;=-900000),"",IFERROR(IF(INDEX(Database!$AU$5:$AU$521,MATCH(LARGE('Calc (scoring engine)'!$K$5:$K$521,6),'Calc (scoring engine)'!$K$5:$K$521,0))="","—",INDEX(Database!$AU$5:$AU$521,MATCH(LARGE('Calc (scoring engine)'!$K$5:$K$521,6),'Calc (scoring engine)'!$K$5:$K$521,0))),""))</f>
        <v/>
      </c>
      <c r="AS26" s="23">
        <f>IF(OR(6&gt;MAX(3,MIN(15,N($D$18))),IFERROR(LARGE('Calc (scoring engine)'!$K$5:$K$521,6),-999999)&lt;=-900000),"",IFERROR(IF(INDEX(Database!$AW$5:$AW$521,MATCH(LARGE('Calc (scoring engine)'!$K$5:$K$521,6),'Calc (scoring engine)'!$K$5:$K$521,0))="","—",INDEX(Database!$AW$5:$AW$521,MATCH(LARGE('Calc (scoring engine)'!$K$5:$K$521,6),'Calc (scoring engine)'!$K$5:$K$521,0))),""))</f>
        <v/>
      </c>
      <c r="AT26" s="19">
        <f>IF(OR(6&gt;MAX(3,MIN(15,N($D$18))),IFERROR(LARGE('Calc (scoring engine)'!$K$5:$K$521,6),-999999)&lt;=-900000),"",IFERROR(IF(INDEX(Database!$AY$5:$AY$521,MATCH(LARGE('Calc (scoring engine)'!$K$5:$K$521,6),'Calc (scoring engine)'!$K$5:$K$521,0))="","—",INDEX(Database!$AY$5:$AY$521,MATCH(LARGE('Calc (scoring engine)'!$K$5:$K$521,6),'Calc (scoring engine)'!$K$5:$K$521,0))),""))</f>
        <v/>
      </c>
      <c r="AU26" s="19">
        <f>IF(OR(6&gt;MAX(3,MIN(15,N($D$18))),IFERROR(LARGE('Calc (scoring engine)'!$K$5:$K$521,6),-999999)&lt;=-900000),"",IFERROR(IF(INDEX(Database!$AZ$5:$AZ$521,MATCH(LARGE('Calc (scoring engine)'!$K$5:$K$521,6),'Calc (scoring engine)'!$K$5:$K$521,0))="","—",INDEX(Database!$AZ$5:$AZ$521,MATCH(LARGE('Calc (scoring engine)'!$K$5:$K$521,6),'Calc (scoring engine)'!$K$5:$K$521,0))),""))</f>
        <v/>
      </c>
      <c r="AV26" s="10">
        <f>IF(OR(6&gt;MAX(3,MIN(15,N($D$18))),IFERROR(LARGE('Calc (scoring engine)'!$K$5:$K$521,6),-999999)&lt;=-900000),"",IFERROR(IF(INDEX(Database!$BA$5:$BA$521,MATCH(LARGE('Calc (scoring engine)'!$K$5:$K$521,6),'Calc (scoring engine)'!$K$5:$K$521,0))="","—",INDEX(Database!$BA$5:$BA$521,MATCH(LARGE('Calc (scoring engine)'!$K$5:$K$521,6),'Calc (scoring engine)'!$K$5:$K$521,0))),""))</f>
        <v/>
      </c>
      <c r="AW26" s="24">
        <f>IF(OR(6&gt;MAX(3,MIN(15,N($D$18))),IFERROR(LARGE('Calc (scoring engine)'!$K$5:$K$521,6),-999999)&lt;=-900000),"",IFERROR(IF(N(INDEX(Database!$BB$5:$BB$521,MATCH(LARGE('Calc (scoring engine)'!$K$5:$K$521,6),'Calc (scoring engine)'!$K$5:$K$521,0)))&lt;=0,IF(INDEX(Database!$BA$5:$BA$521,MATCH(LARGE('Calc (scoring engine)'!$K$5:$K$521,6),'Calc (scoring engine)'!$K$5:$K$521,0))="N","n/m","—"),INDEX(Database!$BB$5:$BB$521,MATCH(LARGE('Calc (scoring engine)'!$K$5:$K$521,6),'Calc (scoring engine)'!$K$5:$K$521,0))),""))</f>
        <v/>
      </c>
      <c r="AX26" s="24">
        <f>IF(OR(6&gt;MAX(3,MIN(15,N($D$18))),IFERROR(LARGE('Calc (scoring engine)'!$K$5:$K$521,6),-999999)&lt;=-900000),"",IFERROR(IF(INDEX(Database!$BC$5:$BC$521,MATCH(LARGE('Calc (scoring engine)'!$K$5:$K$521,6),'Calc (scoring engine)'!$K$5:$K$521,0))="","—",INDEX(Database!$BC$5:$BC$521,MATCH(LARGE('Calc (scoring engine)'!$K$5:$K$521,6),'Calc (scoring engine)'!$K$5:$K$521,0))),""))</f>
        <v/>
      </c>
      <c r="AY26" s="24">
        <f>IF(OR(6&gt;MAX(3,MIN(15,N($D$18))),IFERROR(LARGE('Calc (scoring engine)'!$K$5:$K$521,6),-999999)&lt;=-900000),"",IFERROR(IF(INDEX(Database!$BD$5:$BD$521,MATCH(LARGE('Calc (scoring engine)'!$K$5:$K$521,6),'Calc (scoring engine)'!$K$5:$K$521,0))="","—",INDEX(Database!$BD$5:$BD$521,MATCH(LARGE('Calc (scoring engine)'!$K$5:$K$521,6),'Calc (scoring engine)'!$K$5:$K$521,0))),""))</f>
        <v/>
      </c>
      <c r="AZ26" s="24">
        <f>IF(OR(6&gt;MAX(3,MIN(15,N($D$18))),IFERROR(LARGE('Calc (scoring engine)'!$K$5:$K$521,6),-999999)&lt;=-900000),"",IFERROR(IF(INDEX(Database!$BE$5:$BE$521,MATCH(LARGE('Calc (scoring engine)'!$K$5:$K$521,6),'Calc (scoring engine)'!$K$5:$K$521,0))="","—",INDEX(Database!$BE$5:$BE$521,MATCH(LARGE('Calc (scoring engine)'!$K$5:$K$521,6),'Calc (scoring engine)'!$K$5:$K$521,0))),""))</f>
        <v/>
      </c>
      <c r="BA26" s="24">
        <f>IF(OR(6&gt;MAX(3,MIN(15,N($D$18))),IFERROR(LARGE('Calc (scoring engine)'!$K$5:$K$521,6),-999999)&lt;=-900000),"",IFERROR(IF(INDEX(Database!$BF$5:$BF$521,MATCH(LARGE('Calc (scoring engine)'!$K$5:$K$521,6),'Calc (scoring engine)'!$K$5:$K$521,0))="","—",INDEX(Database!$BF$5:$BF$521,MATCH(LARGE('Calc (scoring engine)'!$K$5:$K$521,6),'Calc (scoring engine)'!$K$5:$K$521,0))),""))</f>
        <v/>
      </c>
      <c r="BB26" s="24">
        <f>IF(OR(6&gt;MAX(3,MIN(15,N($D$18))),IFERROR(LARGE('Calc (scoring engine)'!$K$5:$K$521,6),-999999)&lt;=-900000),"",IFERROR(IFERROR(BDP(TEXT(INDEX(Database!$A$5:$A$521,MATCH(LARGE('Calc (scoring engine)'!$K$5:$K$521,6),'Calc (scoring engine)'!$K$5:$K$521,0)),"0")&amp;" HK Equity","PE_RATIO"),IF(INDEX(Database!$BD$5:$BD$521,MATCH(LARGE('Calc (scoring engine)'!$K$5:$K$521,6),'Calc (scoring engine)'!$K$5:$K$521,0))="","—",INDEX(Database!$BD$5:$BD$521,MATCH(LARGE('Calc (scoring engine)'!$K$5:$K$521,6),'Calc (scoring engine)'!$K$5:$K$521,0)))),""))</f>
        <v/>
      </c>
      <c r="BC26" s="24">
        <f>IF(OR(6&gt;MAX(3,MIN(15,N($D$18))),IFERROR(LARGE('Calc (scoring engine)'!$K$5:$K$521,6),-999999)&lt;=-900000),"",IFERROR(IFERROR(BDP(TEXT(INDEX(Database!$A$5:$A$521,MATCH(LARGE('Calc (scoring engine)'!$K$5:$K$521,6),'Calc (scoring engine)'!$K$5:$K$521,0)),"0")&amp;" HK Equity","PX_TO_SALES_RATIO"),IF(INDEX(Database!$BE$5:$BE$521,MATCH(LARGE('Calc (scoring engine)'!$K$5:$K$521,6),'Calc (scoring engine)'!$K$5:$K$521,0))="","—",INDEX(Database!$BE$5:$BE$521,MATCH(LARGE('Calc (scoring engine)'!$K$5:$K$521,6),'Calc (scoring engine)'!$K$5:$K$521,0)))),""))</f>
        <v/>
      </c>
      <c r="BD26" s="10">
        <f>IF(OR(6&gt;MAX(3,MIN(15,N($D$18))),IFERROR(LARGE('Calc (scoring engine)'!$K$5:$K$521,6),-999999)&lt;=-900000),"",IFERROR(IF(INDEX(Database!$BG$5:$BG$521,MATCH(LARGE('Calc (scoring engine)'!$K$5:$K$521,6),'Calc (scoring engine)'!$K$5:$K$521,0))="","—",INDEX(Database!$BG$5:$BG$521,MATCH(LARGE('Calc (scoring engine)'!$K$5:$K$521,6),'Calc (scoring engine)'!$K$5:$K$521,0))),""))</f>
        <v/>
      </c>
      <c r="BE26" s="10">
        <f>IF(OR(6&gt;MAX(3,MIN(15,N($D$18))),IFERROR(LARGE('Calc (scoring engine)'!$K$5:$K$521,6),-999999)&lt;=-900000),"",IFERROR(IF(INDEX(Database!$BH$5:$BH$521,MATCH(LARGE('Calc (scoring engine)'!$K$5:$K$521,6),'Calc (scoring engine)'!$K$5:$K$521,0))="","—",INDEX(Database!$BH$5:$BH$521,MATCH(LARGE('Calc (scoring engine)'!$K$5:$K$521,6),'Calc (scoring engine)'!$K$5:$K$521,0))),""))</f>
        <v/>
      </c>
      <c r="BF26" s="23">
        <f>IF(OR(6&gt;MAX(3,MIN(15,N($D$18))),IFERROR(LARGE('Calc (scoring engine)'!$K$5:$K$521,6),-999999)&lt;=-900000),"",IFERROR(IF(INDEX(Database!$BI$5:$BI$521,MATCH(LARGE('Calc (scoring engine)'!$K$5:$K$521,6),'Calc (scoring engine)'!$K$5:$K$521,0))="","—",INDEX(Database!$BI$5:$BI$521,MATCH(LARGE('Calc (scoring engine)'!$K$5:$K$521,6),'Calc (scoring engine)'!$K$5:$K$521,0))),""))</f>
        <v/>
      </c>
      <c r="BG26" s="50">
        <f>IF(OR(6&gt;MAX(3,MIN(15,N($D$18))),IFERROR(LARGE('Calc (scoring engine)'!$K$5:$K$521,6),-999999)&lt;=-900000),"",IFERROR(IF(INDEX(Database!$BJ$5:$BJ$521,MATCH(LARGE('Calc (scoring engine)'!$K$5:$K$521,6),'Calc (scoring engine)'!$K$5:$K$521,0))="","—",INDEX(Database!$BJ$5:$BJ$521,MATCH(LARGE('Calc (scoring engine)'!$K$5:$K$521,6),'Calc (scoring engine)'!$K$5:$K$521,0))),""))</f>
        <v/>
      </c>
      <c r="BH26" s="53">
        <f>IF(OR(6&gt;MAX(3,MIN(15,N($D$18))),IFERROR(LARGE('Calc (scoring engine)'!$K$5:$K$521,6),-999999)&lt;=-900000),"",IFERROR(IF(INDEX(Database!$BK$5:$BK$521,MATCH(LARGE('Calc (scoring engine)'!$K$5:$K$521,6),'Calc (scoring engine)'!$K$5:$K$521,0))="","—",INDEX(Database!$BK$5:$BK$521,MATCH(LARGE('Calc (scoring engine)'!$K$5:$K$521,6),'Calc (scoring engine)'!$K$5:$K$521,0))),""))</f>
        <v/>
      </c>
      <c r="BI26" s="19">
        <f>IF(OR(6&gt;MAX(3,MIN(15,N($D$18))),IFERROR(LARGE('Calc (scoring engine)'!$K$5:$K$521,6),-999999)&lt;=-900000),"",IFERROR(IF(INDEX(Database!$BL$5:$BL$521,MATCH(LARGE('Calc (scoring engine)'!$K$5:$K$521,6),'Calc (scoring engine)'!$K$5:$K$521,0))="","—",INDEX(Database!$BL$5:$BL$521,MATCH(LARGE('Calc (scoring engine)'!$K$5:$K$521,6),'Calc (scoring engine)'!$K$5:$K$521,0))),""))</f>
        <v/>
      </c>
      <c r="BJ26" s="24">
        <f>IF(OR(6&gt;MAX(3,MIN(15,N($D$18))),IFERROR(LARGE('Calc (scoring engine)'!$K$5:$K$521,6),-999999)&lt;=-900000),"",IFERROR(IF(INDEX(Database!$BM$5:$BM$521,MATCH(LARGE('Calc (scoring engine)'!$K$5:$K$521,6),'Calc (scoring engine)'!$K$5:$K$521,0))="","—",INDEX(Database!$BM$5:$BM$521,MATCH(LARGE('Calc (scoring engine)'!$K$5:$K$521,6),'Calc (scoring engine)'!$K$5:$K$521,0))),""))</f>
        <v/>
      </c>
      <c r="BK26" s="24">
        <f>IF(OR(6&gt;MAX(3,MIN(15,N($D$18))),IFERROR(LARGE('Calc (scoring engine)'!$K$5:$K$521,6),-999999)&lt;=-900000),"",IFERROR(IF(INDEX(Database!$BN$5:$BN$521,MATCH(LARGE('Calc (scoring engine)'!$K$5:$K$521,6),'Calc (scoring engine)'!$K$5:$K$521,0))="","—",INDEX(Database!$BN$5:$BN$521,MATCH(LARGE('Calc (scoring engine)'!$K$5:$K$521,6),'Calc (scoring engine)'!$K$5:$K$521,0))),""))</f>
        <v/>
      </c>
      <c r="BL26" s="10">
        <f>IF(OR(6&gt;MAX(3,MIN(15,N($D$18))),IFERROR(LARGE('Calc (scoring engine)'!$K$5:$K$521,6),-999999)&lt;=-900000),"",IFERROR(IF(INDEX(Database!$BO$5:$BO$521,MATCH(LARGE('Calc (scoring engine)'!$K$5:$K$521,6),'Calc (scoring engine)'!$K$5:$K$521,0))="","—",INDEX(Database!$BO$5:$BO$521,MATCH(LARGE('Calc (scoring engine)'!$K$5:$K$521,6),'Calc (scoring engine)'!$K$5:$K$521,0))),""))</f>
        <v/>
      </c>
      <c r="BM26" s="10">
        <f>IF(OR(6&gt;MAX(3,MIN(15,N($D$18))),IFERROR(LARGE('Calc (scoring engine)'!$K$5:$K$521,6),-999999)&lt;=-900000),"",IFERROR(IF(INDEX(Database!$BQ$5:$BQ$521,MATCH(LARGE('Calc (scoring engine)'!$K$5:$K$521,6),'Calc (scoring engine)'!$K$5:$K$521,0))="","—",INDEX(Database!$BQ$5:$BQ$521,MATCH(LARGE('Calc (scoring engine)'!$K$5:$K$521,6),'Calc (scoring engine)'!$K$5:$K$521,0))),""))</f>
        <v/>
      </c>
      <c r="BN26" s="54">
        <f>IF(OR(6&gt;MAX(3,MIN(15,N($D$18))),IFERROR(LARGE('Calc (scoring engine)'!$K$5:$K$521,6),-999999)&lt;=-900000),"",IFERROR(IF(INDEX('Calc (scoring engine)'!$H$5:$H$521,MATCH(LARGE('Calc (scoring engine)'!$K$5:$K$521,6),'Calc (scoring engine)'!$K$5:$K$521,0))&gt;0,INDEX('Calc (scoring engine)'!$H$5:$H$521,MATCH(LARGE('Calc (scoring engine)'!$K$5:$K$521,6),'Calc (scoring engine)'!$K$5:$K$521,0)),""),""))</f>
        <v/>
      </c>
      <c r="BO26" s="10">
        <f>IF(OR(6&gt;MAX(3,MIN(15,N($D$18))),IFERROR(LARGE('Calc (scoring engine)'!$K$5:$K$521,6),-999999)&lt;=-900000),"",IF(IFERROR(INDEX('Calc (scoring engine)'!$B$5:$B$521,MATCH(LARGE('Calc (scoring engine)'!$K$5:$K$521,6),'Calc (scoring engine)'!$K$5:$K$521,0)),0)=1,"same subsector","sector only"))</f>
        <v/>
      </c>
      <c r="BP26" s="54">
        <f>IF(OR(6&gt;MAX(3,MIN(15,N($D$18))),IFERROR(LARGE('Calc (scoring engine)'!$K$5:$K$521,6),-999999)&lt;=-900000),"",ROUND(IFERROR(LARGE('Calc (scoring engine)'!$K$5:$K$521,6),0),0))</f>
        <v/>
      </c>
      <c r="BQ26" s="10">
        <f>IF(OR(6&gt;MAX(3,MIN(15,N($D$18))),IFERROR(LARGE('Calc (scoring engine)'!$K$5:$K$521,6),-999999)&lt;=-900000),"",IFERROR("sub "&amp;INDEX('Calc (scoring engine)'!$B$5:$B$521,MATCH(LARGE('Calc (scoring engine)'!$K$5:$K$521,6),'Calc (scoring engine)'!$K$5:$K$521,0))*W_SUB&amp;" + size "&amp;ROUND(INDEX('Calc (scoring engine)'!$D$5:$D$521,MATCH(LARGE('Calc (scoring engine)'!$K$5:$K$521,6),'Calc (scoring engine)'!$K$5:$K$521,0))*W_SIZE,0)&amp;" + prof "&amp;INDEX('Calc (scoring engine)'!$E$5:$E$521,MATCH(LARGE('Calc (scoring engine)'!$K$5:$K$521,6),'Calc (scoring engine)'!$K$5:$K$521,0))*W_PROF&amp;" + recency "&amp;ROUND(INDEX('Calc (scoring engine)'!$G$5:$G$521,MATCH(LARGE('Calc (scoring engine)'!$K$5:$K$521,6),'Calc (scoring engine)'!$K$5:$K$521,0))*W_REC,0)&amp;IF(INDEX('Calc (scoring engine)'!$H$5:$H$521,MATCH(LARGE('Calc (scoring engine)'!$K$5:$K$521,6),'Calc (scoring engine)'!$K$5:$K$521,0))&gt;0," + shared CS x"&amp;INDEX('Calc (scoring engine)'!$H$5:$H$521,MATCH(LARGE('Calc (scoring engine)'!$K$5:$K$521,6),'Calc (scoring engine)'!$K$5:$K$521,0)),""),""))</f>
        <v/>
      </c>
    </row>
    <row r="27">
      <c r="A27" s="48">
        <f>IF(OR(7&gt;MAX(3,MIN(15,N($D$18))),IFERROR(LARGE('Calc (scoring engine)'!$K$5:$K$521,7),-999999)&lt;=-900000),"",7)</f>
        <v/>
      </c>
      <c r="B27" s="10">
        <f>IF(OR(7&gt;MAX(3,MIN(15,N($D$18))),IFERROR(LARGE('Calc (scoring engine)'!$K$5:$K$521,7),-999999)&lt;=-900000),"",IFERROR(IF(INDEX(Database!$B$5:$B$521,MATCH(LARGE('Calc (scoring engine)'!$K$5:$K$521,7),'Calc (scoring engine)'!$K$5:$K$521,0))="","—",INDEX(Database!$B$5:$B$521,MATCH(LARGE('Calc (scoring engine)'!$K$5:$K$521,7),'Calc (scoring engine)'!$K$5:$K$521,0))),""))</f>
        <v/>
      </c>
      <c r="C27" s="49">
        <f>IF(OR(7&gt;MAX(3,MIN(15,N($D$18))),IFERROR(LARGE('Calc (scoring engine)'!$K$5:$K$521,7),-999999)&lt;=-900000),"",IFERROR(IF(INDEX(Database!$A$5:$A$521,MATCH(LARGE('Calc (scoring engine)'!$K$5:$K$521,7),'Calc (scoring engine)'!$K$5:$K$521,0))="","—",INDEX(Database!$A$5:$A$521,MATCH(LARGE('Calc (scoring engine)'!$K$5:$K$521,7),'Calc (scoring engine)'!$K$5:$K$521,0))),""))</f>
        <v/>
      </c>
      <c r="D27" s="10">
        <f>IF(OR(7&gt;MAX(3,MIN(15,N($D$18))),IFERROR(LARGE('Calc (scoring engine)'!$K$5:$K$521,7),-999999)&lt;=-900000),"",IFERROR(IF(INDEX(Database!$D$5:$D$521,MATCH(LARGE('Calc (scoring engine)'!$K$5:$K$521,7),'Calc (scoring engine)'!$K$5:$K$521,0))="","—",INDEX(Database!$D$5:$D$521,MATCH(LARGE('Calc (scoring engine)'!$K$5:$K$521,7),'Calc (scoring engine)'!$K$5:$K$521,0))),""))</f>
        <v/>
      </c>
      <c r="E27" s="10">
        <f>IF(OR(7&gt;MAX(3,MIN(15,N($D$18))),IFERROR(LARGE('Calc (scoring engine)'!$K$5:$K$521,7),-999999)&lt;=-900000),"",IFERROR(IF(INDEX(Database!$E$5:$E$521,MATCH(LARGE('Calc (scoring engine)'!$K$5:$K$521,7),'Calc (scoring engine)'!$K$5:$K$521,0))="","—",INDEX(Database!$E$5:$E$521,MATCH(LARGE('Calc (scoring engine)'!$K$5:$K$521,7),'Calc (scoring engine)'!$K$5:$K$521,0))),""))</f>
        <v/>
      </c>
      <c r="F27" s="10">
        <f>IF(OR(7&gt;MAX(3,MIN(15,N($D$18))),IFERROR(LARGE('Calc (scoring engine)'!$K$5:$K$521,7),-999999)&lt;=-900000),"",IFERROR(IF(INDEX(Database!$F$5:$F$521,MATCH(LARGE('Calc (scoring engine)'!$K$5:$K$521,7),'Calc (scoring engine)'!$K$5:$K$521,0))="","—",INDEX(Database!$F$5:$F$521,MATCH(LARGE('Calc (scoring engine)'!$K$5:$K$521,7),'Calc (scoring engine)'!$K$5:$K$521,0))),""))</f>
        <v/>
      </c>
      <c r="G27" s="10">
        <f>IF(OR(7&gt;MAX(3,MIN(15,N($D$18))),IFERROR(LARGE('Calc (scoring engine)'!$K$5:$K$521,7),-999999)&lt;=-900000),"",IFERROR(IF(INDEX(Database!$G$5:$G$521,MATCH(LARGE('Calc (scoring engine)'!$K$5:$K$521,7),'Calc (scoring engine)'!$K$5:$K$521,0))="","—",INDEX(Database!$G$5:$G$521,MATCH(LARGE('Calc (scoring engine)'!$K$5:$K$521,7),'Calc (scoring engine)'!$K$5:$K$521,0))),""))</f>
        <v/>
      </c>
      <c r="H27" s="21">
        <f>IF(OR(7&gt;MAX(3,MIN(15,N($D$18))),IFERROR(LARGE('Calc (scoring engine)'!$K$5:$K$521,7),-999999)&lt;=-900000),"",IFERROR(IF(INDEX(Database!$H$5:$H$521,MATCH(LARGE('Calc (scoring engine)'!$K$5:$K$521,7),'Calc (scoring engine)'!$K$5:$K$521,0))="","—",INDEX(Database!$H$5:$H$521,MATCH(LARGE('Calc (scoring engine)'!$K$5:$K$521,7),'Calc (scoring engine)'!$K$5:$K$521,0))),""))</f>
        <v/>
      </c>
      <c r="I27" s="19">
        <f>IF(OR(7&gt;MAX(3,MIN(15,N($D$18))),IFERROR(LARGE('Calc (scoring engine)'!$K$5:$K$521,7),-999999)&lt;=-900000),"",IFERROR(IF(INDEX(Database!$I$5:$I$521,MATCH(LARGE('Calc (scoring engine)'!$K$5:$K$521,7),'Calc (scoring engine)'!$K$5:$K$521,0))="","—",INDEX(Database!$I$5:$I$521,MATCH(LARGE('Calc (scoring engine)'!$K$5:$K$521,7),'Calc (scoring engine)'!$K$5:$K$521,0))),""))</f>
        <v/>
      </c>
      <c r="J27" s="50">
        <f>IF(OR(7&gt;MAX(3,MIN(15,N($D$18))),IFERROR(LARGE('Calc (scoring engine)'!$K$5:$K$521,7),-999999)&lt;=-900000),"",IFERROR(IF(INDEX(Database!$K$5:$K$521,MATCH(LARGE('Calc (scoring engine)'!$K$5:$K$521,7),'Calc (scoring engine)'!$K$5:$K$521,0))="","—",INDEX(Database!$K$5:$K$521,MATCH(LARGE('Calc (scoring engine)'!$K$5:$K$521,7),'Calc (scoring engine)'!$K$5:$K$521,0))),""))</f>
        <v/>
      </c>
      <c r="K27" s="50">
        <f>IF(OR(7&gt;MAX(3,MIN(15,N($D$18))),IFERROR(LARGE('Calc (scoring engine)'!$K$5:$K$521,7),-999999)&lt;=-900000),"",IFERROR(IF(INDEX(Database!$L$5:$L$521,MATCH(LARGE('Calc (scoring engine)'!$K$5:$K$521,7),'Calc (scoring engine)'!$K$5:$K$521,0))="","—",INDEX(Database!$L$5:$L$521,MATCH(LARGE('Calc (scoring engine)'!$K$5:$K$521,7),'Calc (scoring engine)'!$K$5:$K$521,0))),""))</f>
        <v/>
      </c>
      <c r="L27" s="50">
        <f>IF(OR(7&gt;MAX(3,MIN(15,N($D$18))),IFERROR(LARGE('Calc (scoring engine)'!$K$5:$K$521,7),-999999)&lt;=-900000),"",IFERROR(IF(INDEX(Database!$M$5:$M$521,MATCH(LARGE('Calc (scoring engine)'!$K$5:$K$521,7),'Calc (scoring engine)'!$K$5:$K$521,0))="","—",INDEX(Database!$M$5:$M$521,MATCH(LARGE('Calc (scoring engine)'!$K$5:$K$521,7),'Calc (scoring engine)'!$K$5:$K$521,0))),""))</f>
        <v/>
      </c>
      <c r="M27" s="10">
        <f>IF(OR(7&gt;MAX(3,MIN(15,N($D$18))),IFERROR(LARGE('Calc (scoring engine)'!$K$5:$K$521,7),-999999)&lt;=-900000),"",IFERROR(IF(INDEX(Database!$N$5:$N$521,MATCH(LARGE('Calc (scoring engine)'!$K$5:$K$521,7),'Calc (scoring engine)'!$K$5:$K$521,0))="","—",INDEX(Database!$N$5:$N$521,MATCH(LARGE('Calc (scoring engine)'!$K$5:$K$521,7),'Calc (scoring engine)'!$K$5:$K$521,0))),""))</f>
        <v/>
      </c>
      <c r="N27" s="31">
        <f>IF(OR(7&gt;MAX(3,MIN(15,N($D$18))),IFERROR(LARGE('Calc (scoring engine)'!$K$5:$K$521,7),-999999)&lt;=-900000),"",IFERROR(IF(INDEX(Database!$O$5:$O$521,MATCH(LARGE('Calc (scoring engine)'!$K$5:$K$521,7),'Calc (scoring engine)'!$K$5:$K$521,0))="","—",INDEX(Database!$O$5:$O$521,MATCH(LARGE('Calc (scoring engine)'!$K$5:$K$521,7),'Calc (scoring engine)'!$K$5:$K$521,0))),""))</f>
        <v/>
      </c>
      <c r="O27" s="31">
        <f>IF(OR(7&gt;MAX(3,MIN(15,N($D$18))),IFERROR(LARGE('Calc (scoring engine)'!$K$5:$K$521,7),-999999)&lt;=-900000),"",IFERROR(IF(INDEX(Database!$P$5:$P$521,MATCH(LARGE('Calc (scoring engine)'!$K$5:$K$521,7),'Calc (scoring engine)'!$K$5:$K$521,0))="","—",INDEX(Database!$P$5:$P$521,MATCH(LARGE('Calc (scoring engine)'!$K$5:$K$521,7),'Calc (scoring engine)'!$K$5:$K$521,0))),""))</f>
        <v/>
      </c>
      <c r="P27" s="19">
        <f>IF(OR(7&gt;MAX(3,MIN(15,N($D$18))),IFERROR(LARGE('Calc (scoring engine)'!$K$5:$K$521,7),-999999)&lt;=-900000),"",IFERROR(IF(INDEX(Database!$Q$5:$Q$521,MATCH(LARGE('Calc (scoring engine)'!$K$5:$K$521,7),'Calc (scoring engine)'!$K$5:$K$521,0))="","—",INDEX(Database!$Q$5:$Q$521,MATCH(LARGE('Calc (scoring engine)'!$K$5:$K$521,7),'Calc (scoring engine)'!$K$5:$K$521,0))),""))</f>
        <v/>
      </c>
      <c r="Q27" s="26">
        <f>IF(OR(7&gt;MAX(3,MIN(15,N($D$18))),IFERROR(LARGE('Calc (scoring engine)'!$K$5:$K$521,7),-999999)&lt;=-900000),"",IFERROR(IF(INDEX(Database!$S$5:$S$521,MATCH(LARGE('Calc (scoring engine)'!$K$5:$K$521,7),'Calc (scoring engine)'!$K$5:$K$521,0))="","—",INDEX(Database!$S$5:$S$521,MATCH(LARGE('Calc (scoring engine)'!$K$5:$K$521,7),'Calc (scoring engine)'!$K$5:$K$521,0))),""))</f>
        <v/>
      </c>
      <c r="R27" s="51">
        <f>IF(OR(7&gt;MAX(3,MIN(15,N($D$18))),IFERROR(LARGE('Calc (scoring engine)'!$K$5:$K$521,7),-999999)&lt;=-900000),"",IFERROR(IF(INDEX(Database!$T$5:$T$521,MATCH(LARGE('Calc (scoring engine)'!$K$5:$K$521,7),'Calc (scoring engine)'!$K$5:$K$521,0))="","—",INDEX(Database!$T$5:$T$521,MATCH(LARGE('Calc (scoring engine)'!$K$5:$K$521,7),'Calc (scoring engine)'!$K$5:$K$521,0))),""))</f>
        <v/>
      </c>
      <c r="S27" s="52">
        <f>IF(OR(7&gt;MAX(3,MIN(15,N($D$18))),IFERROR(LARGE('Calc (scoring engine)'!$K$5:$K$521,7),-999999)&lt;=-900000),"",IFERROR(IF(INDEX(Database!$U$5:$U$521,MATCH(LARGE('Calc (scoring engine)'!$K$5:$K$521,7),'Calc (scoring engine)'!$K$5:$K$521,0))="","—",INDEX(Database!$U$5:$U$521,MATCH(LARGE('Calc (scoring engine)'!$K$5:$K$521,7),'Calc (scoring engine)'!$K$5:$K$521,0))),""))</f>
        <v/>
      </c>
      <c r="T27" s="19">
        <f>IF(OR(7&gt;MAX(3,MIN(15,N($D$18))),IFERROR(LARGE('Calc (scoring engine)'!$K$5:$K$521,7),-999999)&lt;=-900000),"",IFERROR(IF(INDEX(Database!$V$5:$V$521,MATCH(LARGE('Calc (scoring engine)'!$K$5:$K$521,7),'Calc (scoring engine)'!$K$5:$K$521,0))="","—",INDEX(Database!$V$5:$V$521,MATCH(LARGE('Calc (scoring engine)'!$K$5:$K$521,7),'Calc (scoring engine)'!$K$5:$K$521,0))),""))</f>
        <v/>
      </c>
      <c r="U27" s="19">
        <f>IF(OR(7&gt;MAX(3,MIN(15,N($D$18))),IFERROR(LARGE('Calc (scoring engine)'!$K$5:$K$521,7),-999999)&lt;=-900000),"",IFERROR(IF(INDEX(Database!$W$5:$W$521,MATCH(LARGE('Calc (scoring engine)'!$K$5:$K$521,7),'Calc (scoring engine)'!$K$5:$K$521,0))="","—",INDEX(Database!$W$5:$W$521,MATCH(LARGE('Calc (scoring engine)'!$K$5:$K$521,7),'Calc (scoring engine)'!$K$5:$K$521,0))),""))</f>
        <v/>
      </c>
      <c r="V27" s="31">
        <f>IF(OR(7&gt;MAX(3,MIN(15,N($D$18))),IFERROR(LARGE('Calc (scoring engine)'!$K$5:$K$521,7),-999999)&lt;=-900000),"",IFERROR(IF(INDEX(Database!$X$5:$X$521,MATCH(LARGE('Calc (scoring engine)'!$K$5:$K$521,7),'Calc (scoring engine)'!$K$5:$K$521,0))="","—",INDEX(Database!$X$5:$X$521,MATCH(LARGE('Calc (scoring engine)'!$K$5:$K$521,7),'Calc (scoring engine)'!$K$5:$K$521,0))),""))</f>
        <v/>
      </c>
      <c r="W27" s="10">
        <f>IF(OR(7&gt;MAX(3,MIN(15,N($D$18))),IFERROR(LARGE('Calc (scoring engine)'!$K$5:$K$521,7),-999999)&lt;=-900000),"",IFERROR(IF(INDEX(Database!$Y$5:$Y$521,MATCH(LARGE('Calc (scoring engine)'!$K$5:$K$521,7),'Calc (scoring engine)'!$K$5:$K$521,0))="","—",INDEX(Database!$Y$5:$Y$521,MATCH(LARGE('Calc (scoring engine)'!$K$5:$K$521,7),'Calc (scoring engine)'!$K$5:$K$521,0))),""))</f>
        <v/>
      </c>
      <c r="X27" s="31">
        <f>IF(OR(7&gt;MAX(3,MIN(15,N($D$18))),IFERROR(LARGE('Calc (scoring engine)'!$K$5:$K$521,7),-999999)&lt;=-900000),"",IFERROR(IF(INDEX(Database!$AA$5:$AA$521,MATCH(LARGE('Calc (scoring engine)'!$K$5:$K$521,7),'Calc (scoring engine)'!$K$5:$K$521,0))="","—",INDEX(Database!$AA$5:$AA$521,MATCH(LARGE('Calc (scoring engine)'!$K$5:$K$521,7),'Calc (scoring engine)'!$K$5:$K$521,0))),""))</f>
        <v/>
      </c>
      <c r="Y27" s="10">
        <f>IF(OR(7&gt;MAX(3,MIN(15,N($D$18))),IFERROR(LARGE('Calc (scoring engine)'!$K$5:$K$521,7),-999999)&lt;=-900000),"",IFERROR(IF(INDEX(Database!$AB$5:$AB$521,MATCH(LARGE('Calc (scoring engine)'!$K$5:$K$521,7),'Calc (scoring engine)'!$K$5:$K$521,0))="","—",INDEX(Database!$AB$5:$AB$521,MATCH(LARGE('Calc (scoring engine)'!$K$5:$K$521,7),'Calc (scoring engine)'!$K$5:$K$521,0))),""))</f>
        <v/>
      </c>
      <c r="Z27" s="10">
        <f>IF(OR(7&gt;MAX(3,MIN(15,N($D$18))),IFERROR(LARGE('Calc (scoring engine)'!$K$5:$K$521,7),-999999)&lt;=-900000),"",IFERROR(IF(INDEX(Database!$AC$5:$AC$521,MATCH(LARGE('Calc (scoring engine)'!$K$5:$K$521,7),'Calc (scoring engine)'!$K$5:$K$521,0))="","—",INDEX(Database!$AC$5:$AC$521,MATCH(LARGE('Calc (scoring engine)'!$K$5:$K$521,7),'Calc (scoring engine)'!$K$5:$K$521,0))),""))</f>
        <v/>
      </c>
      <c r="AA27" s="10">
        <f>IF(OR(7&gt;MAX(3,MIN(15,N($D$18))),IFERROR(LARGE('Calc (scoring engine)'!$K$5:$K$521,7),-999999)&lt;=-900000),"",IFERROR(IF(INDEX(Database!$AD$5:$AD$521,MATCH(LARGE('Calc (scoring engine)'!$K$5:$K$521,7),'Calc (scoring engine)'!$K$5:$K$521,0))="","—",INDEX(Database!$AD$5:$AD$521,MATCH(LARGE('Calc (scoring engine)'!$K$5:$K$521,7),'Calc (scoring engine)'!$K$5:$K$521,0))),""))</f>
        <v/>
      </c>
      <c r="AB27" s="10">
        <f>IF(OR(7&gt;MAX(3,MIN(15,N($D$18))),IFERROR(LARGE('Calc (scoring engine)'!$K$5:$K$521,7),-999999)&lt;=-900000),"",IFERROR(IF(INDEX(Database!$AE$5:$AE$521,MATCH(LARGE('Calc (scoring engine)'!$K$5:$K$521,7),'Calc (scoring engine)'!$K$5:$K$521,0))="","—",INDEX(Database!$AE$5:$AE$521,MATCH(LARGE('Calc (scoring engine)'!$K$5:$K$521,7),'Calc (scoring engine)'!$K$5:$K$521,0))),""))</f>
        <v/>
      </c>
      <c r="AC27" s="23">
        <f>IF(OR(7&gt;MAX(3,MIN(15,N($D$18))),IFERROR(LARGE('Calc (scoring engine)'!$K$5:$K$521,7),-999999)&lt;=-900000),"",IFERROR(IF(INDEX(Database!$AF$5:$AF$521,MATCH(LARGE('Calc (scoring engine)'!$K$5:$K$521,7),'Calc (scoring engine)'!$K$5:$K$521,0))="","—",INDEX(Database!$AF$5:$AF$521,MATCH(LARGE('Calc (scoring engine)'!$K$5:$K$521,7),'Calc (scoring engine)'!$K$5:$K$521,0))),""))</f>
        <v/>
      </c>
      <c r="AD27" s="23">
        <f>IF(OR(7&gt;MAX(3,MIN(15,N($D$18))),IFERROR(LARGE('Calc (scoring engine)'!$K$5:$K$521,7),-999999)&lt;=-900000),"",IFERROR(IF(INDEX(Database!$AG$5:$AG$521,MATCH(LARGE('Calc (scoring engine)'!$K$5:$K$521,7),'Calc (scoring engine)'!$K$5:$K$521,0))="","—",INDEX(Database!$AG$5:$AG$521,MATCH(LARGE('Calc (scoring engine)'!$K$5:$K$521,7),'Calc (scoring engine)'!$K$5:$K$521,0))),""))</f>
        <v/>
      </c>
      <c r="AE27" s="23">
        <f>IF(OR(7&gt;MAX(3,MIN(15,N($D$18))),IFERROR(LARGE('Calc (scoring engine)'!$K$5:$K$521,7),-999999)&lt;=-900000),"",IFERROR(IF(INDEX(Database!$AH$5:$AH$521,MATCH(LARGE('Calc (scoring engine)'!$K$5:$K$521,7),'Calc (scoring engine)'!$K$5:$K$521,0))="","—",INDEX(Database!$AH$5:$AH$521,MATCH(LARGE('Calc (scoring engine)'!$K$5:$K$521,7),'Calc (scoring engine)'!$K$5:$K$521,0))),""))</f>
        <v/>
      </c>
      <c r="AF27" s="23">
        <f>IF(OR(7&gt;MAX(3,MIN(15,N($D$18))),IFERROR(LARGE('Calc (scoring engine)'!$K$5:$K$521,7),-999999)&lt;=-900000),"",IFERROR(IF(INDEX(Database!$AI$5:$AI$521,MATCH(LARGE('Calc (scoring engine)'!$K$5:$K$521,7),'Calc (scoring engine)'!$K$5:$K$521,0))="","—",INDEX(Database!$AI$5:$AI$521,MATCH(LARGE('Calc (scoring engine)'!$K$5:$K$521,7),'Calc (scoring engine)'!$K$5:$K$521,0))),""))</f>
        <v/>
      </c>
      <c r="AG27" s="23">
        <f>IF(OR(7&gt;MAX(3,MIN(15,N($D$18))),IFERROR(LARGE('Calc (scoring engine)'!$K$5:$K$521,7),-999999)&lt;=-900000),"",IFERROR(IF(INDEX(Database!$AJ$5:$AJ$521,MATCH(LARGE('Calc (scoring engine)'!$K$5:$K$521,7),'Calc (scoring engine)'!$K$5:$K$521,0))="","—",INDEX(Database!$AJ$5:$AJ$521,MATCH(LARGE('Calc (scoring engine)'!$K$5:$K$521,7),'Calc (scoring engine)'!$K$5:$K$521,0))),""))</f>
        <v/>
      </c>
      <c r="AH27" s="23">
        <f>IF(OR(7&gt;MAX(3,MIN(15,N($D$18))),IFERROR(LARGE('Calc (scoring engine)'!$K$5:$K$521,7),-999999)&lt;=-900000),"",IFERROR(IF(INDEX(Database!$AK$5:$AK$521,MATCH(LARGE('Calc (scoring engine)'!$K$5:$K$521,7),'Calc (scoring engine)'!$K$5:$K$521,0))="","—",INDEX(Database!$AK$5:$AK$521,MATCH(LARGE('Calc (scoring engine)'!$K$5:$K$521,7),'Calc (scoring engine)'!$K$5:$K$521,0))),""))</f>
        <v/>
      </c>
      <c r="AI27" s="23">
        <f>IF(OR(7&gt;MAX(3,MIN(15,N($D$18))),IFERROR(LARGE('Calc (scoring engine)'!$K$5:$K$521,7),-999999)&lt;=-900000),"",IFERROR(IF(INDEX(Database!$AL$5:$AL$521,MATCH(LARGE('Calc (scoring engine)'!$K$5:$K$521,7),'Calc (scoring engine)'!$K$5:$K$521,0))="","—",INDEX(Database!$AL$5:$AL$521,MATCH(LARGE('Calc (scoring engine)'!$K$5:$K$521,7),'Calc (scoring engine)'!$K$5:$K$521,0))),""))</f>
        <v/>
      </c>
      <c r="AJ27" s="23">
        <f>IF(OR(7&gt;MAX(3,MIN(15,N($D$18))),IFERROR(LARGE('Calc (scoring engine)'!$K$5:$K$521,7),-999999)&lt;=-900000),"",IFERROR(IF(INDEX(Database!$AM$5:$AM$521,MATCH(LARGE('Calc (scoring engine)'!$K$5:$K$521,7),'Calc (scoring engine)'!$K$5:$K$521,0))="","—",INDEX(Database!$AM$5:$AM$521,MATCH(LARGE('Calc (scoring engine)'!$K$5:$K$521,7),'Calc (scoring engine)'!$K$5:$K$521,0))),""))</f>
        <v/>
      </c>
      <c r="AK27" s="23">
        <f>IF(OR(7&gt;MAX(3,MIN(15,N($D$18))),IFERROR(LARGE('Calc (scoring engine)'!$K$5:$K$521,7),-999999)&lt;=-900000),"",IFERROR(IF(INDEX(Database!$AN$5:$AN$521,MATCH(LARGE('Calc (scoring engine)'!$K$5:$K$521,7),'Calc (scoring engine)'!$K$5:$K$521,0))="","—",INDEX(Database!$AN$5:$AN$521,MATCH(LARGE('Calc (scoring engine)'!$K$5:$K$521,7),'Calc (scoring engine)'!$K$5:$K$521,0))),""))</f>
        <v/>
      </c>
      <c r="AL27" s="23">
        <f>IF(OR(7&gt;MAX(3,MIN(15,N($D$18))),IFERROR(LARGE('Calc (scoring engine)'!$K$5:$K$521,7),-999999)&lt;=-900000),"",IFERROR(IF(INDEX(Database!$AO$5:$AO$521,MATCH(LARGE('Calc (scoring engine)'!$K$5:$K$521,7),'Calc (scoring engine)'!$K$5:$K$521,0))="","—",INDEX(Database!$AO$5:$AO$521,MATCH(LARGE('Calc (scoring engine)'!$K$5:$K$521,7),'Calc (scoring engine)'!$K$5:$K$521,0))),""))</f>
        <v/>
      </c>
      <c r="AM27" s="23">
        <f>IF(OR(7&gt;MAX(3,MIN(15,N($D$18))),IFERROR(LARGE('Calc (scoring engine)'!$K$5:$K$521,7),-999999)&lt;=-900000),"",IFERROR(IF(INDEX(Database!$AP$5:$AP$521,MATCH(LARGE('Calc (scoring engine)'!$K$5:$K$521,7),'Calc (scoring engine)'!$K$5:$K$521,0))="","—",INDEX(Database!$AP$5:$AP$521,MATCH(LARGE('Calc (scoring engine)'!$K$5:$K$521,7),'Calc (scoring engine)'!$K$5:$K$521,0))),""))</f>
        <v/>
      </c>
      <c r="AN27" s="23">
        <f>IF(OR(7&gt;MAX(3,MIN(15,N($D$18))),IFERROR(LARGE('Calc (scoring engine)'!$K$5:$K$521,7),-999999)&lt;=-900000),"",IFERROR(IF(INDEX(Database!$AQ$5:$AQ$521,MATCH(LARGE('Calc (scoring engine)'!$K$5:$K$521,7),'Calc (scoring engine)'!$K$5:$K$521,0))="","—",INDEX(Database!$AQ$5:$AQ$521,MATCH(LARGE('Calc (scoring engine)'!$K$5:$K$521,7),'Calc (scoring engine)'!$K$5:$K$521,0))),""))</f>
        <v/>
      </c>
      <c r="AO27" s="23">
        <f>IF(OR(7&gt;MAX(3,MIN(15,N($D$18))),IFERROR(LARGE('Calc (scoring engine)'!$K$5:$K$521,7),-999999)&lt;=-900000),"",IFERROR(IF(INDEX(Database!$AR$5:$AR$521,MATCH(LARGE('Calc (scoring engine)'!$K$5:$K$521,7),'Calc (scoring engine)'!$K$5:$K$521,0))="","—",INDEX(Database!$AR$5:$AR$521,MATCH(LARGE('Calc (scoring engine)'!$K$5:$K$521,7),'Calc (scoring engine)'!$K$5:$K$521,0))),""))</f>
        <v/>
      </c>
      <c r="AP27" s="23">
        <f>IF(OR(7&gt;MAX(3,MIN(15,N($D$18))),IFERROR(LARGE('Calc (scoring engine)'!$K$5:$K$521,7),-999999)&lt;=-900000),"",IFERROR(IF(INDEX(Database!$AS$5:$AS$521,MATCH(LARGE('Calc (scoring engine)'!$K$5:$K$521,7),'Calc (scoring engine)'!$K$5:$K$521,0))="","—",INDEX(Database!$AS$5:$AS$521,MATCH(LARGE('Calc (scoring engine)'!$K$5:$K$521,7),'Calc (scoring engine)'!$K$5:$K$521,0))),""))</f>
        <v/>
      </c>
      <c r="AQ27" s="23">
        <f>IF(OR(7&gt;MAX(3,MIN(15,N($D$18))),IFERROR(LARGE('Calc (scoring engine)'!$K$5:$K$521,7),-999999)&lt;=-900000),"",IFERROR(IF(INDEX(Database!$AT$5:$AT$521,MATCH(LARGE('Calc (scoring engine)'!$K$5:$K$521,7),'Calc (scoring engine)'!$K$5:$K$521,0))="","—",INDEX(Database!$AT$5:$AT$521,MATCH(LARGE('Calc (scoring engine)'!$K$5:$K$521,7),'Calc (scoring engine)'!$K$5:$K$521,0))),""))</f>
        <v/>
      </c>
      <c r="AR27" s="23">
        <f>IF(OR(7&gt;MAX(3,MIN(15,N($D$18))),IFERROR(LARGE('Calc (scoring engine)'!$K$5:$K$521,7),-999999)&lt;=-900000),"",IFERROR(IF(INDEX(Database!$AU$5:$AU$521,MATCH(LARGE('Calc (scoring engine)'!$K$5:$K$521,7),'Calc (scoring engine)'!$K$5:$K$521,0))="","—",INDEX(Database!$AU$5:$AU$521,MATCH(LARGE('Calc (scoring engine)'!$K$5:$K$521,7),'Calc (scoring engine)'!$K$5:$K$521,0))),""))</f>
        <v/>
      </c>
      <c r="AS27" s="23">
        <f>IF(OR(7&gt;MAX(3,MIN(15,N($D$18))),IFERROR(LARGE('Calc (scoring engine)'!$K$5:$K$521,7),-999999)&lt;=-900000),"",IFERROR(IF(INDEX(Database!$AW$5:$AW$521,MATCH(LARGE('Calc (scoring engine)'!$K$5:$K$521,7),'Calc (scoring engine)'!$K$5:$K$521,0))="","—",INDEX(Database!$AW$5:$AW$521,MATCH(LARGE('Calc (scoring engine)'!$K$5:$K$521,7),'Calc (scoring engine)'!$K$5:$K$521,0))),""))</f>
        <v/>
      </c>
      <c r="AT27" s="19">
        <f>IF(OR(7&gt;MAX(3,MIN(15,N($D$18))),IFERROR(LARGE('Calc (scoring engine)'!$K$5:$K$521,7),-999999)&lt;=-900000),"",IFERROR(IF(INDEX(Database!$AY$5:$AY$521,MATCH(LARGE('Calc (scoring engine)'!$K$5:$K$521,7),'Calc (scoring engine)'!$K$5:$K$521,0))="","—",INDEX(Database!$AY$5:$AY$521,MATCH(LARGE('Calc (scoring engine)'!$K$5:$K$521,7),'Calc (scoring engine)'!$K$5:$K$521,0))),""))</f>
        <v/>
      </c>
      <c r="AU27" s="19">
        <f>IF(OR(7&gt;MAX(3,MIN(15,N($D$18))),IFERROR(LARGE('Calc (scoring engine)'!$K$5:$K$521,7),-999999)&lt;=-900000),"",IFERROR(IF(INDEX(Database!$AZ$5:$AZ$521,MATCH(LARGE('Calc (scoring engine)'!$K$5:$K$521,7),'Calc (scoring engine)'!$K$5:$K$521,0))="","—",INDEX(Database!$AZ$5:$AZ$521,MATCH(LARGE('Calc (scoring engine)'!$K$5:$K$521,7),'Calc (scoring engine)'!$K$5:$K$521,0))),""))</f>
        <v/>
      </c>
      <c r="AV27" s="10">
        <f>IF(OR(7&gt;MAX(3,MIN(15,N($D$18))),IFERROR(LARGE('Calc (scoring engine)'!$K$5:$K$521,7),-999999)&lt;=-900000),"",IFERROR(IF(INDEX(Database!$BA$5:$BA$521,MATCH(LARGE('Calc (scoring engine)'!$K$5:$K$521,7),'Calc (scoring engine)'!$K$5:$K$521,0))="","—",INDEX(Database!$BA$5:$BA$521,MATCH(LARGE('Calc (scoring engine)'!$K$5:$K$521,7),'Calc (scoring engine)'!$K$5:$K$521,0))),""))</f>
        <v/>
      </c>
      <c r="AW27" s="24">
        <f>IF(OR(7&gt;MAX(3,MIN(15,N($D$18))),IFERROR(LARGE('Calc (scoring engine)'!$K$5:$K$521,7),-999999)&lt;=-900000),"",IFERROR(IF(N(INDEX(Database!$BB$5:$BB$521,MATCH(LARGE('Calc (scoring engine)'!$K$5:$K$521,7),'Calc (scoring engine)'!$K$5:$K$521,0)))&lt;=0,IF(INDEX(Database!$BA$5:$BA$521,MATCH(LARGE('Calc (scoring engine)'!$K$5:$K$521,7),'Calc (scoring engine)'!$K$5:$K$521,0))="N","n/m","—"),INDEX(Database!$BB$5:$BB$521,MATCH(LARGE('Calc (scoring engine)'!$K$5:$K$521,7),'Calc (scoring engine)'!$K$5:$K$521,0))),""))</f>
        <v/>
      </c>
      <c r="AX27" s="24">
        <f>IF(OR(7&gt;MAX(3,MIN(15,N($D$18))),IFERROR(LARGE('Calc (scoring engine)'!$K$5:$K$521,7),-999999)&lt;=-900000),"",IFERROR(IF(INDEX(Database!$BC$5:$BC$521,MATCH(LARGE('Calc (scoring engine)'!$K$5:$K$521,7),'Calc (scoring engine)'!$K$5:$K$521,0))="","—",INDEX(Database!$BC$5:$BC$521,MATCH(LARGE('Calc (scoring engine)'!$K$5:$K$521,7),'Calc (scoring engine)'!$K$5:$K$521,0))),""))</f>
        <v/>
      </c>
      <c r="AY27" s="24">
        <f>IF(OR(7&gt;MAX(3,MIN(15,N($D$18))),IFERROR(LARGE('Calc (scoring engine)'!$K$5:$K$521,7),-999999)&lt;=-900000),"",IFERROR(IF(INDEX(Database!$BD$5:$BD$521,MATCH(LARGE('Calc (scoring engine)'!$K$5:$K$521,7),'Calc (scoring engine)'!$K$5:$K$521,0))="","—",INDEX(Database!$BD$5:$BD$521,MATCH(LARGE('Calc (scoring engine)'!$K$5:$K$521,7),'Calc (scoring engine)'!$K$5:$K$521,0))),""))</f>
        <v/>
      </c>
      <c r="AZ27" s="24">
        <f>IF(OR(7&gt;MAX(3,MIN(15,N($D$18))),IFERROR(LARGE('Calc (scoring engine)'!$K$5:$K$521,7),-999999)&lt;=-900000),"",IFERROR(IF(INDEX(Database!$BE$5:$BE$521,MATCH(LARGE('Calc (scoring engine)'!$K$5:$K$521,7),'Calc (scoring engine)'!$K$5:$K$521,0))="","—",INDEX(Database!$BE$5:$BE$521,MATCH(LARGE('Calc (scoring engine)'!$K$5:$K$521,7),'Calc (scoring engine)'!$K$5:$K$521,0))),""))</f>
        <v/>
      </c>
      <c r="BA27" s="24">
        <f>IF(OR(7&gt;MAX(3,MIN(15,N($D$18))),IFERROR(LARGE('Calc (scoring engine)'!$K$5:$K$521,7),-999999)&lt;=-900000),"",IFERROR(IF(INDEX(Database!$BF$5:$BF$521,MATCH(LARGE('Calc (scoring engine)'!$K$5:$K$521,7),'Calc (scoring engine)'!$K$5:$K$521,0))="","—",INDEX(Database!$BF$5:$BF$521,MATCH(LARGE('Calc (scoring engine)'!$K$5:$K$521,7),'Calc (scoring engine)'!$K$5:$K$521,0))),""))</f>
        <v/>
      </c>
      <c r="BB27" s="24">
        <f>IF(OR(7&gt;MAX(3,MIN(15,N($D$18))),IFERROR(LARGE('Calc (scoring engine)'!$K$5:$K$521,7),-999999)&lt;=-900000),"",IFERROR(IFERROR(BDP(TEXT(INDEX(Database!$A$5:$A$521,MATCH(LARGE('Calc (scoring engine)'!$K$5:$K$521,7),'Calc (scoring engine)'!$K$5:$K$521,0)),"0")&amp;" HK Equity","PE_RATIO"),IF(INDEX(Database!$BD$5:$BD$521,MATCH(LARGE('Calc (scoring engine)'!$K$5:$K$521,7),'Calc (scoring engine)'!$K$5:$K$521,0))="","—",INDEX(Database!$BD$5:$BD$521,MATCH(LARGE('Calc (scoring engine)'!$K$5:$K$521,7),'Calc (scoring engine)'!$K$5:$K$521,0)))),""))</f>
        <v/>
      </c>
      <c r="BC27" s="24">
        <f>IF(OR(7&gt;MAX(3,MIN(15,N($D$18))),IFERROR(LARGE('Calc (scoring engine)'!$K$5:$K$521,7),-999999)&lt;=-900000),"",IFERROR(IFERROR(BDP(TEXT(INDEX(Database!$A$5:$A$521,MATCH(LARGE('Calc (scoring engine)'!$K$5:$K$521,7),'Calc (scoring engine)'!$K$5:$K$521,0)),"0")&amp;" HK Equity","PX_TO_SALES_RATIO"),IF(INDEX(Database!$BE$5:$BE$521,MATCH(LARGE('Calc (scoring engine)'!$K$5:$K$521,7),'Calc (scoring engine)'!$K$5:$K$521,0))="","—",INDEX(Database!$BE$5:$BE$521,MATCH(LARGE('Calc (scoring engine)'!$K$5:$K$521,7),'Calc (scoring engine)'!$K$5:$K$521,0)))),""))</f>
        <v/>
      </c>
      <c r="BD27" s="10">
        <f>IF(OR(7&gt;MAX(3,MIN(15,N($D$18))),IFERROR(LARGE('Calc (scoring engine)'!$K$5:$K$521,7),-999999)&lt;=-900000),"",IFERROR(IF(INDEX(Database!$BG$5:$BG$521,MATCH(LARGE('Calc (scoring engine)'!$K$5:$K$521,7),'Calc (scoring engine)'!$K$5:$K$521,0))="","—",INDEX(Database!$BG$5:$BG$521,MATCH(LARGE('Calc (scoring engine)'!$K$5:$K$521,7),'Calc (scoring engine)'!$K$5:$K$521,0))),""))</f>
        <v/>
      </c>
      <c r="BE27" s="10">
        <f>IF(OR(7&gt;MAX(3,MIN(15,N($D$18))),IFERROR(LARGE('Calc (scoring engine)'!$K$5:$K$521,7),-999999)&lt;=-900000),"",IFERROR(IF(INDEX(Database!$BH$5:$BH$521,MATCH(LARGE('Calc (scoring engine)'!$K$5:$K$521,7),'Calc (scoring engine)'!$K$5:$K$521,0))="","—",INDEX(Database!$BH$5:$BH$521,MATCH(LARGE('Calc (scoring engine)'!$K$5:$K$521,7),'Calc (scoring engine)'!$K$5:$K$521,0))),""))</f>
        <v/>
      </c>
      <c r="BF27" s="23">
        <f>IF(OR(7&gt;MAX(3,MIN(15,N($D$18))),IFERROR(LARGE('Calc (scoring engine)'!$K$5:$K$521,7),-999999)&lt;=-900000),"",IFERROR(IF(INDEX(Database!$BI$5:$BI$521,MATCH(LARGE('Calc (scoring engine)'!$K$5:$K$521,7),'Calc (scoring engine)'!$K$5:$K$521,0))="","—",INDEX(Database!$BI$5:$BI$521,MATCH(LARGE('Calc (scoring engine)'!$K$5:$K$521,7),'Calc (scoring engine)'!$K$5:$K$521,0))),""))</f>
        <v/>
      </c>
      <c r="BG27" s="50">
        <f>IF(OR(7&gt;MAX(3,MIN(15,N($D$18))),IFERROR(LARGE('Calc (scoring engine)'!$K$5:$K$521,7),-999999)&lt;=-900000),"",IFERROR(IF(INDEX(Database!$BJ$5:$BJ$521,MATCH(LARGE('Calc (scoring engine)'!$K$5:$K$521,7),'Calc (scoring engine)'!$K$5:$K$521,0))="","—",INDEX(Database!$BJ$5:$BJ$521,MATCH(LARGE('Calc (scoring engine)'!$K$5:$K$521,7),'Calc (scoring engine)'!$K$5:$K$521,0))),""))</f>
        <v/>
      </c>
      <c r="BH27" s="53">
        <f>IF(OR(7&gt;MAX(3,MIN(15,N($D$18))),IFERROR(LARGE('Calc (scoring engine)'!$K$5:$K$521,7),-999999)&lt;=-900000),"",IFERROR(IF(INDEX(Database!$BK$5:$BK$521,MATCH(LARGE('Calc (scoring engine)'!$K$5:$K$521,7),'Calc (scoring engine)'!$K$5:$K$521,0))="","—",INDEX(Database!$BK$5:$BK$521,MATCH(LARGE('Calc (scoring engine)'!$K$5:$K$521,7),'Calc (scoring engine)'!$K$5:$K$521,0))),""))</f>
        <v/>
      </c>
      <c r="BI27" s="19">
        <f>IF(OR(7&gt;MAX(3,MIN(15,N($D$18))),IFERROR(LARGE('Calc (scoring engine)'!$K$5:$K$521,7),-999999)&lt;=-900000),"",IFERROR(IF(INDEX(Database!$BL$5:$BL$521,MATCH(LARGE('Calc (scoring engine)'!$K$5:$K$521,7),'Calc (scoring engine)'!$K$5:$K$521,0))="","—",INDEX(Database!$BL$5:$BL$521,MATCH(LARGE('Calc (scoring engine)'!$K$5:$K$521,7),'Calc (scoring engine)'!$K$5:$K$521,0))),""))</f>
        <v/>
      </c>
      <c r="BJ27" s="24">
        <f>IF(OR(7&gt;MAX(3,MIN(15,N($D$18))),IFERROR(LARGE('Calc (scoring engine)'!$K$5:$K$521,7),-999999)&lt;=-900000),"",IFERROR(IF(INDEX(Database!$BM$5:$BM$521,MATCH(LARGE('Calc (scoring engine)'!$K$5:$K$521,7),'Calc (scoring engine)'!$K$5:$K$521,0))="","—",INDEX(Database!$BM$5:$BM$521,MATCH(LARGE('Calc (scoring engine)'!$K$5:$K$521,7),'Calc (scoring engine)'!$K$5:$K$521,0))),""))</f>
        <v/>
      </c>
      <c r="BK27" s="24">
        <f>IF(OR(7&gt;MAX(3,MIN(15,N($D$18))),IFERROR(LARGE('Calc (scoring engine)'!$K$5:$K$521,7),-999999)&lt;=-900000),"",IFERROR(IF(INDEX(Database!$BN$5:$BN$521,MATCH(LARGE('Calc (scoring engine)'!$K$5:$K$521,7),'Calc (scoring engine)'!$K$5:$K$521,0))="","—",INDEX(Database!$BN$5:$BN$521,MATCH(LARGE('Calc (scoring engine)'!$K$5:$K$521,7),'Calc (scoring engine)'!$K$5:$K$521,0))),""))</f>
        <v/>
      </c>
      <c r="BL27" s="10">
        <f>IF(OR(7&gt;MAX(3,MIN(15,N($D$18))),IFERROR(LARGE('Calc (scoring engine)'!$K$5:$K$521,7),-999999)&lt;=-900000),"",IFERROR(IF(INDEX(Database!$BO$5:$BO$521,MATCH(LARGE('Calc (scoring engine)'!$K$5:$K$521,7),'Calc (scoring engine)'!$K$5:$K$521,0))="","—",INDEX(Database!$BO$5:$BO$521,MATCH(LARGE('Calc (scoring engine)'!$K$5:$K$521,7),'Calc (scoring engine)'!$K$5:$K$521,0))),""))</f>
        <v/>
      </c>
      <c r="BM27" s="10">
        <f>IF(OR(7&gt;MAX(3,MIN(15,N($D$18))),IFERROR(LARGE('Calc (scoring engine)'!$K$5:$K$521,7),-999999)&lt;=-900000),"",IFERROR(IF(INDEX(Database!$BQ$5:$BQ$521,MATCH(LARGE('Calc (scoring engine)'!$K$5:$K$521,7),'Calc (scoring engine)'!$K$5:$K$521,0))="","—",INDEX(Database!$BQ$5:$BQ$521,MATCH(LARGE('Calc (scoring engine)'!$K$5:$K$521,7),'Calc (scoring engine)'!$K$5:$K$521,0))),""))</f>
        <v/>
      </c>
      <c r="BN27" s="54">
        <f>IF(OR(7&gt;MAX(3,MIN(15,N($D$18))),IFERROR(LARGE('Calc (scoring engine)'!$K$5:$K$521,7),-999999)&lt;=-900000),"",IFERROR(IF(INDEX('Calc (scoring engine)'!$H$5:$H$521,MATCH(LARGE('Calc (scoring engine)'!$K$5:$K$521,7),'Calc (scoring engine)'!$K$5:$K$521,0))&gt;0,INDEX('Calc (scoring engine)'!$H$5:$H$521,MATCH(LARGE('Calc (scoring engine)'!$K$5:$K$521,7),'Calc (scoring engine)'!$K$5:$K$521,0)),""),""))</f>
        <v/>
      </c>
      <c r="BO27" s="10">
        <f>IF(OR(7&gt;MAX(3,MIN(15,N($D$18))),IFERROR(LARGE('Calc (scoring engine)'!$K$5:$K$521,7),-999999)&lt;=-900000),"",IF(IFERROR(INDEX('Calc (scoring engine)'!$B$5:$B$521,MATCH(LARGE('Calc (scoring engine)'!$K$5:$K$521,7),'Calc (scoring engine)'!$K$5:$K$521,0)),0)=1,"same subsector","sector only"))</f>
        <v/>
      </c>
      <c r="BP27" s="54">
        <f>IF(OR(7&gt;MAX(3,MIN(15,N($D$18))),IFERROR(LARGE('Calc (scoring engine)'!$K$5:$K$521,7),-999999)&lt;=-900000),"",ROUND(IFERROR(LARGE('Calc (scoring engine)'!$K$5:$K$521,7),0),0))</f>
        <v/>
      </c>
      <c r="BQ27" s="10">
        <f>IF(OR(7&gt;MAX(3,MIN(15,N($D$18))),IFERROR(LARGE('Calc (scoring engine)'!$K$5:$K$521,7),-999999)&lt;=-900000),"",IFERROR("sub "&amp;INDEX('Calc (scoring engine)'!$B$5:$B$521,MATCH(LARGE('Calc (scoring engine)'!$K$5:$K$521,7),'Calc (scoring engine)'!$K$5:$K$521,0))*W_SUB&amp;" + size "&amp;ROUND(INDEX('Calc (scoring engine)'!$D$5:$D$521,MATCH(LARGE('Calc (scoring engine)'!$K$5:$K$521,7),'Calc (scoring engine)'!$K$5:$K$521,0))*W_SIZE,0)&amp;" + prof "&amp;INDEX('Calc (scoring engine)'!$E$5:$E$521,MATCH(LARGE('Calc (scoring engine)'!$K$5:$K$521,7),'Calc (scoring engine)'!$K$5:$K$521,0))*W_PROF&amp;" + recency "&amp;ROUND(INDEX('Calc (scoring engine)'!$G$5:$G$521,MATCH(LARGE('Calc (scoring engine)'!$K$5:$K$521,7),'Calc (scoring engine)'!$K$5:$K$521,0))*W_REC,0)&amp;IF(INDEX('Calc (scoring engine)'!$H$5:$H$521,MATCH(LARGE('Calc (scoring engine)'!$K$5:$K$521,7),'Calc (scoring engine)'!$K$5:$K$521,0))&gt;0," + shared CS x"&amp;INDEX('Calc (scoring engine)'!$H$5:$H$521,MATCH(LARGE('Calc (scoring engine)'!$K$5:$K$521,7),'Calc (scoring engine)'!$K$5:$K$521,0)),""),""))</f>
        <v/>
      </c>
    </row>
    <row r="28">
      <c r="A28" s="48">
        <f>IF(OR(8&gt;MAX(3,MIN(15,N($D$18))),IFERROR(LARGE('Calc (scoring engine)'!$K$5:$K$521,8),-999999)&lt;=-900000),"",8)</f>
        <v/>
      </c>
      <c r="B28" s="10">
        <f>IF(OR(8&gt;MAX(3,MIN(15,N($D$18))),IFERROR(LARGE('Calc (scoring engine)'!$K$5:$K$521,8),-999999)&lt;=-900000),"",IFERROR(IF(INDEX(Database!$B$5:$B$521,MATCH(LARGE('Calc (scoring engine)'!$K$5:$K$521,8),'Calc (scoring engine)'!$K$5:$K$521,0))="","—",INDEX(Database!$B$5:$B$521,MATCH(LARGE('Calc (scoring engine)'!$K$5:$K$521,8),'Calc (scoring engine)'!$K$5:$K$521,0))),""))</f>
        <v/>
      </c>
      <c r="C28" s="49">
        <f>IF(OR(8&gt;MAX(3,MIN(15,N($D$18))),IFERROR(LARGE('Calc (scoring engine)'!$K$5:$K$521,8),-999999)&lt;=-900000),"",IFERROR(IF(INDEX(Database!$A$5:$A$521,MATCH(LARGE('Calc (scoring engine)'!$K$5:$K$521,8),'Calc (scoring engine)'!$K$5:$K$521,0))="","—",INDEX(Database!$A$5:$A$521,MATCH(LARGE('Calc (scoring engine)'!$K$5:$K$521,8),'Calc (scoring engine)'!$K$5:$K$521,0))),""))</f>
        <v/>
      </c>
      <c r="D28" s="10">
        <f>IF(OR(8&gt;MAX(3,MIN(15,N($D$18))),IFERROR(LARGE('Calc (scoring engine)'!$K$5:$K$521,8),-999999)&lt;=-900000),"",IFERROR(IF(INDEX(Database!$D$5:$D$521,MATCH(LARGE('Calc (scoring engine)'!$K$5:$K$521,8),'Calc (scoring engine)'!$K$5:$K$521,0))="","—",INDEX(Database!$D$5:$D$521,MATCH(LARGE('Calc (scoring engine)'!$K$5:$K$521,8),'Calc (scoring engine)'!$K$5:$K$521,0))),""))</f>
        <v/>
      </c>
      <c r="E28" s="10">
        <f>IF(OR(8&gt;MAX(3,MIN(15,N($D$18))),IFERROR(LARGE('Calc (scoring engine)'!$K$5:$K$521,8),-999999)&lt;=-900000),"",IFERROR(IF(INDEX(Database!$E$5:$E$521,MATCH(LARGE('Calc (scoring engine)'!$K$5:$K$521,8),'Calc (scoring engine)'!$K$5:$K$521,0))="","—",INDEX(Database!$E$5:$E$521,MATCH(LARGE('Calc (scoring engine)'!$K$5:$K$521,8),'Calc (scoring engine)'!$K$5:$K$521,0))),""))</f>
        <v/>
      </c>
      <c r="F28" s="10">
        <f>IF(OR(8&gt;MAX(3,MIN(15,N($D$18))),IFERROR(LARGE('Calc (scoring engine)'!$K$5:$K$521,8),-999999)&lt;=-900000),"",IFERROR(IF(INDEX(Database!$F$5:$F$521,MATCH(LARGE('Calc (scoring engine)'!$K$5:$K$521,8),'Calc (scoring engine)'!$K$5:$K$521,0))="","—",INDEX(Database!$F$5:$F$521,MATCH(LARGE('Calc (scoring engine)'!$K$5:$K$521,8),'Calc (scoring engine)'!$K$5:$K$521,0))),""))</f>
        <v/>
      </c>
      <c r="G28" s="10">
        <f>IF(OR(8&gt;MAX(3,MIN(15,N($D$18))),IFERROR(LARGE('Calc (scoring engine)'!$K$5:$K$521,8),-999999)&lt;=-900000),"",IFERROR(IF(INDEX(Database!$G$5:$G$521,MATCH(LARGE('Calc (scoring engine)'!$K$5:$K$521,8),'Calc (scoring engine)'!$K$5:$K$521,0))="","—",INDEX(Database!$G$5:$G$521,MATCH(LARGE('Calc (scoring engine)'!$K$5:$K$521,8),'Calc (scoring engine)'!$K$5:$K$521,0))),""))</f>
        <v/>
      </c>
      <c r="H28" s="21">
        <f>IF(OR(8&gt;MAX(3,MIN(15,N($D$18))),IFERROR(LARGE('Calc (scoring engine)'!$K$5:$K$521,8),-999999)&lt;=-900000),"",IFERROR(IF(INDEX(Database!$H$5:$H$521,MATCH(LARGE('Calc (scoring engine)'!$K$5:$K$521,8),'Calc (scoring engine)'!$K$5:$K$521,0))="","—",INDEX(Database!$H$5:$H$521,MATCH(LARGE('Calc (scoring engine)'!$K$5:$K$521,8),'Calc (scoring engine)'!$K$5:$K$521,0))),""))</f>
        <v/>
      </c>
      <c r="I28" s="19">
        <f>IF(OR(8&gt;MAX(3,MIN(15,N($D$18))),IFERROR(LARGE('Calc (scoring engine)'!$K$5:$K$521,8),-999999)&lt;=-900000),"",IFERROR(IF(INDEX(Database!$I$5:$I$521,MATCH(LARGE('Calc (scoring engine)'!$K$5:$K$521,8),'Calc (scoring engine)'!$K$5:$K$521,0))="","—",INDEX(Database!$I$5:$I$521,MATCH(LARGE('Calc (scoring engine)'!$K$5:$K$521,8),'Calc (scoring engine)'!$K$5:$K$521,0))),""))</f>
        <v/>
      </c>
      <c r="J28" s="50">
        <f>IF(OR(8&gt;MAX(3,MIN(15,N($D$18))),IFERROR(LARGE('Calc (scoring engine)'!$K$5:$K$521,8),-999999)&lt;=-900000),"",IFERROR(IF(INDEX(Database!$K$5:$K$521,MATCH(LARGE('Calc (scoring engine)'!$K$5:$K$521,8),'Calc (scoring engine)'!$K$5:$K$521,0))="","—",INDEX(Database!$K$5:$K$521,MATCH(LARGE('Calc (scoring engine)'!$K$5:$K$521,8),'Calc (scoring engine)'!$K$5:$K$521,0))),""))</f>
        <v/>
      </c>
      <c r="K28" s="50">
        <f>IF(OR(8&gt;MAX(3,MIN(15,N($D$18))),IFERROR(LARGE('Calc (scoring engine)'!$K$5:$K$521,8),-999999)&lt;=-900000),"",IFERROR(IF(INDEX(Database!$L$5:$L$521,MATCH(LARGE('Calc (scoring engine)'!$K$5:$K$521,8),'Calc (scoring engine)'!$K$5:$K$521,0))="","—",INDEX(Database!$L$5:$L$521,MATCH(LARGE('Calc (scoring engine)'!$K$5:$K$521,8),'Calc (scoring engine)'!$K$5:$K$521,0))),""))</f>
        <v/>
      </c>
      <c r="L28" s="50">
        <f>IF(OR(8&gt;MAX(3,MIN(15,N($D$18))),IFERROR(LARGE('Calc (scoring engine)'!$K$5:$K$521,8),-999999)&lt;=-900000),"",IFERROR(IF(INDEX(Database!$M$5:$M$521,MATCH(LARGE('Calc (scoring engine)'!$K$5:$K$521,8),'Calc (scoring engine)'!$K$5:$K$521,0))="","—",INDEX(Database!$M$5:$M$521,MATCH(LARGE('Calc (scoring engine)'!$K$5:$K$521,8),'Calc (scoring engine)'!$K$5:$K$521,0))),""))</f>
        <v/>
      </c>
      <c r="M28" s="10">
        <f>IF(OR(8&gt;MAX(3,MIN(15,N($D$18))),IFERROR(LARGE('Calc (scoring engine)'!$K$5:$K$521,8),-999999)&lt;=-900000),"",IFERROR(IF(INDEX(Database!$N$5:$N$521,MATCH(LARGE('Calc (scoring engine)'!$K$5:$K$521,8),'Calc (scoring engine)'!$K$5:$K$521,0))="","—",INDEX(Database!$N$5:$N$521,MATCH(LARGE('Calc (scoring engine)'!$K$5:$K$521,8),'Calc (scoring engine)'!$K$5:$K$521,0))),""))</f>
        <v/>
      </c>
      <c r="N28" s="31">
        <f>IF(OR(8&gt;MAX(3,MIN(15,N($D$18))),IFERROR(LARGE('Calc (scoring engine)'!$K$5:$K$521,8),-999999)&lt;=-900000),"",IFERROR(IF(INDEX(Database!$O$5:$O$521,MATCH(LARGE('Calc (scoring engine)'!$K$5:$K$521,8),'Calc (scoring engine)'!$K$5:$K$521,0))="","—",INDEX(Database!$O$5:$O$521,MATCH(LARGE('Calc (scoring engine)'!$K$5:$K$521,8),'Calc (scoring engine)'!$K$5:$K$521,0))),""))</f>
        <v/>
      </c>
      <c r="O28" s="31">
        <f>IF(OR(8&gt;MAX(3,MIN(15,N($D$18))),IFERROR(LARGE('Calc (scoring engine)'!$K$5:$K$521,8),-999999)&lt;=-900000),"",IFERROR(IF(INDEX(Database!$P$5:$P$521,MATCH(LARGE('Calc (scoring engine)'!$K$5:$K$521,8),'Calc (scoring engine)'!$K$5:$K$521,0))="","—",INDEX(Database!$P$5:$P$521,MATCH(LARGE('Calc (scoring engine)'!$K$5:$K$521,8),'Calc (scoring engine)'!$K$5:$K$521,0))),""))</f>
        <v/>
      </c>
      <c r="P28" s="19">
        <f>IF(OR(8&gt;MAX(3,MIN(15,N($D$18))),IFERROR(LARGE('Calc (scoring engine)'!$K$5:$K$521,8),-999999)&lt;=-900000),"",IFERROR(IF(INDEX(Database!$Q$5:$Q$521,MATCH(LARGE('Calc (scoring engine)'!$K$5:$K$521,8),'Calc (scoring engine)'!$K$5:$K$521,0))="","—",INDEX(Database!$Q$5:$Q$521,MATCH(LARGE('Calc (scoring engine)'!$K$5:$K$521,8),'Calc (scoring engine)'!$K$5:$K$521,0))),""))</f>
        <v/>
      </c>
      <c r="Q28" s="26">
        <f>IF(OR(8&gt;MAX(3,MIN(15,N($D$18))),IFERROR(LARGE('Calc (scoring engine)'!$K$5:$K$521,8),-999999)&lt;=-900000),"",IFERROR(IF(INDEX(Database!$S$5:$S$521,MATCH(LARGE('Calc (scoring engine)'!$K$5:$K$521,8),'Calc (scoring engine)'!$K$5:$K$521,0))="","—",INDEX(Database!$S$5:$S$521,MATCH(LARGE('Calc (scoring engine)'!$K$5:$K$521,8),'Calc (scoring engine)'!$K$5:$K$521,0))),""))</f>
        <v/>
      </c>
      <c r="R28" s="51">
        <f>IF(OR(8&gt;MAX(3,MIN(15,N($D$18))),IFERROR(LARGE('Calc (scoring engine)'!$K$5:$K$521,8),-999999)&lt;=-900000),"",IFERROR(IF(INDEX(Database!$T$5:$T$521,MATCH(LARGE('Calc (scoring engine)'!$K$5:$K$521,8),'Calc (scoring engine)'!$K$5:$K$521,0))="","—",INDEX(Database!$T$5:$T$521,MATCH(LARGE('Calc (scoring engine)'!$K$5:$K$521,8),'Calc (scoring engine)'!$K$5:$K$521,0))),""))</f>
        <v/>
      </c>
      <c r="S28" s="52">
        <f>IF(OR(8&gt;MAX(3,MIN(15,N($D$18))),IFERROR(LARGE('Calc (scoring engine)'!$K$5:$K$521,8),-999999)&lt;=-900000),"",IFERROR(IF(INDEX(Database!$U$5:$U$521,MATCH(LARGE('Calc (scoring engine)'!$K$5:$K$521,8),'Calc (scoring engine)'!$K$5:$K$521,0))="","—",INDEX(Database!$U$5:$U$521,MATCH(LARGE('Calc (scoring engine)'!$K$5:$K$521,8),'Calc (scoring engine)'!$K$5:$K$521,0))),""))</f>
        <v/>
      </c>
      <c r="T28" s="19">
        <f>IF(OR(8&gt;MAX(3,MIN(15,N($D$18))),IFERROR(LARGE('Calc (scoring engine)'!$K$5:$K$521,8),-999999)&lt;=-900000),"",IFERROR(IF(INDEX(Database!$V$5:$V$521,MATCH(LARGE('Calc (scoring engine)'!$K$5:$K$521,8),'Calc (scoring engine)'!$K$5:$K$521,0))="","—",INDEX(Database!$V$5:$V$521,MATCH(LARGE('Calc (scoring engine)'!$K$5:$K$521,8),'Calc (scoring engine)'!$K$5:$K$521,0))),""))</f>
        <v/>
      </c>
      <c r="U28" s="19">
        <f>IF(OR(8&gt;MAX(3,MIN(15,N($D$18))),IFERROR(LARGE('Calc (scoring engine)'!$K$5:$K$521,8),-999999)&lt;=-900000),"",IFERROR(IF(INDEX(Database!$W$5:$W$521,MATCH(LARGE('Calc (scoring engine)'!$K$5:$K$521,8),'Calc (scoring engine)'!$K$5:$K$521,0))="","—",INDEX(Database!$W$5:$W$521,MATCH(LARGE('Calc (scoring engine)'!$K$5:$K$521,8),'Calc (scoring engine)'!$K$5:$K$521,0))),""))</f>
        <v/>
      </c>
      <c r="V28" s="31">
        <f>IF(OR(8&gt;MAX(3,MIN(15,N($D$18))),IFERROR(LARGE('Calc (scoring engine)'!$K$5:$K$521,8),-999999)&lt;=-900000),"",IFERROR(IF(INDEX(Database!$X$5:$X$521,MATCH(LARGE('Calc (scoring engine)'!$K$5:$K$521,8),'Calc (scoring engine)'!$K$5:$K$521,0))="","—",INDEX(Database!$X$5:$X$521,MATCH(LARGE('Calc (scoring engine)'!$K$5:$K$521,8),'Calc (scoring engine)'!$K$5:$K$521,0))),""))</f>
        <v/>
      </c>
      <c r="W28" s="10">
        <f>IF(OR(8&gt;MAX(3,MIN(15,N($D$18))),IFERROR(LARGE('Calc (scoring engine)'!$K$5:$K$521,8),-999999)&lt;=-900000),"",IFERROR(IF(INDEX(Database!$Y$5:$Y$521,MATCH(LARGE('Calc (scoring engine)'!$K$5:$K$521,8),'Calc (scoring engine)'!$K$5:$K$521,0))="","—",INDEX(Database!$Y$5:$Y$521,MATCH(LARGE('Calc (scoring engine)'!$K$5:$K$521,8),'Calc (scoring engine)'!$K$5:$K$521,0))),""))</f>
        <v/>
      </c>
      <c r="X28" s="31">
        <f>IF(OR(8&gt;MAX(3,MIN(15,N($D$18))),IFERROR(LARGE('Calc (scoring engine)'!$K$5:$K$521,8),-999999)&lt;=-900000),"",IFERROR(IF(INDEX(Database!$AA$5:$AA$521,MATCH(LARGE('Calc (scoring engine)'!$K$5:$K$521,8),'Calc (scoring engine)'!$K$5:$K$521,0))="","—",INDEX(Database!$AA$5:$AA$521,MATCH(LARGE('Calc (scoring engine)'!$K$5:$K$521,8),'Calc (scoring engine)'!$K$5:$K$521,0))),""))</f>
        <v/>
      </c>
      <c r="Y28" s="10">
        <f>IF(OR(8&gt;MAX(3,MIN(15,N($D$18))),IFERROR(LARGE('Calc (scoring engine)'!$K$5:$K$521,8),-999999)&lt;=-900000),"",IFERROR(IF(INDEX(Database!$AB$5:$AB$521,MATCH(LARGE('Calc (scoring engine)'!$K$5:$K$521,8),'Calc (scoring engine)'!$K$5:$K$521,0))="","—",INDEX(Database!$AB$5:$AB$521,MATCH(LARGE('Calc (scoring engine)'!$K$5:$K$521,8),'Calc (scoring engine)'!$K$5:$K$521,0))),""))</f>
        <v/>
      </c>
      <c r="Z28" s="10">
        <f>IF(OR(8&gt;MAX(3,MIN(15,N($D$18))),IFERROR(LARGE('Calc (scoring engine)'!$K$5:$K$521,8),-999999)&lt;=-900000),"",IFERROR(IF(INDEX(Database!$AC$5:$AC$521,MATCH(LARGE('Calc (scoring engine)'!$K$5:$K$521,8),'Calc (scoring engine)'!$K$5:$K$521,0))="","—",INDEX(Database!$AC$5:$AC$521,MATCH(LARGE('Calc (scoring engine)'!$K$5:$K$521,8),'Calc (scoring engine)'!$K$5:$K$521,0))),""))</f>
        <v/>
      </c>
      <c r="AA28" s="10">
        <f>IF(OR(8&gt;MAX(3,MIN(15,N($D$18))),IFERROR(LARGE('Calc (scoring engine)'!$K$5:$K$521,8),-999999)&lt;=-900000),"",IFERROR(IF(INDEX(Database!$AD$5:$AD$521,MATCH(LARGE('Calc (scoring engine)'!$K$5:$K$521,8),'Calc (scoring engine)'!$K$5:$K$521,0))="","—",INDEX(Database!$AD$5:$AD$521,MATCH(LARGE('Calc (scoring engine)'!$K$5:$K$521,8),'Calc (scoring engine)'!$K$5:$K$521,0))),""))</f>
        <v/>
      </c>
      <c r="AB28" s="10">
        <f>IF(OR(8&gt;MAX(3,MIN(15,N($D$18))),IFERROR(LARGE('Calc (scoring engine)'!$K$5:$K$521,8),-999999)&lt;=-900000),"",IFERROR(IF(INDEX(Database!$AE$5:$AE$521,MATCH(LARGE('Calc (scoring engine)'!$K$5:$K$521,8),'Calc (scoring engine)'!$K$5:$K$521,0))="","—",INDEX(Database!$AE$5:$AE$521,MATCH(LARGE('Calc (scoring engine)'!$K$5:$K$521,8),'Calc (scoring engine)'!$K$5:$K$521,0))),""))</f>
        <v/>
      </c>
      <c r="AC28" s="23">
        <f>IF(OR(8&gt;MAX(3,MIN(15,N($D$18))),IFERROR(LARGE('Calc (scoring engine)'!$K$5:$K$521,8),-999999)&lt;=-900000),"",IFERROR(IF(INDEX(Database!$AF$5:$AF$521,MATCH(LARGE('Calc (scoring engine)'!$K$5:$K$521,8),'Calc (scoring engine)'!$K$5:$K$521,0))="","—",INDEX(Database!$AF$5:$AF$521,MATCH(LARGE('Calc (scoring engine)'!$K$5:$K$521,8),'Calc (scoring engine)'!$K$5:$K$521,0))),""))</f>
        <v/>
      </c>
      <c r="AD28" s="23">
        <f>IF(OR(8&gt;MAX(3,MIN(15,N($D$18))),IFERROR(LARGE('Calc (scoring engine)'!$K$5:$K$521,8),-999999)&lt;=-900000),"",IFERROR(IF(INDEX(Database!$AG$5:$AG$521,MATCH(LARGE('Calc (scoring engine)'!$K$5:$K$521,8),'Calc (scoring engine)'!$K$5:$K$521,0))="","—",INDEX(Database!$AG$5:$AG$521,MATCH(LARGE('Calc (scoring engine)'!$K$5:$K$521,8),'Calc (scoring engine)'!$K$5:$K$521,0))),""))</f>
        <v/>
      </c>
      <c r="AE28" s="23">
        <f>IF(OR(8&gt;MAX(3,MIN(15,N($D$18))),IFERROR(LARGE('Calc (scoring engine)'!$K$5:$K$521,8),-999999)&lt;=-900000),"",IFERROR(IF(INDEX(Database!$AH$5:$AH$521,MATCH(LARGE('Calc (scoring engine)'!$K$5:$K$521,8),'Calc (scoring engine)'!$K$5:$K$521,0))="","—",INDEX(Database!$AH$5:$AH$521,MATCH(LARGE('Calc (scoring engine)'!$K$5:$K$521,8),'Calc (scoring engine)'!$K$5:$K$521,0))),""))</f>
        <v/>
      </c>
      <c r="AF28" s="23">
        <f>IF(OR(8&gt;MAX(3,MIN(15,N($D$18))),IFERROR(LARGE('Calc (scoring engine)'!$K$5:$K$521,8),-999999)&lt;=-900000),"",IFERROR(IF(INDEX(Database!$AI$5:$AI$521,MATCH(LARGE('Calc (scoring engine)'!$K$5:$K$521,8),'Calc (scoring engine)'!$K$5:$K$521,0))="","—",INDEX(Database!$AI$5:$AI$521,MATCH(LARGE('Calc (scoring engine)'!$K$5:$K$521,8),'Calc (scoring engine)'!$K$5:$K$521,0))),""))</f>
        <v/>
      </c>
      <c r="AG28" s="23">
        <f>IF(OR(8&gt;MAX(3,MIN(15,N($D$18))),IFERROR(LARGE('Calc (scoring engine)'!$K$5:$K$521,8),-999999)&lt;=-900000),"",IFERROR(IF(INDEX(Database!$AJ$5:$AJ$521,MATCH(LARGE('Calc (scoring engine)'!$K$5:$K$521,8),'Calc (scoring engine)'!$K$5:$K$521,0))="","—",INDEX(Database!$AJ$5:$AJ$521,MATCH(LARGE('Calc (scoring engine)'!$K$5:$K$521,8),'Calc (scoring engine)'!$K$5:$K$521,0))),""))</f>
        <v/>
      </c>
      <c r="AH28" s="23">
        <f>IF(OR(8&gt;MAX(3,MIN(15,N($D$18))),IFERROR(LARGE('Calc (scoring engine)'!$K$5:$K$521,8),-999999)&lt;=-900000),"",IFERROR(IF(INDEX(Database!$AK$5:$AK$521,MATCH(LARGE('Calc (scoring engine)'!$K$5:$K$521,8),'Calc (scoring engine)'!$K$5:$K$521,0))="","—",INDEX(Database!$AK$5:$AK$521,MATCH(LARGE('Calc (scoring engine)'!$K$5:$K$521,8),'Calc (scoring engine)'!$K$5:$K$521,0))),""))</f>
        <v/>
      </c>
      <c r="AI28" s="23">
        <f>IF(OR(8&gt;MAX(3,MIN(15,N($D$18))),IFERROR(LARGE('Calc (scoring engine)'!$K$5:$K$521,8),-999999)&lt;=-900000),"",IFERROR(IF(INDEX(Database!$AL$5:$AL$521,MATCH(LARGE('Calc (scoring engine)'!$K$5:$K$521,8),'Calc (scoring engine)'!$K$5:$K$521,0))="","—",INDEX(Database!$AL$5:$AL$521,MATCH(LARGE('Calc (scoring engine)'!$K$5:$K$521,8),'Calc (scoring engine)'!$K$5:$K$521,0))),""))</f>
        <v/>
      </c>
      <c r="AJ28" s="23">
        <f>IF(OR(8&gt;MAX(3,MIN(15,N($D$18))),IFERROR(LARGE('Calc (scoring engine)'!$K$5:$K$521,8),-999999)&lt;=-900000),"",IFERROR(IF(INDEX(Database!$AM$5:$AM$521,MATCH(LARGE('Calc (scoring engine)'!$K$5:$K$521,8),'Calc (scoring engine)'!$K$5:$K$521,0))="","—",INDEX(Database!$AM$5:$AM$521,MATCH(LARGE('Calc (scoring engine)'!$K$5:$K$521,8),'Calc (scoring engine)'!$K$5:$K$521,0))),""))</f>
        <v/>
      </c>
      <c r="AK28" s="23">
        <f>IF(OR(8&gt;MAX(3,MIN(15,N($D$18))),IFERROR(LARGE('Calc (scoring engine)'!$K$5:$K$521,8),-999999)&lt;=-900000),"",IFERROR(IF(INDEX(Database!$AN$5:$AN$521,MATCH(LARGE('Calc (scoring engine)'!$K$5:$K$521,8),'Calc (scoring engine)'!$K$5:$K$521,0))="","—",INDEX(Database!$AN$5:$AN$521,MATCH(LARGE('Calc (scoring engine)'!$K$5:$K$521,8),'Calc (scoring engine)'!$K$5:$K$521,0))),""))</f>
        <v/>
      </c>
      <c r="AL28" s="23">
        <f>IF(OR(8&gt;MAX(3,MIN(15,N($D$18))),IFERROR(LARGE('Calc (scoring engine)'!$K$5:$K$521,8),-999999)&lt;=-900000),"",IFERROR(IF(INDEX(Database!$AO$5:$AO$521,MATCH(LARGE('Calc (scoring engine)'!$K$5:$K$521,8),'Calc (scoring engine)'!$K$5:$K$521,0))="","—",INDEX(Database!$AO$5:$AO$521,MATCH(LARGE('Calc (scoring engine)'!$K$5:$K$521,8),'Calc (scoring engine)'!$K$5:$K$521,0))),""))</f>
        <v/>
      </c>
      <c r="AM28" s="23">
        <f>IF(OR(8&gt;MAX(3,MIN(15,N($D$18))),IFERROR(LARGE('Calc (scoring engine)'!$K$5:$K$521,8),-999999)&lt;=-900000),"",IFERROR(IF(INDEX(Database!$AP$5:$AP$521,MATCH(LARGE('Calc (scoring engine)'!$K$5:$K$521,8),'Calc (scoring engine)'!$K$5:$K$521,0))="","—",INDEX(Database!$AP$5:$AP$521,MATCH(LARGE('Calc (scoring engine)'!$K$5:$K$521,8),'Calc (scoring engine)'!$K$5:$K$521,0))),""))</f>
        <v/>
      </c>
      <c r="AN28" s="23">
        <f>IF(OR(8&gt;MAX(3,MIN(15,N($D$18))),IFERROR(LARGE('Calc (scoring engine)'!$K$5:$K$521,8),-999999)&lt;=-900000),"",IFERROR(IF(INDEX(Database!$AQ$5:$AQ$521,MATCH(LARGE('Calc (scoring engine)'!$K$5:$K$521,8),'Calc (scoring engine)'!$K$5:$K$521,0))="","—",INDEX(Database!$AQ$5:$AQ$521,MATCH(LARGE('Calc (scoring engine)'!$K$5:$K$521,8),'Calc (scoring engine)'!$K$5:$K$521,0))),""))</f>
        <v/>
      </c>
      <c r="AO28" s="23">
        <f>IF(OR(8&gt;MAX(3,MIN(15,N($D$18))),IFERROR(LARGE('Calc (scoring engine)'!$K$5:$K$521,8),-999999)&lt;=-900000),"",IFERROR(IF(INDEX(Database!$AR$5:$AR$521,MATCH(LARGE('Calc (scoring engine)'!$K$5:$K$521,8),'Calc (scoring engine)'!$K$5:$K$521,0))="","—",INDEX(Database!$AR$5:$AR$521,MATCH(LARGE('Calc (scoring engine)'!$K$5:$K$521,8),'Calc (scoring engine)'!$K$5:$K$521,0))),""))</f>
        <v/>
      </c>
      <c r="AP28" s="23">
        <f>IF(OR(8&gt;MAX(3,MIN(15,N($D$18))),IFERROR(LARGE('Calc (scoring engine)'!$K$5:$K$521,8),-999999)&lt;=-900000),"",IFERROR(IF(INDEX(Database!$AS$5:$AS$521,MATCH(LARGE('Calc (scoring engine)'!$K$5:$K$521,8),'Calc (scoring engine)'!$K$5:$K$521,0))="","—",INDEX(Database!$AS$5:$AS$521,MATCH(LARGE('Calc (scoring engine)'!$K$5:$K$521,8),'Calc (scoring engine)'!$K$5:$K$521,0))),""))</f>
        <v/>
      </c>
      <c r="AQ28" s="23">
        <f>IF(OR(8&gt;MAX(3,MIN(15,N($D$18))),IFERROR(LARGE('Calc (scoring engine)'!$K$5:$K$521,8),-999999)&lt;=-900000),"",IFERROR(IF(INDEX(Database!$AT$5:$AT$521,MATCH(LARGE('Calc (scoring engine)'!$K$5:$K$521,8),'Calc (scoring engine)'!$K$5:$K$521,0))="","—",INDEX(Database!$AT$5:$AT$521,MATCH(LARGE('Calc (scoring engine)'!$K$5:$K$521,8),'Calc (scoring engine)'!$K$5:$K$521,0))),""))</f>
        <v/>
      </c>
      <c r="AR28" s="23">
        <f>IF(OR(8&gt;MAX(3,MIN(15,N($D$18))),IFERROR(LARGE('Calc (scoring engine)'!$K$5:$K$521,8),-999999)&lt;=-900000),"",IFERROR(IF(INDEX(Database!$AU$5:$AU$521,MATCH(LARGE('Calc (scoring engine)'!$K$5:$K$521,8),'Calc (scoring engine)'!$K$5:$K$521,0))="","—",INDEX(Database!$AU$5:$AU$521,MATCH(LARGE('Calc (scoring engine)'!$K$5:$K$521,8),'Calc (scoring engine)'!$K$5:$K$521,0))),""))</f>
        <v/>
      </c>
      <c r="AS28" s="23">
        <f>IF(OR(8&gt;MAX(3,MIN(15,N($D$18))),IFERROR(LARGE('Calc (scoring engine)'!$K$5:$K$521,8),-999999)&lt;=-900000),"",IFERROR(IF(INDEX(Database!$AW$5:$AW$521,MATCH(LARGE('Calc (scoring engine)'!$K$5:$K$521,8),'Calc (scoring engine)'!$K$5:$K$521,0))="","—",INDEX(Database!$AW$5:$AW$521,MATCH(LARGE('Calc (scoring engine)'!$K$5:$K$521,8),'Calc (scoring engine)'!$K$5:$K$521,0))),""))</f>
        <v/>
      </c>
      <c r="AT28" s="19">
        <f>IF(OR(8&gt;MAX(3,MIN(15,N($D$18))),IFERROR(LARGE('Calc (scoring engine)'!$K$5:$K$521,8),-999999)&lt;=-900000),"",IFERROR(IF(INDEX(Database!$AY$5:$AY$521,MATCH(LARGE('Calc (scoring engine)'!$K$5:$K$521,8),'Calc (scoring engine)'!$K$5:$K$521,0))="","—",INDEX(Database!$AY$5:$AY$521,MATCH(LARGE('Calc (scoring engine)'!$K$5:$K$521,8),'Calc (scoring engine)'!$K$5:$K$521,0))),""))</f>
        <v/>
      </c>
      <c r="AU28" s="19">
        <f>IF(OR(8&gt;MAX(3,MIN(15,N($D$18))),IFERROR(LARGE('Calc (scoring engine)'!$K$5:$K$521,8),-999999)&lt;=-900000),"",IFERROR(IF(INDEX(Database!$AZ$5:$AZ$521,MATCH(LARGE('Calc (scoring engine)'!$K$5:$K$521,8),'Calc (scoring engine)'!$K$5:$K$521,0))="","—",INDEX(Database!$AZ$5:$AZ$521,MATCH(LARGE('Calc (scoring engine)'!$K$5:$K$521,8),'Calc (scoring engine)'!$K$5:$K$521,0))),""))</f>
        <v/>
      </c>
      <c r="AV28" s="10">
        <f>IF(OR(8&gt;MAX(3,MIN(15,N($D$18))),IFERROR(LARGE('Calc (scoring engine)'!$K$5:$K$521,8),-999999)&lt;=-900000),"",IFERROR(IF(INDEX(Database!$BA$5:$BA$521,MATCH(LARGE('Calc (scoring engine)'!$K$5:$K$521,8),'Calc (scoring engine)'!$K$5:$K$521,0))="","—",INDEX(Database!$BA$5:$BA$521,MATCH(LARGE('Calc (scoring engine)'!$K$5:$K$521,8),'Calc (scoring engine)'!$K$5:$K$521,0))),""))</f>
        <v/>
      </c>
      <c r="AW28" s="24">
        <f>IF(OR(8&gt;MAX(3,MIN(15,N($D$18))),IFERROR(LARGE('Calc (scoring engine)'!$K$5:$K$521,8),-999999)&lt;=-900000),"",IFERROR(IF(N(INDEX(Database!$BB$5:$BB$521,MATCH(LARGE('Calc (scoring engine)'!$K$5:$K$521,8),'Calc (scoring engine)'!$K$5:$K$521,0)))&lt;=0,IF(INDEX(Database!$BA$5:$BA$521,MATCH(LARGE('Calc (scoring engine)'!$K$5:$K$521,8),'Calc (scoring engine)'!$K$5:$K$521,0))="N","n/m","—"),INDEX(Database!$BB$5:$BB$521,MATCH(LARGE('Calc (scoring engine)'!$K$5:$K$521,8),'Calc (scoring engine)'!$K$5:$K$521,0))),""))</f>
        <v/>
      </c>
      <c r="AX28" s="24">
        <f>IF(OR(8&gt;MAX(3,MIN(15,N($D$18))),IFERROR(LARGE('Calc (scoring engine)'!$K$5:$K$521,8),-999999)&lt;=-900000),"",IFERROR(IF(INDEX(Database!$BC$5:$BC$521,MATCH(LARGE('Calc (scoring engine)'!$K$5:$K$521,8),'Calc (scoring engine)'!$K$5:$K$521,0))="","—",INDEX(Database!$BC$5:$BC$521,MATCH(LARGE('Calc (scoring engine)'!$K$5:$K$521,8),'Calc (scoring engine)'!$K$5:$K$521,0))),""))</f>
        <v/>
      </c>
      <c r="AY28" s="24">
        <f>IF(OR(8&gt;MAX(3,MIN(15,N($D$18))),IFERROR(LARGE('Calc (scoring engine)'!$K$5:$K$521,8),-999999)&lt;=-900000),"",IFERROR(IF(INDEX(Database!$BD$5:$BD$521,MATCH(LARGE('Calc (scoring engine)'!$K$5:$K$521,8),'Calc (scoring engine)'!$K$5:$K$521,0))="","—",INDEX(Database!$BD$5:$BD$521,MATCH(LARGE('Calc (scoring engine)'!$K$5:$K$521,8),'Calc (scoring engine)'!$K$5:$K$521,0))),""))</f>
        <v/>
      </c>
      <c r="AZ28" s="24">
        <f>IF(OR(8&gt;MAX(3,MIN(15,N($D$18))),IFERROR(LARGE('Calc (scoring engine)'!$K$5:$K$521,8),-999999)&lt;=-900000),"",IFERROR(IF(INDEX(Database!$BE$5:$BE$521,MATCH(LARGE('Calc (scoring engine)'!$K$5:$K$521,8),'Calc (scoring engine)'!$K$5:$K$521,0))="","—",INDEX(Database!$BE$5:$BE$521,MATCH(LARGE('Calc (scoring engine)'!$K$5:$K$521,8),'Calc (scoring engine)'!$K$5:$K$521,0))),""))</f>
        <v/>
      </c>
      <c r="BA28" s="24">
        <f>IF(OR(8&gt;MAX(3,MIN(15,N($D$18))),IFERROR(LARGE('Calc (scoring engine)'!$K$5:$K$521,8),-999999)&lt;=-900000),"",IFERROR(IF(INDEX(Database!$BF$5:$BF$521,MATCH(LARGE('Calc (scoring engine)'!$K$5:$K$521,8),'Calc (scoring engine)'!$K$5:$K$521,0))="","—",INDEX(Database!$BF$5:$BF$521,MATCH(LARGE('Calc (scoring engine)'!$K$5:$K$521,8),'Calc (scoring engine)'!$K$5:$K$521,0))),""))</f>
        <v/>
      </c>
      <c r="BB28" s="24">
        <f>IF(OR(8&gt;MAX(3,MIN(15,N($D$18))),IFERROR(LARGE('Calc (scoring engine)'!$K$5:$K$521,8),-999999)&lt;=-900000),"",IFERROR(IFERROR(BDP(TEXT(INDEX(Database!$A$5:$A$521,MATCH(LARGE('Calc (scoring engine)'!$K$5:$K$521,8),'Calc (scoring engine)'!$K$5:$K$521,0)),"0")&amp;" HK Equity","PE_RATIO"),IF(INDEX(Database!$BD$5:$BD$521,MATCH(LARGE('Calc (scoring engine)'!$K$5:$K$521,8),'Calc (scoring engine)'!$K$5:$K$521,0))="","—",INDEX(Database!$BD$5:$BD$521,MATCH(LARGE('Calc (scoring engine)'!$K$5:$K$521,8),'Calc (scoring engine)'!$K$5:$K$521,0)))),""))</f>
        <v/>
      </c>
      <c r="BC28" s="24">
        <f>IF(OR(8&gt;MAX(3,MIN(15,N($D$18))),IFERROR(LARGE('Calc (scoring engine)'!$K$5:$K$521,8),-999999)&lt;=-900000),"",IFERROR(IFERROR(BDP(TEXT(INDEX(Database!$A$5:$A$521,MATCH(LARGE('Calc (scoring engine)'!$K$5:$K$521,8),'Calc (scoring engine)'!$K$5:$K$521,0)),"0")&amp;" HK Equity","PX_TO_SALES_RATIO"),IF(INDEX(Database!$BE$5:$BE$521,MATCH(LARGE('Calc (scoring engine)'!$K$5:$K$521,8),'Calc (scoring engine)'!$K$5:$K$521,0))="","—",INDEX(Database!$BE$5:$BE$521,MATCH(LARGE('Calc (scoring engine)'!$K$5:$K$521,8),'Calc (scoring engine)'!$K$5:$K$521,0)))),""))</f>
        <v/>
      </c>
      <c r="BD28" s="10">
        <f>IF(OR(8&gt;MAX(3,MIN(15,N($D$18))),IFERROR(LARGE('Calc (scoring engine)'!$K$5:$K$521,8),-999999)&lt;=-900000),"",IFERROR(IF(INDEX(Database!$BG$5:$BG$521,MATCH(LARGE('Calc (scoring engine)'!$K$5:$K$521,8),'Calc (scoring engine)'!$K$5:$K$521,0))="","—",INDEX(Database!$BG$5:$BG$521,MATCH(LARGE('Calc (scoring engine)'!$K$5:$K$521,8),'Calc (scoring engine)'!$K$5:$K$521,0))),""))</f>
        <v/>
      </c>
      <c r="BE28" s="10">
        <f>IF(OR(8&gt;MAX(3,MIN(15,N($D$18))),IFERROR(LARGE('Calc (scoring engine)'!$K$5:$K$521,8),-999999)&lt;=-900000),"",IFERROR(IF(INDEX(Database!$BH$5:$BH$521,MATCH(LARGE('Calc (scoring engine)'!$K$5:$K$521,8),'Calc (scoring engine)'!$K$5:$K$521,0))="","—",INDEX(Database!$BH$5:$BH$521,MATCH(LARGE('Calc (scoring engine)'!$K$5:$K$521,8),'Calc (scoring engine)'!$K$5:$K$521,0))),""))</f>
        <v/>
      </c>
      <c r="BF28" s="23">
        <f>IF(OR(8&gt;MAX(3,MIN(15,N($D$18))),IFERROR(LARGE('Calc (scoring engine)'!$K$5:$K$521,8),-999999)&lt;=-900000),"",IFERROR(IF(INDEX(Database!$BI$5:$BI$521,MATCH(LARGE('Calc (scoring engine)'!$K$5:$K$521,8),'Calc (scoring engine)'!$K$5:$K$521,0))="","—",INDEX(Database!$BI$5:$BI$521,MATCH(LARGE('Calc (scoring engine)'!$K$5:$K$521,8),'Calc (scoring engine)'!$K$5:$K$521,0))),""))</f>
        <v/>
      </c>
      <c r="BG28" s="50">
        <f>IF(OR(8&gt;MAX(3,MIN(15,N($D$18))),IFERROR(LARGE('Calc (scoring engine)'!$K$5:$K$521,8),-999999)&lt;=-900000),"",IFERROR(IF(INDEX(Database!$BJ$5:$BJ$521,MATCH(LARGE('Calc (scoring engine)'!$K$5:$K$521,8),'Calc (scoring engine)'!$K$5:$K$521,0))="","—",INDEX(Database!$BJ$5:$BJ$521,MATCH(LARGE('Calc (scoring engine)'!$K$5:$K$521,8),'Calc (scoring engine)'!$K$5:$K$521,0))),""))</f>
        <v/>
      </c>
      <c r="BH28" s="53">
        <f>IF(OR(8&gt;MAX(3,MIN(15,N($D$18))),IFERROR(LARGE('Calc (scoring engine)'!$K$5:$K$521,8),-999999)&lt;=-900000),"",IFERROR(IF(INDEX(Database!$BK$5:$BK$521,MATCH(LARGE('Calc (scoring engine)'!$K$5:$K$521,8),'Calc (scoring engine)'!$K$5:$K$521,0))="","—",INDEX(Database!$BK$5:$BK$521,MATCH(LARGE('Calc (scoring engine)'!$K$5:$K$521,8),'Calc (scoring engine)'!$K$5:$K$521,0))),""))</f>
        <v/>
      </c>
      <c r="BI28" s="19">
        <f>IF(OR(8&gt;MAX(3,MIN(15,N($D$18))),IFERROR(LARGE('Calc (scoring engine)'!$K$5:$K$521,8),-999999)&lt;=-900000),"",IFERROR(IF(INDEX(Database!$BL$5:$BL$521,MATCH(LARGE('Calc (scoring engine)'!$K$5:$K$521,8),'Calc (scoring engine)'!$K$5:$K$521,0))="","—",INDEX(Database!$BL$5:$BL$521,MATCH(LARGE('Calc (scoring engine)'!$K$5:$K$521,8),'Calc (scoring engine)'!$K$5:$K$521,0))),""))</f>
        <v/>
      </c>
      <c r="BJ28" s="24">
        <f>IF(OR(8&gt;MAX(3,MIN(15,N($D$18))),IFERROR(LARGE('Calc (scoring engine)'!$K$5:$K$521,8),-999999)&lt;=-900000),"",IFERROR(IF(INDEX(Database!$BM$5:$BM$521,MATCH(LARGE('Calc (scoring engine)'!$K$5:$K$521,8),'Calc (scoring engine)'!$K$5:$K$521,0))="","—",INDEX(Database!$BM$5:$BM$521,MATCH(LARGE('Calc (scoring engine)'!$K$5:$K$521,8),'Calc (scoring engine)'!$K$5:$K$521,0))),""))</f>
        <v/>
      </c>
      <c r="BK28" s="24">
        <f>IF(OR(8&gt;MAX(3,MIN(15,N($D$18))),IFERROR(LARGE('Calc (scoring engine)'!$K$5:$K$521,8),-999999)&lt;=-900000),"",IFERROR(IF(INDEX(Database!$BN$5:$BN$521,MATCH(LARGE('Calc (scoring engine)'!$K$5:$K$521,8),'Calc (scoring engine)'!$K$5:$K$521,0))="","—",INDEX(Database!$BN$5:$BN$521,MATCH(LARGE('Calc (scoring engine)'!$K$5:$K$521,8),'Calc (scoring engine)'!$K$5:$K$521,0))),""))</f>
        <v/>
      </c>
      <c r="BL28" s="10">
        <f>IF(OR(8&gt;MAX(3,MIN(15,N($D$18))),IFERROR(LARGE('Calc (scoring engine)'!$K$5:$K$521,8),-999999)&lt;=-900000),"",IFERROR(IF(INDEX(Database!$BO$5:$BO$521,MATCH(LARGE('Calc (scoring engine)'!$K$5:$K$521,8),'Calc (scoring engine)'!$K$5:$K$521,0))="","—",INDEX(Database!$BO$5:$BO$521,MATCH(LARGE('Calc (scoring engine)'!$K$5:$K$521,8),'Calc (scoring engine)'!$K$5:$K$521,0))),""))</f>
        <v/>
      </c>
      <c r="BM28" s="10">
        <f>IF(OR(8&gt;MAX(3,MIN(15,N($D$18))),IFERROR(LARGE('Calc (scoring engine)'!$K$5:$K$521,8),-999999)&lt;=-900000),"",IFERROR(IF(INDEX(Database!$BQ$5:$BQ$521,MATCH(LARGE('Calc (scoring engine)'!$K$5:$K$521,8),'Calc (scoring engine)'!$K$5:$K$521,0))="","—",INDEX(Database!$BQ$5:$BQ$521,MATCH(LARGE('Calc (scoring engine)'!$K$5:$K$521,8),'Calc (scoring engine)'!$K$5:$K$521,0))),""))</f>
        <v/>
      </c>
      <c r="BN28" s="54">
        <f>IF(OR(8&gt;MAX(3,MIN(15,N($D$18))),IFERROR(LARGE('Calc (scoring engine)'!$K$5:$K$521,8),-999999)&lt;=-900000),"",IFERROR(IF(INDEX('Calc (scoring engine)'!$H$5:$H$521,MATCH(LARGE('Calc (scoring engine)'!$K$5:$K$521,8),'Calc (scoring engine)'!$K$5:$K$521,0))&gt;0,INDEX('Calc (scoring engine)'!$H$5:$H$521,MATCH(LARGE('Calc (scoring engine)'!$K$5:$K$521,8),'Calc (scoring engine)'!$K$5:$K$521,0)),""),""))</f>
        <v/>
      </c>
      <c r="BO28" s="10">
        <f>IF(OR(8&gt;MAX(3,MIN(15,N($D$18))),IFERROR(LARGE('Calc (scoring engine)'!$K$5:$K$521,8),-999999)&lt;=-900000),"",IF(IFERROR(INDEX('Calc (scoring engine)'!$B$5:$B$521,MATCH(LARGE('Calc (scoring engine)'!$K$5:$K$521,8),'Calc (scoring engine)'!$K$5:$K$521,0)),0)=1,"same subsector","sector only"))</f>
        <v/>
      </c>
      <c r="BP28" s="54">
        <f>IF(OR(8&gt;MAX(3,MIN(15,N($D$18))),IFERROR(LARGE('Calc (scoring engine)'!$K$5:$K$521,8),-999999)&lt;=-900000),"",ROUND(IFERROR(LARGE('Calc (scoring engine)'!$K$5:$K$521,8),0),0))</f>
        <v/>
      </c>
      <c r="BQ28" s="10">
        <f>IF(OR(8&gt;MAX(3,MIN(15,N($D$18))),IFERROR(LARGE('Calc (scoring engine)'!$K$5:$K$521,8),-999999)&lt;=-900000),"",IFERROR("sub "&amp;INDEX('Calc (scoring engine)'!$B$5:$B$521,MATCH(LARGE('Calc (scoring engine)'!$K$5:$K$521,8),'Calc (scoring engine)'!$K$5:$K$521,0))*W_SUB&amp;" + size "&amp;ROUND(INDEX('Calc (scoring engine)'!$D$5:$D$521,MATCH(LARGE('Calc (scoring engine)'!$K$5:$K$521,8),'Calc (scoring engine)'!$K$5:$K$521,0))*W_SIZE,0)&amp;" + prof "&amp;INDEX('Calc (scoring engine)'!$E$5:$E$521,MATCH(LARGE('Calc (scoring engine)'!$K$5:$K$521,8),'Calc (scoring engine)'!$K$5:$K$521,0))*W_PROF&amp;" + recency "&amp;ROUND(INDEX('Calc (scoring engine)'!$G$5:$G$521,MATCH(LARGE('Calc (scoring engine)'!$K$5:$K$521,8),'Calc (scoring engine)'!$K$5:$K$521,0))*W_REC,0)&amp;IF(INDEX('Calc (scoring engine)'!$H$5:$H$521,MATCH(LARGE('Calc (scoring engine)'!$K$5:$K$521,8),'Calc (scoring engine)'!$K$5:$K$521,0))&gt;0," + shared CS x"&amp;INDEX('Calc (scoring engine)'!$H$5:$H$521,MATCH(LARGE('Calc (scoring engine)'!$K$5:$K$521,8),'Calc (scoring engine)'!$K$5:$K$521,0)),""),""))</f>
        <v/>
      </c>
    </row>
    <row r="29">
      <c r="A29" s="48">
        <f>IF(OR(9&gt;MAX(3,MIN(15,N($D$18))),IFERROR(LARGE('Calc (scoring engine)'!$K$5:$K$521,9),-999999)&lt;=-900000),"",9)</f>
        <v/>
      </c>
      <c r="B29" s="10">
        <f>IF(OR(9&gt;MAX(3,MIN(15,N($D$18))),IFERROR(LARGE('Calc (scoring engine)'!$K$5:$K$521,9),-999999)&lt;=-900000),"",IFERROR(IF(INDEX(Database!$B$5:$B$521,MATCH(LARGE('Calc (scoring engine)'!$K$5:$K$521,9),'Calc (scoring engine)'!$K$5:$K$521,0))="","—",INDEX(Database!$B$5:$B$521,MATCH(LARGE('Calc (scoring engine)'!$K$5:$K$521,9),'Calc (scoring engine)'!$K$5:$K$521,0))),""))</f>
        <v/>
      </c>
      <c r="C29" s="49">
        <f>IF(OR(9&gt;MAX(3,MIN(15,N($D$18))),IFERROR(LARGE('Calc (scoring engine)'!$K$5:$K$521,9),-999999)&lt;=-900000),"",IFERROR(IF(INDEX(Database!$A$5:$A$521,MATCH(LARGE('Calc (scoring engine)'!$K$5:$K$521,9),'Calc (scoring engine)'!$K$5:$K$521,0))="","—",INDEX(Database!$A$5:$A$521,MATCH(LARGE('Calc (scoring engine)'!$K$5:$K$521,9),'Calc (scoring engine)'!$K$5:$K$521,0))),""))</f>
        <v/>
      </c>
      <c r="D29" s="10">
        <f>IF(OR(9&gt;MAX(3,MIN(15,N($D$18))),IFERROR(LARGE('Calc (scoring engine)'!$K$5:$K$521,9),-999999)&lt;=-900000),"",IFERROR(IF(INDEX(Database!$D$5:$D$521,MATCH(LARGE('Calc (scoring engine)'!$K$5:$K$521,9),'Calc (scoring engine)'!$K$5:$K$521,0))="","—",INDEX(Database!$D$5:$D$521,MATCH(LARGE('Calc (scoring engine)'!$K$5:$K$521,9),'Calc (scoring engine)'!$K$5:$K$521,0))),""))</f>
        <v/>
      </c>
      <c r="E29" s="10">
        <f>IF(OR(9&gt;MAX(3,MIN(15,N($D$18))),IFERROR(LARGE('Calc (scoring engine)'!$K$5:$K$521,9),-999999)&lt;=-900000),"",IFERROR(IF(INDEX(Database!$E$5:$E$521,MATCH(LARGE('Calc (scoring engine)'!$K$5:$K$521,9),'Calc (scoring engine)'!$K$5:$K$521,0))="","—",INDEX(Database!$E$5:$E$521,MATCH(LARGE('Calc (scoring engine)'!$K$5:$K$521,9),'Calc (scoring engine)'!$K$5:$K$521,0))),""))</f>
        <v/>
      </c>
      <c r="F29" s="10">
        <f>IF(OR(9&gt;MAX(3,MIN(15,N($D$18))),IFERROR(LARGE('Calc (scoring engine)'!$K$5:$K$521,9),-999999)&lt;=-900000),"",IFERROR(IF(INDEX(Database!$F$5:$F$521,MATCH(LARGE('Calc (scoring engine)'!$K$5:$K$521,9),'Calc (scoring engine)'!$K$5:$K$521,0))="","—",INDEX(Database!$F$5:$F$521,MATCH(LARGE('Calc (scoring engine)'!$K$5:$K$521,9),'Calc (scoring engine)'!$K$5:$K$521,0))),""))</f>
        <v/>
      </c>
      <c r="G29" s="10">
        <f>IF(OR(9&gt;MAX(3,MIN(15,N($D$18))),IFERROR(LARGE('Calc (scoring engine)'!$K$5:$K$521,9),-999999)&lt;=-900000),"",IFERROR(IF(INDEX(Database!$G$5:$G$521,MATCH(LARGE('Calc (scoring engine)'!$K$5:$K$521,9),'Calc (scoring engine)'!$K$5:$K$521,0))="","—",INDEX(Database!$G$5:$G$521,MATCH(LARGE('Calc (scoring engine)'!$K$5:$K$521,9),'Calc (scoring engine)'!$K$5:$K$521,0))),""))</f>
        <v/>
      </c>
      <c r="H29" s="21">
        <f>IF(OR(9&gt;MAX(3,MIN(15,N($D$18))),IFERROR(LARGE('Calc (scoring engine)'!$K$5:$K$521,9),-999999)&lt;=-900000),"",IFERROR(IF(INDEX(Database!$H$5:$H$521,MATCH(LARGE('Calc (scoring engine)'!$K$5:$K$521,9),'Calc (scoring engine)'!$K$5:$K$521,0))="","—",INDEX(Database!$H$5:$H$521,MATCH(LARGE('Calc (scoring engine)'!$K$5:$K$521,9),'Calc (scoring engine)'!$K$5:$K$521,0))),""))</f>
        <v/>
      </c>
      <c r="I29" s="19">
        <f>IF(OR(9&gt;MAX(3,MIN(15,N($D$18))),IFERROR(LARGE('Calc (scoring engine)'!$K$5:$K$521,9),-999999)&lt;=-900000),"",IFERROR(IF(INDEX(Database!$I$5:$I$521,MATCH(LARGE('Calc (scoring engine)'!$K$5:$K$521,9),'Calc (scoring engine)'!$K$5:$K$521,0))="","—",INDEX(Database!$I$5:$I$521,MATCH(LARGE('Calc (scoring engine)'!$K$5:$K$521,9),'Calc (scoring engine)'!$K$5:$K$521,0))),""))</f>
        <v/>
      </c>
      <c r="J29" s="50">
        <f>IF(OR(9&gt;MAX(3,MIN(15,N($D$18))),IFERROR(LARGE('Calc (scoring engine)'!$K$5:$K$521,9),-999999)&lt;=-900000),"",IFERROR(IF(INDEX(Database!$K$5:$K$521,MATCH(LARGE('Calc (scoring engine)'!$K$5:$K$521,9),'Calc (scoring engine)'!$K$5:$K$521,0))="","—",INDEX(Database!$K$5:$K$521,MATCH(LARGE('Calc (scoring engine)'!$K$5:$K$521,9),'Calc (scoring engine)'!$K$5:$K$521,0))),""))</f>
        <v/>
      </c>
      <c r="K29" s="50">
        <f>IF(OR(9&gt;MAX(3,MIN(15,N($D$18))),IFERROR(LARGE('Calc (scoring engine)'!$K$5:$K$521,9),-999999)&lt;=-900000),"",IFERROR(IF(INDEX(Database!$L$5:$L$521,MATCH(LARGE('Calc (scoring engine)'!$K$5:$K$521,9),'Calc (scoring engine)'!$K$5:$K$521,0))="","—",INDEX(Database!$L$5:$L$521,MATCH(LARGE('Calc (scoring engine)'!$K$5:$K$521,9),'Calc (scoring engine)'!$K$5:$K$521,0))),""))</f>
        <v/>
      </c>
      <c r="L29" s="50">
        <f>IF(OR(9&gt;MAX(3,MIN(15,N($D$18))),IFERROR(LARGE('Calc (scoring engine)'!$K$5:$K$521,9),-999999)&lt;=-900000),"",IFERROR(IF(INDEX(Database!$M$5:$M$521,MATCH(LARGE('Calc (scoring engine)'!$K$5:$K$521,9),'Calc (scoring engine)'!$K$5:$K$521,0))="","—",INDEX(Database!$M$5:$M$521,MATCH(LARGE('Calc (scoring engine)'!$K$5:$K$521,9),'Calc (scoring engine)'!$K$5:$K$521,0))),""))</f>
        <v/>
      </c>
      <c r="M29" s="10">
        <f>IF(OR(9&gt;MAX(3,MIN(15,N($D$18))),IFERROR(LARGE('Calc (scoring engine)'!$K$5:$K$521,9),-999999)&lt;=-900000),"",IFERROR(IF(INDEX(Database!$N$5:$N$521,MATCH(LARGE('Calc (scoring engine)'!$K$5:$K$521,9),'Calc (scoring engine)'!$K$5:$K$521,0))="","—",INDEX(Database!$N$5:$N$521,MATCH(LARGE('Calc (scoring engine)'!$K$5:$K$521,9),'Calc (scoring engine)'!$K$5:$K$521,0))),""))</f>
        <v/>
      </c>
      <c r="N29" s="31">
        <f>IF(OR(9&gt;MAX(3,MIN(15,N($D$18))),IFERROR(LARGE('Calc (scoring engine)'!$K$5:$K$521,9),-999999)&lt;=-900000),"",IFERROR(IF(INDEX(Database!$O$5:$O$521,MATCH(LARGE('Calc (scoring engine)'!$K$5:$K$521,9),'Calc (scoring engine)'!$K$5:$K$521,0))="","—",INDEX(Database!$O$5:$O$521,MATCH(LARGE('Calc (scoring engine)'!$K$5:$K$521,9),'Calc (scoring engine)'!$K$5:$K$521,0))),""))</f>
        <v/>
      </c>
      <c r="O29" s="31">
        <f>IF(OR(9&gt;MAX(3,MIN(15,N($D$18))),IFERROR(LARGE('Calc (scoring engine)'!$K$5:$K$521,9),-999999)&lt;=-900000),"",IFERROR(IF(INDEX(Database!$P$5:$P$521,MATCH(LARGE('Calc (scoring engine)'!$K$5:$K$521,9),'Calc (scoring engine)'!$K$5:$K$521,0))="","—",INDEX(Database!$P$5:$P$521,MATCH(LARGE('Calc (scoring engine)'!$K$5:$K$521,9),'Calc (scoring engine)'!$K$5:$K$521,0))),""))</f>
        <v/>
      </c>
      <c r="P29" s="19">
        <f>IF(OR(9&gt;MAX(3,MIN(15,N($D$18))),IFERROR(LARGE('Calc (scoring engine)'!$K$5:$K$521,9),-999999)&lt;=-900000),"",IFERROR(IF(INDEX(Database!$Q$5:$Q$521,MATCH(LARGE('Calc (scoring engine)'!$K$5:$K$521,9),'Calc (scoring engine)'!$K$5:$K$521,0))="","—",INDEX(Database!$Q$5:$Q$521,MATCH(LARGE('Calc (scoring engine)'!$K$5:$K$521,9),'Calc (scoring engine)'!$K$5:$K$521,0))),""))</f>
        <v/>
      </c>
      <c r="Q29" s="26">
        <f>IF(OR(9&gt;MAX(3,MIN(15,N($D$18))),IFERROR(LARGE('Calc (scoring engine)'!$K$5:$K$521,9),-999999)&lt;=-900000),"",IFERROR(IF(INDEX(Database!$S$5:$S$521,MATCH(LARGE('Calc (scoring engine)'!$K$5:$K$521,9),'Calc (scoring engine)'!$K$5:$K$521,0))="","—",INDEX(Database!$S$5:$S$521,MATCH(LARGE('Calc (scoring engine)'!$K$5:$K$521,9),'Calc (scoring engine)'!$K$5:$K$521,0))),""))</f>
        <v/>
      </c>
      <c r="R29" s="51">
        <f>IF(OR(9&gt;MAX(3,MIN(15,N($D$18))),IFERROR(LARGE('Calc (scoring engine)'!$K$5:$K$521,9),-999999)&lt;=-900000),"",IFERROR(IF(INDEX(Database!$T$5:$T$521,MATCH(LARGE('Calc (scoring engine)'!$K$5:$K$521,9),'Calc (scoring engine)'!$K$5:$K$521,0))="","—",INDEX(Database!$T$5:$T$521,MATCH(LARGE('Calc (scoring engine)'!$K$5:$K$521,9),'Calc (scoring engine)'!$K$5:$K$521,0))),""))</f>
        <v/>
      </c>
      <c r="S29" s="52">
        <f>IF(OR(9&gt;MAX(3,MIN(15,N($D$18))),IFERROR(LARGE('Calc (scoring engine)'!$K$5:$K$521,9),-999999)&lt;=-900000),"",IFERROR(IF(INDEX(Database!$U$5:$U$521,MATCH(LARGE('Calc (scoring engine)'!$K$5:$K$521,9),'Calc (scoring engine)'!$K$5:$K$521,0))="","—",INDEX(Database!$U$5:$U$521,MATCH(LARGE('Calc (scoring engine)'!$K$5:$K$521,9),'Calc (scoring engine)'!$K$5:$K$521,0))),""))</f>
        <v/>
      </c>
      <c r="T29" s="19">
        <f>IF(OR(9&gt;MAX(3,MIN(15,N($D$18))),IFERROR(LARGE('Calc (scoring engine)'!$K$5:$K$521,9),-999999)&lt;=-900000),"",IFERROR(IF(INDEX(Database!$V$5:$V$521,MATCH(LARGE('Calc (scoring engine)'!$K$5:$K$521,9),'Calc (scoring engine)'!$K$5:$K$521,0))="","—",INDEX(Database!$V$5:$V$521,MATCH(LARGE('Calc (scoring engine)'!$K$5:$K$521,9),'Calc (scoring engine)'!$K$5:$K$521,0))),""))</f>
        <v/>
      </c>
      <c r="U29" s="19">
        <f>IF(OR(9&gt;MAX(3,MIN(15,N($D$18))),IFERROR(LARGE('Calc (scoring engine)'!$K$5:$K$521,9),-999999)&lt;=-900000),"",IFERROR(IF(INDEX(Database!$W$5:$W$521,MATCH(LARGE('Calc (scoring engine)'!$K$5:$K$521,9),'Calc (scoring engine)'!$K$5:$K$521,0))="","—",INDEX(Database!$W$5:$W$521,MATCH(LARGE('Calc (scoring engine)'!$K$5:$K$521,9),'Calc (scoring engine)'!$K$5:$K$521,0))),""))</f>
        <v/>
      </c>
      <c r="V29" s="31">
        <f>IF(OR(9&gt;MAX(3,MIN(15,N($D$18))),IFERROR(LARGE('Calc (scoring engine)'!$K$5:$K$521,9),-999999)&lt;=-900000),"",IFERROR(IF(INDEX(Database!$X$5:$X$521,MATCH(LARGE('Calc (scoring engine)'!$K$5:$K$521,9),'Calc (scoring engine)'!$K$5:$K$521,0))="","—",INDEX(Database!$X$5:$X$521,MATCH(LARGE('Calc (scoring engine)'!$K$5:$K$521,9),'Calc (scoring engine)'!$K$5:$K$521,0))),""))</f>
        <v/>
      </c>
      <c r="W29" s="10">
        <f>IF(OR(9&gt;MAX(3,MIN(15,N($D$18))),IFERROR(LARGE('Calc (scoring engine)'!$K$5:$K$521,9),-999999)&lt;=-900000),"",IFERROR(IF(INDEX(Database!$Y$5:$Y$521,MATCH(LARGE('Calc (scoring engine)'!$K$5:$K$521,9),'Calc (scoring engine)'!$K$5:$K$521,0))="","—",INDEX(Database!$Y$5:$Y$521,MATCH(LARGE('Calc (scoring engine)'!$K$5:$K$521,9),'Calc (scoring engine)'!$K$5:$K$521,0))),""))</f>
        <v/>
      </c>
      <c r="X29" s="31">
        <f>IF(OR(9&gt;MAX(3,MIN(15,N($D$18))),IFERROR(LARGE('Calc (scoring engine)'!$K$5:$K$521,9),-999999)&lt;=-900000),"",IFERROR(IF(INDEX(Database!$AA$5:$AA$521,MATCH(LARGE('Calc (scoring engine)'!$K$5:$K$521,9),'Calc (scoring engine)'!$K$5:$K$521,0))="","—",INDEX(Database!$AA$5:$AA$521,MATCH(LARGE('Calc (scoring engine)'!$K$5:$K$521,9),'Calc (scoring engine)'!$K$5:$K$521,0))),""))</f>
        <v/>
      </c>
      <c r="Y29" s="10">
        <f>IF(OR(9&gt;MAX(3,MIN(15,N($D$18))),IFERROR(LARGE('Calc (scoring engine)'!$K$5:$K$521,9),-999999)&lt;=-900000),"",IFERROR(IF(INDEX(Database!$AB$5:$AB$521,MATCH(LARGE('Calc (scoring engine)'!$K$5:$K$521,9),'Calc (scoring engine)'!$K$5:$K$521,0))="","—",INDEX(Database!$AB$5:$AB$521,MATCH(LARGE('Calc (scoring engine)'!$K$5:$K$521,9),'Calc (scoring engine)'!$K$5:$K$521,0))),""))</f>
        <v/>
      </c>
      <c r="Z29" s="10">
        <f>IF(OR(9&gt;MAX(3,MIN(15,N($D$18))),IFERROR(LARGE('Calc (scoring engine)'!$K$5:$K$521,9),-999999)&lt;=-900000),"",IFERROR(IF(INDEX(Database!$AC$5:$AC$521,MATCH(LARGE('Calc (scoring engine)'!$K$5:$K$521,9),'Calc (scoring engine)'!$K$5:$K$521,0))="","—",INDEX(Database!$AC$5:$AC$521,MATCH(LARGE('Calc (scoring engine)'!$K$5:$K$521,9),'Calc (scoring engine)'!$K$5:$K$521,0))),""))</f>
        <v/>
      </c>
      <c r="AA29" s="10">
        <f>IF(OR(9&gt;MAX(3,MIN(15,N($D$18))),IFERROR(LARGE('Calc (scoring engine)'!$K$5:$K$521,9),-999999)&lt;=-900000),"",IFERROR(IF(INDEX(Database!$AD$5:$AD$521,MATCH(LARGE('Calc (scoring engine)'!$K$5:$K$521,9),'Calc (scoring engine)'!$K$5:$K$521,0))="","—",INDEX(Database!$AD$5:$AD$521,MATCH(LARGE('Calc (scoring engine)'!$K$5:$K$521,9),'Calc (scoring engine)'!$K$5:$K$521,0))),""))</f>
        <v/>
      </c>
      <c r="AB29" s="10">
        <f>IF(OR(9&gt;MAX(3,MIN(15,N($D$18))),IFERROR(LARGE('Calc (scoring engine)'!$K$5:$K$521,9),-999999)&lt;=-900000),"",IFERROR(IF(INDEX(Database!$AE$5:$AE$521,MATCH(LARGE('Calc (scoring engine)'!$K$5:$K$521,9),'Calc (scoring engine)'!$K$5:$K$521,0))="","—",INDEX(Database!$AE$5:$AE$521,MATCH(LARGE('Calc (scoring engine)'!$K$5:$K$521,9),'Calc (scoring engine)'!$K$5:$K$521,0))),""))</f>
        <v/>
      </c>
      <c r="AC29" s="23">
        <f>IF(OR(9&gt;MAX(3,MIN(15,N($D$18))),IFERROR(LARGE('Calc (scoring engine)'!$K$5:$K$521,9),-999999)&lt;=-900000),"",IFERROR(IF(INDEX(Database!$AF$5:$AF$521,MATCH(LARGE('Calc (scoring engine)'!$K$5:$K$521,9),'Calc (scoring engine)'!$K$5:$K$521,0))="","—",INDEX(Database!$AF$5:$AF$521,MATCH(LARGE('Calc (scoring engine)'!$K$5:$K$521,9),'Calc (scoring engine)'!$K$5:$K$521,0))),""))</f>
        <v/>
      </c>
      <c r="AD29" s="23">
        <f>IF(OR(9&gt;MAX(3,MIN(15,N($D$18))),IFERROR(LARGE('Calc (scoring engine)'!$K$5:$K$521,9),-999999)&lt;=-900000),"",IFERROR(IF(INDEX(Database!$AG$5:$AG$521,MATCH(LARGE('Calc (scoring engine)'!$K$5:$K$521,9),'Calc (scoring engine)'!$K$5:$K$521,0))="","—",INDEX(Database!$AG$5:$AG$521,MATCH(LARGE('Calc (scoring engine)'!$K$5:$K$521,9),'Calc (scoring engine)'!$K$5:$K$521,0))),""))</f>
        <v/>
      </c>
      <c r="AE29" s="23">
        <f>IF(OR(9&gt;MAX(3,MIN(15,N($D$18))),IFERROR(LARGE('Calc (scoring engine)'!$K$5:$K$521,9),-999999)&lt;=-900000),"",IFERROR(IF(INDEX(Database!$AH$5:$AH$521,MATCH(LARGE('Calc (scoring engine)'!$K$5:$K$521,9),'Calc (scoring engine)'!$K$5:$K$521,0))="","—",INDEX(Database!$AH$5:$AH$521,MATCH(LARGE('Calc (scoring engine)'!$K$5:$K$521,9),'Calc (scoring engine)'!$K$5:$K$521,0))),""))</f>
        <v/>
      </c>
      <c r="AF29" s="23">
        <f>IF(OR(9&gt;MAX(3,MIN(15,N($D$18))),IFERROR(LARGE('Calc (scoring engine)'!$K$5:$K$521,9),-999999)&lt;=-900000),"",IFERROR(IF(INDEX(Database!$AI$5:$AI$521,MATCH(LARGE('Calc (scoring engine)'!$K$5:$K$521,9),'Calc (scoring engine)'!$K$5:$K$521,0))="","—",INDEX(Database!$AI$5:$AI$521,MATCH(LARGE('Calc (scoring engine)'!$K$5:$K$521,9),'Calc (scoring engine)'!$K$5:$K$521,0))),""))</f>
        <v/>
      </c>
      <c r="AG29" s="23">
        <f>IF(OR(9&gt;MAX(3,MIN(15,N($D$18))),IFERROR(LARGE('Calc (scoring engine)'!$K$5:$K$521,9),-999999)&lt;=-900000),"",IFERROR(IF(INDEX(Database!$AJ$5:$AJ$521,MATCH(LARGE('Calc (scoring engine)'!$K$5:$K$521,9),'Calc (scoring engine)'!$K$5:$K$521,0))="","—",INDEX(Database!$AJ$5:$AJ$521,MATCH(LARGE('Calc (scoring engine)'!$K$5:$K$521,9),'Calc (scoring engine)'!$K$5:$K$521,0))),""))</f>
        <v/>
      </c>
      <c r="AH29" s="23">
        <f>IF(OR(9&gt;MAX(3,MIN(15,N($D$18))),IFERROR(LARGE('Calc (scoring engine)'!$K$5:$K$521,9),-999999)&lt;=-900000),"",IFERROR(IF(INDEX(Database!$AK$5:$AK$521,MATCH(LARGE('Calc (scoring engine)'!$K$5:$K$521,9),'Calc (scoring engine)'!$K$5:$K$521,0))="","—",INDEX(Database!$AK$5:$AK$521,MATCH(LARGE('Calc (scoring engine)'!$K$5:$K$521,9),'Calc (scoring engine)'!$K$5:$K$521,0))),""))</f>
        <v/>
      </c>
      <c r="AI29" s="23">
        <f>IF(OR(9&gt;MAX(3,MIN(15,N($D$18))),IFERROR(LARGE('Calc (scoring engine)'!$K$5:$K$521,9),-999999)&lt;=-900000),"",IFERROR(IF(INDEX(Database!$AL$5:$AL$521,MATCH(LARGE('Calc (scoring engine)'!$K$5:$K$521,9),'Calc (scoring engine)'!$K$5:$K$521,0))="","—",INDEX(Database!$AL$5:$AL$521,MATCH(LARGE('Calc (scoring engine)'!$K$5:$K$521,9),'Calc (scoring engine)'!$K$5:$K$521,0))),""))</f>
        <v/>
      </c>
      <c r="AJ29" s="23">
        <f>IF(OR(9&gt;MAX(3,MIN(15,N($D$18))),IFERROR(LARGE('Calc (scoring engine)'!$K$5:$K$521,9),-999999)&lt;=-900000),"",IFERROR(IF(INDEX(Database!$AM$5:$AM$521,MATCH(LARGE('Calc (scoring engine)'!$K$5:$K$521,9),'Calc (scoring engine)'!$K$5:$K$521,0))="","—",INDEX(Database!$AM$5:$AM$521,MATCH(LARGE('Calc (scoring engine)'!$K$5:$K$521,9),'Calc (scoring engine)'!$K$5:$K$521,0))),""))</f>
        <v/>
      </c>
      <c r="AK29" s="23">
        <f>IF(OR(9&gt;MAX(3,MIN(15,N($D$18))),IFERROR(LARGE('Calc (scoring engine)'!$K$5:$K$521,9),-999999)&lt;=-900000),"",IFERROR(IF(INDEX(Database!$AN$5:$AN$521,MATCH(LARGE('Calc (scoring engine)'!$K$5:$K$521,9),'Calc (scoring engine)'!$K$5:$K$521,0))="","—",INDEX(Database!$AN$5:$AN$521,MATCH(LARGE('Calc (scoring engine)'!$K$5:$K$521,9),'Calc (scoring engine)'!$K$5:$K$521,0))),""))</f>
        <v/>
      </c>
      <c r="AL29" s="23">
        <f>IF(OR(9&gt;MAX(3,MIN(15,N($D$18))),IFERROR(LARGE('Calc (scoring engine)'!$K$5:$K$521,9),-999999)&lt;=-900000),"",IFERROR(IF(INDEX(Database!$AO$5:$AO$521,MATCH(LARGE('Calc (scoring engine)'!$K$5:$K$521,9),'Calc (scoring engine)'!$K$5:$K$521,0))="","—",INDEX(Database!$AO$5:$AO$521,MATCH(LARGE('Calc (scoring engine)'!$K$5:$K$521,9),'Calc (scoring engine)'!$K$5:$K$521,0))),""))</f>
        <v/>
      </c>
      <c r="AM29" s="23">
        <f>IF(OR(9&gt;MAX(3,MIN(15,N($D$18))),IFERROR(LARGE('Calc (scoring engine)'!$K$5:$K$521,9),-999999)&lt;=-900000),"",IFERROR(IF(INDEX(Database!$AP$5:$AP$521,MATCH(LARGE('Calc (scoring engine)'!$K$5:$K$521,9),'Calc (scoring engine)'!$K$5:$K$521,0))="","—",INDEX(Database!$AP$5:$AP$521,MATCH(LARGE('Calc (scoring engine)'!$K$5:$K$521,9),'Calc (scoring engine)'!$K$5:$K$521,0))),""))</f>
        <v/>
      </c>
      <c r="AN29" s="23">
        <f>IF(OR(9&gt;MAX(3,MIN(15,N($D$18))),IFERROR(LARGE('Calc (scoring engine)'!$K$5:$K$521,9),-999999)&lt;=-900000),"",IFERROR(IF(INDEX(Database!$AQ$5:$AQ$521,MATCH(LARGE('Calc (scoring engine)'!$K$5:$K$521,9),'Calc (scoring engine)'!$K$5:$K$521,0))="","—",INDEX(Database!$AQ$5:$AQ$521,MATCH(LARGE('Calc (scoring engine)'!$K$5:$K$521,9),'Calc (scoring engine)'!$K$5:$K$521,0))),""))</f>
        <v/>
      </c>
      <c r="AO29" s="23">
        <f>IF(OR(9&gt;MAX(3,MIN(15,N($D$18))),IFERROR(LARGE('Calc (scoring engine)'!$K$5:$K$521,9),-999999)&lt;=-900000),"",IFERROR(IF(INDEX(Database!$AR$5:$AR$521,MATCH(LARGE('Calc (scoring engine)'!$K$5:$K$521,9),'Calc (scoring engine)'!$K$5:$K$521,0))="","—",INDEX(Database!$AR$5:$AR$521,MATCH(LARGE('Calc (scoring engine)'!$K$5:$K$521,9),'Calc (scoring engine)'!$K$5:$K$521,0))),""))</f>
        <v/>
      </c>
      <c r="AP29" s="23">
        <f>IF(OR(9&gt;MAX(3,MIN(15,N($D$18))),IFERROR(LARGE('Calc (scoring engine)'!$K$5:$K$521,9),-999999)&lt;=-900000),"",IFERROR(IF(INDEX(Database!$AS$5:$AS$521,MATCH(LARGE('Calc (scoring engine)'!$K$5:$K$521,9),'Calc (scoring engine)'!$K$5:$K$521,0))="","—",INDEX(Database!$AS$5:$AS$521,MATCH(LARGE('Calc (scoring engine)'!$K$5:$K$521,9),'Calc (scoring engine)'!$K$5:$K$521,0))),""))</f>
        <v/>
      </c>
      <c r="AQ29" s="23">
        <f>IF(OR(9&gt;MAX(3,MIN(15,N($D$18))),IFERROR(LARGE('Calc (scoring engine)'!$K$5:$K$521,9),-999999)&lt;=-900000),"",IFERROR(IF(INDEX(Database!$AT$5:$AT$521,MATCH(LARGE('Calc (scoring engine)'!$K$5:$K$521,9),'Calc (scoring engine)'!$K$5:$K$521,0))="","—",INDEX(Database!$AT$5:$AT$521,MATCH(LARGE('Calc (scoring engine)'!$K$5:$K$521,9),'Calc (scoring engine)'!$K$5:$K$521,0))),""))</f>
        <v/>
      </c>
      <c r="AR29" s="23">
        <f>IF(OR(9&gt;MAX(3,MIN(15,N($D$18))),IFERROR(LARGE('Calc (scoring engine)'!$K$5:$K$521,9),-999999)&lt;=-900000),"",IFERROR(IF(INDEX(Database!$AU$5:$AU$521,MATCH(LARGE('Calc (scoring engine)'!$K$5:$K$521,9),'Calc (scoring engine)'!$K$5:$K$521,0))="","—",INDEX(Database!$AU$5:$AU$521,MATCH(LARGE('Calc (scoring engine)'!$K$5:$K$521,9),'Calc (scoring engine)'!$K$5:$K$521,0))),""))</f>
        <v/>
      </c>
      <c r="AS29" s="23">
        <f>IF(OR(9&gt;MAX(3,MIN(15,N($D$18))),IFERROR(LARGE('Calc (scoring engine)'!$K$5:$K$521,9),-999999)&lt;=-900000),"",IFERROR(IF(INDEX(Database!$AW$5:$AW$521,MATCH(LARGE('Calc (scoring engine)'!$K$5:$K$521,9),'Calc (scoring engine)'!$K$5:$K$521,0))="","—",INDEX(Database!$AW$5:$AW$521,MATCH(LARGE('Calc (scoring engine)'!$K$5:$K$521,9),'Calc (scoring engine)'!$K$5:$K$521,0))),""))</f>
        <v/>
      </c>
      <c r="AT29" s="19">
        <f>IF(OR(9&gt;MAX(3,MIN(15,N($D$18))),IFERROR(LARGE('Calc (scoring engine)'!$K$5:$K$521,9),-999999)&lt;=-900000),"",IFERROR(IF(INDEX(Database!$AY$5:$AY$521,MATCH(LARGE('Calc (scoring engine)'!$K$5:$K$521,9),'Calc (scoring engine)'!$K$5:$K$521,0))="","—",INDEX(Database!$AY$5:$AY$521,MATCH(LARGE('Calc (scoring engine)'!$K$5:$K$521,9),'Calc (scoring engine)'!$K$5:$K$521,0))),""))</f>
        <v/>
      </c>
      <c r="AU29" s="19">
        <f>IF(OR(9&gt;MAX(3,MIN(15,N($D$18))),IFERROR(LARGE('Calc (scoring engine)'!$K$5:$K$521,9),-999999)&lt;=-900000),"",IFERROR(IF(INDEX(Database!$AZ$5:$AZ$521,MATCH(LARGE('Calc (scoring engine)'!$K$5:$K$521,9),'Calc (scoring engine)'!$K$5:$K$521,0))="","—",INDEX(Database!$AZ$5:$AZ$521,MATCH(LARGE('Calc (scoring engine)'!$K$5:$K$521,9),'Calc (scoring engine)'!$K$5:$K$521,0))),""))</f>
        <v/>
      </c>
      <c r="AV29" s="10">
        <f>IF(OR(9&gt;MAX(3,MIN(15,N($D$18))),IFERROR(LARGE('Calc (scoring engine)'!$K$5:$K$521,9),-999999)&lt;=-900000),"",IFERROR(IF(INDEX(Database!$BA$5:$BA$521,MATCH(LARGE('Calc (scoring engine)'!$K$5:$K$521,9),'Calc (scoring engine)'!$K$5:$K$521,0))="","—",INDEX(Database!$BA$5:$BA$521,MATCH(LARGE('Calc (scoring engine)'!$K$5:$K$521,9),'Calc (scoring engine)'!$K$5:$K$521,0))),""))</f>
        <v/>
      </c>
      <c r="AW29" s="24">
        <f>IF(OR(9&gt;MAX(3,MIN(15,N($D$18))),IFERROR(LARGE('Calc (scoring engine)'!$K$5:$K$521,9),-999999)&lt;=-900000),"",IFERROR(IF(N(INDEX(Database!$BB$5:$BB$521,MATCH(LARGE('Calc (scoring engine)'!$K$5:$K$521,9),'Calc (scoring engine)'!$K$5:$K$521,0)))&lt;=0,IF(INDEX(Database!$BA$5:$BA$521,MATCH(LARGE('Calc (scoring engine)'!$K$5:$K$521,9),'Calc (scoring engine)'!$K$5:$K$521,0))="N","n/m","—"),INDEX(Database!$BB$5:$BB$521,MATCH(LARGE('Calc (scoring engine)'!$K$5:$K$521,9),'Calc (scoring engine)'!$K$5:$K$521,0))),""))</f>
        <v/>
      </c>
      <c r="AX29" s="24">
        <f>IF(OR(9&gt;MAX(3,MIN(15,N($D$18))),IFERROR(LARGE('Calc (scoring engine)'!$K$5:$K$521,9),-999999)&lt;=-900000),"",IFERROR(IF(INDEX(Database!$BC$5:$BC$521,MATCH(LARGE('Calc (scoring engine)'!$K$5:$K$521,9),'Calc (scoring engine)'!$K$5:$K$521,0))="","—",INDEX(Database!$BC$5:$BC$521,MATCH(LARGE('Calc (scoring engine)'!$K$5:$K$521,9),'Calc (scoring engine)'!$K$5:$K$521,0))),""))</f>
        <v/>
      </c>
      <c r="AY29" s="24">
        <f>IF(OR(9&gt;MAX(3,MIN(15,N($D$18))),IFERROR(LARGE('Calc (scoring engine)'!$K$5:$K$521,9),-999999)&lt;=-900000),"",IFERROR(IF(INDEX(Database!$BD$5:$BD$521,MATCH(LARGE('Calc (scoring engine)'!$K$5:$K$521,9),'Calc (scoring engine)'!$K$5:$K$521,0))="","—",INDEX(Database!$BD$5:$BD$521,MATCH(LARGE('Calc (scoring engine)'!$K$5:$K$521,9),'Calc (scoring engine)'!$K$5:$K$521,0))),""))</f>
        <v/>
      </c>
      <c r="AZ29" s="24">
        <f>IF(OR(9&gt;MAX(3,MIN(15,N($D$18))),IFERROR(LARGE('Calc (scoring engine)'!$K$5:$K$521,9),-999999)&lt;=-900000),"",IFERROR(IF(INDEX(Database!$BE$5:$BE$521,MATCH(LARGE('Calc (scoring engine)'!$K$5:$K$521,9),'Calc (scoring engine)'!$K$5:$K$521,0))="","—",INDEX(Database!$BE$5:$BE$521,MATCH(LARGE('Calc (scoring engine)'!$K$5:$K$521,9),'Calc (scoring engine)'!$K$5:$K$521,0))),""))</f>
        <v/>
      </c>
      <c r="BA29" s="24">
        <f>IF(OR(9&gt;MAX(3,MIN(15,N($D$18))),IFERROR(LARGE('Calc (scoring engine)'!$K$5:$K$521,9),-999999)&lt;=-900000),"",IFERROR(IF(INDEX(Database!$BF$5:$BF$521,MATCH(LARGE('Calc (scoring engine)'!$K$5:$K$521,9),'Calc (scoring engine)'!$K$5:$K$521,0))="","—",INDEX(Database!$BF$5:$BF$521,MATCH(LARGE('Calc (scoring engine)'!$K$5:$K$521,9),'Calc (scoring engine)'!$K$5:$K$521,0))),""))</f>
        <v/>
      </c>
      <c r="BB29" s="24">
        <f>IF(OR(9&gt;MAX(3,MIN(15,N($D$18))),IFERROR(LARGE('Calc (scoring engine)'!$K$5:$K$521,9),-999999)&lt;=-900000),"",IFERROR(IFERROR(BDP(TEXT(INDEX(Database!$A$5:$A$521,MATCH(LARGE('Calc (scoring engine)'!$K$5:$K$521,9),'Calc (scoring engine)'!$K$5:$K$521,0)),"0")&amp;" HK Equity","PE_RATIO"),IF(INDEX(Database!$BD$5:$BD$521,MATCH(LARGE('Calc (scoring engine)'!$K$5:$K$521,9),'Calc (scoring engine)'!$K$5:$K$521,0))="","—",INDEX(Database!$BD$5:$BD$521,MATCH(LARGE('Calc (scoring engine)'!$K$5:$K$521,9),'Calc (scoring engine)'!$K$5:$K$521,0)))),""))</f>
        <v/>
      </c>
      <c r="BC29" s="24">
        <f>IF(OR(9&gt;MAX(3,MIN(15,N($D$18))),IFERROR(LARGE('Calc (scoring engine)'!$K$5:$K$521,9),-999999)&lt;=-900000),"",IFERROR(IFERROR(BDP(TEXT(INDEX(Database!$A$5:$A$521,MATCH(LARGE('Calc (scoring engine)'!$K$5:$K$521,9),'Calc (scoring engine)'!$K$5:$K$521,0)),"0")&amp;" HK Equity","PX_TO_SALES_RATIO"),IF(INDEX(Database!$BE$5:$BE$521,MATCH(LARGE('Calc (scoring engine)'!$K$5:$K$521,9),'Calc (scoring engine)'!$K$5:$K$521,0))="","—",INDEX(Database!$BE$5:$BE$521,MATCH(LARGE('Calc (scoring engine)'!$K$5:$K$521,9),'Calc (scoring engine)'!$K$5:$K$521,0)))),""))</f>
        <v/>
      </c>
      <c r="BD29" s="10">
        <f>IF(OR(9&gt;MAX(3,MIN(15,N($D$18))),IFERROR(LARGE('Calc (scoring engine)'!$K$5:$K$521,9),-999999)&lt;=-900000),"",IFERROR(IF(INDEX(Database!$BG$5:$BG$521,MATCH(LARGE('Calc (scoring engine)'!$K$5:$K$521,9),'Calc (scoring engine)'!$K$5:$K$521,0))="","—",INDEX(Database!$BG$5:$BG$521,MATCH(LARGE('Calc (scoring engine)'!$K$5:$K$521,9),'Calc (scoring engine)'!$K$5:$K$521,0))),""))</f>
        <v/>
      </c>
      <c r="BE29" s="10">
        <f>IF(OR(9&gt;MAX(3,MIN(15,N($D$18))),IFERROR(LARGE('Calc (scoring engine)'!$K$5:$K$521,9),-999999)&lt;=-900000),"",IFERROR(IF(INDEX(Database!$BH$5:$BH$521,MATCH(LARGE('Calc (scoring engine)'!$K$5:$K$521,9),'Calc (scoring engine)'!$K$5:$K$521,0))="","—",INDEX(Database!$BH$5:$BH$521,MATCH(LARGE('Calc (scoring engine)'!$K$5:$K$521,9),'Calc (scoring engine)'!$K$5:$K$521,0))),""))</f>
        <v/>
      </c>
      <c r="BF29" s="23">
        <f>IF(OR(9&gt;MAX(3,MIN(15,N($D$18))),IFERROR(LARGE('Calc (scoring engine)'!$K$5:$K$521,9),-999999)&lt;=-900000),"",IFERROR(IF(INDEX(Database!$BI$5:$BI$521,MATCH(LARGE('Calc (scoring engine)'!$K$5:$K$521,9),'Calc (scoring engine)'!$K$5:$K$521,0))="","—",INDEX(Database!$BI$5:$BI$521,MATCH(LARGE('Calc (scoring engine)'!$K$5:$K$521,9),'Calc (scoring engine)'!$K$5:$K$521,0))),""))</f>
        <v/>
      </c>
      <c r="BG29" s="50">
        <f>IF(OR(9&gt;MAX(3,MIN(15,N($D$18))),IFERROR(LARGE('Calc (scoring engine)'!$K$5:$K$521,9),-999999)&lt;=-900000),"",IFERROR(IF(INDEX(Database!$BJ$5:$BJ$521,MATCH(LARGE('Calc (scoring engine)'!$K$5:$K$521,9),'Calc (scoring engine)'!$K$5:$K$521,0))="","—",INDEX(Database!$BJ$5:$BJ$521,MATCH(LARGE('Calc (scoring engine)'!$K$5:$K$521,9),'Calc (scoring engine)'!$K$5:$K$521,0))),""))</f>
        <v/>
      </c>
      <c r="BH29" s="53">
        <f>IF(OR(9&gt;MAX(3,MIN(15,N($D$18))),IFERROR(LARGE('Calc (scoring engine)'!$K$5:$K$521,9),-999999)&lt;=-900000),"",IFERROR(IF(INDEX(Database!$BK$5:$BK$521,MATCH(LARGE('Calc (scoring engine)'!$K$5:$K$521,9),'Calc (scoring engine)'!$K$5:$K$521,0))="","—",INDEX(Database!$BK$5:$BK$521,MATCH(LARGE('Calc (scoring engine)'!$K$5:$K$521,9),'Calc (scoring engine)'!$K$5:$K$521,0))),""))</f>
        <v/>
      </c>
      <c r="BI29" s="19">
        <f>IF(OR(9&gt;MAX(3,MIN(15,N($D$18))),IFERROR(LARGE('Calc (scoring engine)'!$K$5:$K$521,9),-999999)&lt;=-900000),"",IFERROR(IF(INDEX(Database!$BL$5:$BL$521,MATCH(LARGE('Calc (scoring engine)'!$K$5:$K$521,9),'Calc (scoring engine)'!$K$5:$K$521,0))="","—",INDEX(Database!$BL$5:$BL$521,MATCH(LARGE('Calc (scoring engine)'!$K$5:$K$521,9),'Calc (scoring engine)'!$K$5:$K$521,0))),""))</f>
        <v/>
      </c>
      <c r="BJ29" s="24">
        <f>IF(OR(9&gt;MAX(3,MIN(15,N($D$18))),IFERROR(LARGE('Calc (scoring engine)'!$K$5:$K$521,9),-999999)&lt;=-900000),"",IFERROR(IF(INDEX(Database!$BM$5:$BM$521,MATCH(LARGE('Calc (scoring engine)'!$K$5:$K$521,9),'Calc (scoring engine)'!$K$5:$K$521,0))="","—",INDEX(Database!$BM$5:$BM$521,MATCH(LARGE('Calc (scoring engine)'!$K$5:$K$521,9),'Calc (scoring engine)'!$K$5:$K$521,0))),""))</f>
        <v/>
      </c>
      <c r="BK29" s="24">
        <f>IF(OR(9&gt;MAX(3,MIN(15,N($D$18))),IFERROR(LARGE('Calc (scoring engine)'!$K$5:$K$521,9),-999999)&lt;=-900000),"",IFERROR(IF(INDEX(Database!$BN$5:$BN$521,MATCH(LARGE('Calc (scoring engine)'!$K$5:$K$521,9),'Calc (scoring engine)'!$K$5:$K$521,0))="","—",INDEX(Database!$BN$5:$BN$521,MATCH(LARGE('Calc (scoring engine)'!$K$5:$K$521,9),'Calc (scoring engine)'!$K$5:$K$521,0))),""))</f>
        <v/>
      </c>
      <c r="BL29" s="10">
        <f>IF(OR(9&gt;MAX(3,MIN(15,N($D$18))),IFERROR(LARGE('Calc (scoring engine)'!$K$5:$K$521,9),-999999)&lt;=-900000),"",IFERROR(IF(INDEX(Database!$BO$5:$BO$521,MATCH(LARGE('Calc (scoring engine)'!$K$5:$K$521,9),'Calc (scoring engine)'!$K$5:$K$521,0))="","—",INDEX(Database!$BO$5:$BO$521,MATCH(LARGE('Calc (scoring engine)'!$K$5:$K$521,9),'Calc (scoring engine)'!$K$5:$K$521,0))),""))</f>
        <v/>
      </c>
      <c r="BM29" s="10">
        <f>IF(OR(9&gt;MAX(3,MIN(15,N($D$18))),IFERROR(LARGE('Calc (scoring engine)'!$K$5:$K$521,9),-999999)&lt;=-900000),"",IFERROR(IF(INDEX(Database!$BQ$5:$BQ$521,MATCH(LARGE('Calc (scoring engine)'!$K$5:$K$521,9),'Calc (scoring engine)'!$K$5:$K$521,0))="","—",INDEX(Database!$BQ$5:$BQ$521,MATCH(LARGE('Calc (scoring engine)'!$K$5:$K$521,9),'Calc (scoring engine)'!$K$5:$K$521,0))),""))</f>
        <v/>
      </c>
      <c r="BN29" s="54">
        <f>IF(OR(9&gt;MAX(3,MIN(15,N($D$18))),IFERROR(LARGE('Calc (scoring engine)'!$K$5:$K$521,9),-999999)&lt;=-900000),"",IFERROR(IF(INDEX('Calc (scoring engine)'!$H$5:$H$521,MATCH(LARGE('Calc (scoring engine)'!$K$5:$K$521,9),'Calc (scoring engine)'!$K$5:$K$521,0))&gt;0,INDEX('Calc (scoring engine)'!$H$5:$H$521,MATCH(LARGE('Calc (scoring engine)'!$K$5:$K$521,9),'Calc (scoring engine)'!$K$5:$K$521,0)),""),""))</f>
        <v/>
      </c>
      <c r="BO29" s="10">
        <f>IF(OR(9&gt;MAX(3,MIN(15,N($D$18))),IFERROR(LARGE('Calc (scoring engine)'!$K$5:$K$521,9),-999999)&lt;=-900000),"",IF(IFERROR(INDEX('Calc (scoring engine)'!$B$5:$B$521,MATCH(LARGE('Calc (scoring engine)'!$K$5:$K$521,9),'Calc (scoring engine)'!$K$5:$K$521,0)),0)=1,"same subsector","sector only"))</f>
        <v/>
      </c>
      <c r="BP29" s="54">
        <f>IF(OR(9&gt;MAX(3,MIN(15,N($D$18))),IFERROR(LARGE('Calc (scoring engine)'!$K$5:$K$521,9),-999999)&lt;=-900000),"",ROUND(IFERROR(LARGE('Calc (scoring engine)'!$K$5:$K$521,9),0),0))</f>
        <v/>
      </c>
      <c r="BQ29" s="10">
        <f>IF(OR(9&gt;MAX(3,MIN(15,N($D$18))),IFERROR(LARGE('Calc (scoring engine)'!$K$5:$K$521,9),-999999)&lt;=-900000),"",IFERROR("sub "&amp;INDEX('Calc (scoring engine)'!$B$5:$B$521,MATCH(LARGE('Calc (scoring engine)'!$K$5:$K$521,9),'Calc (scoring engine)'!$K$5:$K$521,0))*W_SUB&amp;" + size "&amp;ROUND(INDEX('Calc (scoring engine)'!$D$5:$D$521,MATCH(LARGE('Calc (scoring engine)'!$K$5:$K$521,9),'Calc (scoring engine)'!$K$5:$K$521,0))*W_SIZE,0)&amp;" + prof "&amp;INDEX('Calc (scoring engine)'!$E$5:$E$521,MATCH(LARGE('Calc (scoring engine)'!$K$5:$K$521,9),'Calc (scoring engine)'!$K$5:$K$521,0))*W_PROF&amp;" + recency "&amp;ROUND(INDEX('Calc (scoring engine)'!$G$5:$G$521,MATCH(LARGE('Calc (scoring engine)'!$K$5:$K$521,9),'Calc (scoring engine)'!$K$5:$K$521,0))*W_REC,0)&amp;IF(INDEX('Calc (scoring engine)'!$H$5:$H$521,MATCH(LARGE('Calc (scoring engine)'!$K$5:$K$521,9),'Calc (scoring engine)'!$K$5:$K$521,0))&gt;0," + shared CS x"&amp;INDEX('Calc (scoring engine)'!$H$5:$H$521,MATCH(LARGE('Calc (scoring engine)'!$K$5:$K$521,9),'Calc (scoring engine)'!$K$5:$K$521,0)),""),""))</f>
        <v/>
      </c>
    </row>
    <row r="30">
      <c r="A30" s="48">
        <f>IF(OR(10&gt;MAX(3,MIN(15,N($D$18))),IFERROR(LARGE('Calc (scoring engine)'!$K$5:$K$521,10),-999999)&lt;=-900000),"",10)</f>
        <v/>
      </c>
      <c r="B30" s="10">
        <f>IF(OR(10&gt;MAX(3,MIN(15,N($D$18))),IFERROR(LARGE('Calc (scoring engine)'!$K$5:$K$521,10),-999999)&lt;=-900000),"",IFERROR(IF(INDEX(Database!$B$5:$B$521,MATCH(LARGE('Calc (scoring engine)'!$K$5:$K$521,10),'Calc (scoring engine)'!$K$5:$K$521,0))="","—",INDEX(Database!$B$5:$B$521,MATCH(LARGE('Calc (scoring engine)'!$K$5:$K$521,10),'Calc (scoring engine)'!$K$5:$K$521,0))),""))</f>
        <v/>
      </c>
      <c r="C30" s="49">
        <f>IF(OR(10&gt;MAX(3,MIN(15,N($D$18))),IFERROR(LARGE('Calc (scoring engine)'!$K$5:$K$521,10),-999999)&lt;=-900000),"",IFERROR(IF(INDEX(Database!$A$5:$A$521,MATCH(LARGE('Calc (scoring engine)'!$K$5:$K$521,10),'Calc (scoring engine)'!$K$5:$K$521,0))="","—",INDEX(Database!$A$5:$A$521,MATCH(LARGE('Calc (scoring engine)'!$K$5:$K$521,10),'Calc (scoring engine)'!$K$5:$K$521,0))),""))</f>
        <v/>
      </c>
      <c r="D30" s="10">
        <f>IF(OR(10&gt;MAX(3,MIN(15,N($D$18))),IFERROR(LARGE('Calc (scoring engine)'!$K$5:$K$521,10),-999999)&lt;=-900000),"",IFERROR(IF(INDEX(Database!$D$5:$D$521,MATCH(LARGE('Calc (scoring engine)'!$K$5:$K$521,10),'Calc (scoring engine)'!$K$5:$K$521,0))="","—",INDEX(Database!$D$5:$D$521,MATCH(LARGE('Calc (scoring engine)'!$K$5:$K$521,10),'Calc (scoring engine)'!$K$5:$K$521,0))),""))</f>
        <v/>
      </c>
      <c r="E30" s="10">
        <f>IF(OR(10&gt;MAX(3,MIN(15,N($D$18))),IFERROR(LARGE('Calc (scoring engine)'!$K$5:$K$521,10),-999999)&lt;=-900000),"",IFERROR(IF(INDEX(Database!$E$5:$E$521,MATCH(LARGE('Calc (scoring engine)'!$K$5:$K$521,10),'Calc (scoring engine)'!$K$5:$K$521,0))="","—",INDEX(Database!$E$5:$E$521,MATCH(LARGE('Calc (scoring engine)'!$K$5:$K$521,10),'Calc (scoring engine)'!$K$5:$K$521,0))),""))</f>
        <v/>
      </c>
      <c r="F30" s="10">
        <f>IF(OR(10&gt;MAX(3,MIN(15,N($D$18))),IFERROR(LARGE('Calc (scoring engine)'!$K$5:$K$521,10),-999999)&lt;=-900000),"",IFERROR(IF(INDEX(Database!$F$5:$F$521,MATCH(LARGE('Calc (scoring engine)'!$K$5:$K$521,10),'Calc (scoring engine)'!$K$5:$K$521,0))="","—",INDEX(Database!$F$5:$F$521,MATCH(LARGE('Calc (scoring engine)'!$K$5:$K$521,10),'Calc (scoring engine)'!$K$5:$K$521,0))),""))</f>
        <v/>
      </c>
      <c r="G30" s="10">
        <f>IF(OR(10&gt;MAX(3,MIN(15,N($D$18))),IFERROR(LARGE('Calc (scoring engine)'!$K$5:$K$521,10),-999999)&lt;=-900000),"",IFERROR(IF(INDEX(Database!$G$5:$G$521,MATCH(LARGE('Calc (scoring engine)'!$K$5:$K$521,10),'Calc (scoring engine)'!$K$5:$K$521,0))="","—",INDEX(Database!$G$5:$G$521,MATCH(LARGE('Calc (scoring engine)'!$K$5:$K$521,10),'Calc (scoring engine)'!$K$5:$K$521,0))),""))</f>
        <v/>
      </c>
      <c r="H30" s="21">
        <f>IF(OR(10&gt;MAX(3,MIN(15,N($D$18))),IFERROR(LARGE('Calc (scoring engine)'!$K$5:$K$521,10),-999999)&lt;=-900000),"",IFERROR(IF(INDEX(Database!$H$5:$H$521,MATCH(LARGE('Calc (scoring engine)'!$K$5:$K$521,10),'Calc (scoring engine)'!$K$5:$K$521,0))="","—",INDEX(Database!$H$5:$H$521,MATCH(LARGE('Calc (scoring engine)'!$K$5:$K$521,10),'Calc (scoring engine)'!$K$5:$K$521,0))),""))</f>
        <v/>
      </c>
      <c r="I30" s="19">
        <f>IF(OR(10&gt;MAX(3,MIN(15,N($D$18))),IFERROR(LARGE('Calc (scoring engine)'!$K$5:$K$521,10),-999999)&lt;=-900000),"",IFERROR(IF(INDEX(Database!$I$5:$I$521,MATCH(LARGE('Calc (scoring engine)'!$K$5:$K$521,10),'Calc (scoring engine)'!$K$5:$K$521,0))="","—",INDEX(Database!$I$5:$I$521,MATCH(LARGE('Calc (scoring engine)'!$K$5:$K$521,10),'Calc (scoring engine)'!$K$5:$K$521,0))),""))</f>
        <v/>
      </c>
      <c r="J30" s="50">
        <f>IF(OR(10&gt;MAX(3,MIN(15,N($D$18))),IFERROR(LARGE('Calc (scoring engine)'!$K$5:$K$521,10),-999999)&lt;=-900000),"",IFERROR(IF(INDEX(Database!$K$5:$K$521,MATCH(LARGE('Calc (scoring engine)'!$K$5:$K$521,10),'Calc (scoring engine)'!$K$5:$K$521,0))="","—",INDEX(Database!$K$5:$K$521,MATCH(LARGE('Calc (scoring engine)'!$K$5:$K$521,10),'Calc (scoring engine)'!$K$5:$K$521,0))),""))</f>
        <v/>
      </c>
      <c r="K30" s="50">
        <f>IF(OR(10&gt;MAX(3,MIN(15,N($D$18))),IFERROR(LARGE('Calc (scoring engine)'!$K$5:$K$521,10),-999999)&lt;=-900000),"",IFERROR(IF(INDEX(Database!$L$5:$L$521,MATCH(LARGE('Calc (scoring engine)'!$K$5:$K$521,10),'Calc (scoring engine)'!$K$5:$K$521,0))="","—",INDEX(Database!$L$5:$L$521,MATCH(LARGE('Calc (scoring engine)'!$K$5:$K$521,10),'Calc (scoring engine)'!$K$5:$K$521,0))),""))</f>
        <v/>
      </c>
      <c r="L30" s="50">
        <f>IF(OR(10&gt;MAX(3,MIN(15,N($D$18))),IFERROR(LARGE('Calc (scoring engine)'!$K$5:$K$521,10),-999999)&lt;=-900000),"",IFERROR(IF(INDEX(Database!$M$5:$M$521,MATCH(LARGE('Calc (scoring engine)'!$K$5:$K$521,10),'Calc (scoring engine)'!$K$5:$K$521,0))="","—",INDEX(Database!$M$5:$M$521,MATCH(LARGE('Calc (scoring engine)'!$K$5:$K$521,10),'Calc (scoring engine)'!$K$5:$K$521,0))),""))</f>
        <v/>
      </c>
      <c r="M30" s="10">
        <f>IF(OR(10&gt;MAX(3,MIN(15,N($D$18))),IFERROR(LARGE('Calc (scoring engine)'!$K$5:$K$521,10),-999999)&lt;=-900000),"",IFERROR(IF(INDEX(Database!$N$5:$N$521,MATCH(LARGE('Calc (scoring engine)'!$K$5:$K$521,10),'Calc (scoring engine)'!$K$5:$K$521,0))="","—",INDEX(Database!$N$5:$N$521,MATCH(LARGE('Calc (scoring engine)'!$K$5:$K$521,10),'Calc (scoring engine)'!$K$5:$K$521,0))),""))</f>
        <v/>
      </c>
      <c r="N30" s="31">
        <f>IF(OR(10&gt;MAX(3,MIN(15,N($D$18))),IFERROR(LARGE('Calc (scoring engine)'!$K$5:$K$521,10),-999999)&lt;=-900000),"",IFERROR(IF(INDEX(Database!$O$5:$O$521,MATCH(LARGE('Calc (scoring engine)'!$K$5:$K$521,10),'Calc (scoring engine)'!$K$5:$K$521,0))="","—",INDEX(Database!$O$5:$O$521,MATCH(LARGE('Calc (scoring engine)'!$K$5:$K$521,10),'Calc (scoring engine)'!$K$5:$K$521,0))),""))</f>
        <v/>
      </c>
      <c r="O30" s="31">
        <f>IF(OR(10&gt;MAX(3,MIN(15,N($D$18))),IFERROR(LARGE('Calc (scoring engine)'!$K$5:$K$521,10),-999999)&lt;=-900000),"",IFERROR(IF(INDEX(Database!$P$5:$P$521,MATCH(LARGE('Calc (scoring engine)'!$K$5:$K$521,10),'Calc (scoring engine)'!$K$5:$K$521,0))="","—",INDEX(Database!$P$5:$P$521,MATCH(LARGE('Calc (scoring engine)'!$K$5:$K$521,10),'Calc (scoring engine)'!$K$5:$K$521,0))),""))</f>
        <v/>
      </c>
      <c r="P30" s="19">
        <f>IF(OR(10&gt;MAX(3,MIN(15,N($D$18))),IFERROR(LARGE('Calc (scoring engine)'!$K$5:$K$521,10),-999999)&lt;=-900000),"",IFERROR(IF(INDEX(Database!$Q$5:$Q$521,MATCH(LARGE('Calc (scoring engine)'!$K$5:$K$521,10),'Calc (scoring engine)'!$K$5:$K$521,0))="","—",INDEX(Database!$Q$5:$Q$521,MATCH(LARGE('Calc (scoring engine)'!$K$5:$K$521,10),'Calc (scoring engine)'!$K$5:$K$521,0))),""))</f>
        <v/>
      </c>
      <c r="Q30" s="26">
        <f>IF(OR(10&gt;MAX(3,MIN(15,N($D$18))),IFERROR(LARGE('Calc (scoring engine)'!$K$5:$K$521,10),-999999)&lt;=-900000),"",IFERROR(IF(INDEX(Database!$S$5:$S$521,MATCH(LARGE('Calc (scoring engine)'!$K$5:$K$521,10),'Calc (scoring engine)'!$K$5:$K$521,0))="","—",INDEX(Database!$S$5:$S$521,MATCH(LARGE('Calc (scoring engine)'!$K$5:$K$521,10),'Calc (scoring engine)'!$K$5:$K$521,0))),""))</f>
        <v/>
      </c>
      <c r="R30" s="51">
        <f>IF(OR(10&gt;MAX(3,MIN(15,N($D$18))),IFERROR(LARGE('Calc (scoring engine)'!$K$5:$K$521,10),-999999)&lt;=-900000),"",IFERROR(IF(INDEX(Database!$T$5:$T$521,MATCH(LARGE('Calc (scoring engine)'!$K$5:$K$521,10),'Calc (scoring engine)'!$K$5:$K$521,0))="","—",INDEX(Database!$T$5:$T$521,MATCH(LARGE('Calc (scoring engine)'!$K$5:$K$521,10),'Calc (scoring engine)'!$K$5:$K$521,0))),""))</f>
        <v/>
      </c>
      <c r="S30" s="52">
        <f>IF(OR(10&gt;MAX(3,MIN(15,N($D$18))),IFERROR(LARGE('Calc (scoring engine)'!$K$5:$K$521,10),-999999)&lt;=-900000),"",IFERROR(IF(INDEX(Database!$U$5:$U$521,MATCH(LARGE('Calc (scoring engine)'!$K$5:$K$521,10),'Calc (scoring engine)'!$K$5:$K$521,0))="","—",INDEX(Database!$U$5:$U$521,MATCH(LARGE('Calc (scoring engine)'!$K$5:$K$521,10),'Calc (scoring engine)'!$K$5:$K$521,0))),""))</f>
        <v/>
      </c>
      <c r="T30" s="19">
        <f>IF(OR(10&gt;MAX(3,MIN(15,N($D$18))),IFERROR(LARGE('Calc (scoring engine)'!$K$5:$K$521,10),-999999)&lt;=-900000),"",IFERROR(IF(INDEX(Database!$V$5:$V$521,MATCH(LARGE('Calc (scoring engine)'!$K$5:$K$521,10),'Calc (scoring engine)'!$K$5:$K$521,0))="","—",INDEX(Database!$V$5:$V$521,MATCH(LARGE('Calc (scoring engine)'!$K$5:$K$521,10),'Calc (scoring engine)'!$K$5:$K$521,0))),""))</f>
        <v/>
      </c>
      <c r="U30" s="19">
        <f>IF(OR(10&gt;MAX(3,MIN(15,N($D$18))),IFERROR(LARGE('Calc (scoring engine)'!$K$5:$K$521,10),-999999)&lt;=-900000),"",IFERROR(IF(INDEX(Database!$W$5:$W$521,MATCH(LARGE('Calc (scoring engine)'!$K$5:$K$521,10),'Calc (scoring engine)'!$K$5:$K$521,0))="","—",INDEX(Database!$W$5:$W$521,MATCH(LARGE('Calc (scoring engine)'!$K$5:$K$521,10),'Calc (scoring engine)'!$K$5:$K$521,0))),""))</f>
        <v/>
      </c>
      <c r="V30" s="31">
        <f>IF(OR(10&gt;MAX(3,MIN(15,N($D$18))),IFERROR(LARGE('Calc (scoring engine)'!$K$5:$K$521,10),-999999)&lt;=-900000),"",IFERROR(IF(INDEX(Database!$X$5:$X$521,MATCH(LARGE('Calc (scoring engine)'!$K$5:$K$521,10),'Calc (scoring engine)'!$K$5:$K$521,0))="","—",INDEX(Database!$X$5:$X$521,MATCH(LARGE('Calc (scoring engine)'!$K$5:$K$521,10),'Calc (scoring engine)'!$K$5:$K$521,0))),""))</f>
        <v/>
      </c>
      <c r="W30" s="10">
        <f>IF(OR(10&gt;MAX(3,MIN(15,N($D$18))),IFERROR(LARGE('Calc (scoring engine)'!$K$5:$K$521,10),-999999)&lt;=-900000),"",IFERROR(IF(INDEX(Database!$Y$5:$Y$521,MATCH(LARGE('Calc (scoring engine)'!$K$5:$K$521,10),'Calc (scoring engine)'!$K$5:$K$521,0))="","—",INDEX(Database!$Y$5:$Y$521,MATCH(LARGE('Calc (scoring engine)'!$K$5:$K$521,10),'Calc (scoring engine)'!$K$5:$K$521,0))),""))</f>
        <v/>
      </c>
      <c r="X30" s="31">
        <f>IF(OR(10&gt;MAX(3,MIN(15,N($D$18))),IFERROR(LARGE('Calc (scoring engine)'!$K$5:$K$521,10),-999999)&lt;=-900000),"",IFERROR(IF(INDEX(Database!$AA$5:$AA$521,MATCH(LARGE('Calc (scoring engine)'!$K$5:$K$521,10),'Calc (scoring engine)'!$K$5:$K$521,0))="","—",INDEX(Database!$AA$5:$AA$521,MATCH(LARGE('Calc (scoring engine)'!$K$5:$K$521,10),'Calc (scoring engine)'!$K$5:$K$521,0))),""))</f>
        <v/>
      </c>
      <c r="Y30" s="10">
        <f>IF(OR(10&gt;MAX(3,MIN(15,N($D$18))),IFERROR(LARGE('Calc (scoring engine)'!$K$5:$K$521,10),-999999)&lt;=-900000),"",IFERROR(IF(INDEX(Database!$AB$5:$AB$521,MATCH(LARGE('Calc (scoring engine)'!$K$5:$K$521,10),'Calc (scoring engine)'!$K$5:$K$521,0))="","—",INDEX(Database!$AB$5:$AB$521,MATCH(LARGE('Calc (scoring engine)'!$K$5:$K$521,10),'Calc (scoring engine)'!$K$5:$K$521,0))),""))</f>
        <v/>
      </c>
      <c r="Z30" s="10">
        <f>IF(OR(10&gt;MAX(3,MIN(15,N($D$18))),IFERROR(LARGE('Calc (scoring engine)'!$K$5:$K$521,10),-999999)&lt;=-900000),"",IFERROR(IF(INDEX(Database!$AC$5:$AC$521,MATCH(LARGE('Calc (scoring engine)'!$K$5:$K$521,10),'Calc (scoring engine)'!$K$5:$K$521,0))="","—",INDEX(Database!$AC$5:$AC$521,MATCH(LARGE('Calc (scoring engine)'!$K$5:$K$521,10),'Calc (scoring engine)'!$K$5:$K$521,0))),""))</f>
        <v/>
      </c>
      <c r="AA30" s="10">
        <f>IF(OR(10&gt;MAX(3,MIN(15,N($D$18))),IFERROR(LARGE('Calc (scoring engine)'!$K$5:$K$521,10),-999999)&lt;=-900000),"",IFERROR(IF(INDEX(Database!$AD$5:$AD$521,MATCH(LARGE('Calc (scoring engine)'!$K$5:$K$521,10),'Calc (scoring engine)'!$K$5:$K$521,0))="","—",INDEX(Database!$AD$5:$AD$521,MATCH(LARGE('Calc (scoring engine)'!$K$5:$K$521,10),'Calc (scoring engine)'!$K$5:$K$521,0))),""))</f>
        <v/>
      </c>
      <c r="AB30" s="10">
        <f>IF(OR(10&gt;MAX(3,MIN(15,N($D$18))),IFERROR(LARGE('Calc (scoring engine)'!$K$5:$K$521,10),-999999)&lt;=-900000),"",IFERROR(IF(INDEX(Database!$AE$5:$AE$521,MATCH(LARGE('Calc (scoring engine)'!$K$5:$K$521,10),'Calc (scoring engine)'!$K$5:$K$521,0))="","—",INDEX(Database!$AE$5:$AE$521,MATCH(LARGE('Calc (scoring engine)'!$K$5:$K$521,10),'Calc (scoring engine)'!$K$5:$K$521,0))),""))</f>
        <v/>
      </c>
      <c r="AC30" s="23">
        <f>IF(OR(10&gt;MAX(3,MIN(15,N($D$18))),IFERROR(LARGE('Calc (scoring engine)'!$K$5:$K$521,10),-999999)&lt;=-900000),"",IFERROR(IF(INDEX(Database!$AF$5:$AF$521,MATCH(LARGE('Calc (scoring engine)'!$K$5:$K$521,10),'Calc (scoring engine)'!$K$5:$K$521,0))="","—",INDEX(Database!$AF$5:$AF$521,MATCH(LARGE('Calc (scoring engine)'!$K$5:$K$521,10),'Calc (scoring engine)'!$K$5:$K$521,0))),""))</f>
        <v/>
      </c>
      <c r="AD30" s="23">
        <f>IF(OR(10&gt;MAX(3,MIN(15,N($D$18))),IFERROR(LARGE('Calc (scoring engine)'!$K$5:$K$521,10),-999999)&lt;=-900000),"",IFERROR(IF(INDEX(Database!$AG$5:$AG$521,MATCH(LARGE('Calc (scoring engine)'!$K$5:$K$521,10),'Calc (scoring engine)'!$K$5:$K$521,0))="","—",INDEX(Database!$AG$5:$AG$521,MATCH(LARGE('Calc (scoring engine)'!$K$5:$K$521,10),'Calc (scoring engine)'!$K$5:$K$521,0))),""))</f>
        <v/>
      </c>
      <c r="AE30" s="23">
        <f>IF(OR(10&gt;MAX(3,MIN(15,N($D$18))),IFERROR(LARGE('Calc (scoring engine)'!$K$5:$K$521,10),-999999)&lt;=-900000),"",IFERROR(IF(INDEX(Database!$AH$5:$AH$521,MATCH(LARGE('Calc (scoring engine)'!$K$5:$K$521,10),'Calc (scoring engine)'!$K$5:$K$521,0))="","—",INDEX(Database!$AH$5:$AH$521,MATCH(LARGE('Calc (scoring engine)'!$K$5:$K$521,10),'Calc (scoring engine)'!$K$5:$K$521,0))),""))</f>
        <v/>
      </c>
      <c r="AF30" s="23">
        <f>IF(OR(10&gt;MAX(3,MIN(15,N($D$18))),IFERROR(LARGE('Calc (scoring engine)'!$K$5:$K$521,10),-999999)&lt;=-900000),"",IFERROR(IF(INDEX(Database!$AI$5:$AI$521,MATCH(LARGE('Calc (scoring engine)'!$K$5:$K$521,10),'Calc (scoring engine)'!$K$5:$K$521,0))="","—",INDEX(Database!$AI$5:$AI$521,MATCH(LARGE('Calc (scoring engine)'!$K$5:$K$521,10),'Calc (scoring engine)'!$K$5:$K$521,0))),""))</f>
        <v/>
      </c>
      <c r="AG30" s="23">
        <f>IF(OR(10&gt;MAX(3,MIN(15,N($D$18))),IFERROR(LARGE('Calc (scoring engine)'!$K$5:$K$521,10),-999999)&lt;=-900000),"",IFERROR(IF(INDEX(Database!$AJ$5:$AJ$521,MATCH(LARGE('Calc (scoring engine)'!$K$5:$K$521,10),'Calc (scoring engine)'!$K$5:$K$521,0))="","—",INDEX(Database!$AJ$5:$AJ$521,MATCH(LARGE('Calc (scoring engine)'!$K$5:$K$521,10),'Calc (scoring engine)'!$K$5:$K$521,0))),""))</f>
        <v/>
      </c>
      <c r="AH30" s="23">
        <f>IF(OR(10&gt;MAX(3,MIN(15,N($D$18))),IFERROR(LARGE('Calc (scoring engine)'!$K$5:$K$521,10),-999999)&lt;=-900000),"",IFERROR(IF(INDEX(Database!$AK$5:$AK$521,MATCH(LARGE('Calc (scoring engine)'!$K$5:$K$521,10),'Calc (scoring engine)'!$K$5:$K$521,0))="","—",INDEX(Database!$AK$5:$AK$521,MATCH(LARGE('Calc (scoring engine)'!$K$5:$K$521,10),'Calc (scoring engine)'!$K$5:$K$521,0))),""))</f>
        <v/>
      </c>
      <c r="AI30" s="23">
        <f>IF(OR(10&gt;MAX(3,MIN(15,N($D$18))),IFERROR(LARGE('Calc (scoring engine)'!$K$5:$K$521,10),-999999)&lt;=-900000),"",IFERROR(IF(INDEX(Database!$AL$5:$AL$521,MATCH(LARGE('Calc (scoring engine)'!$K$5:$K$521,10),'Calc (scoring engine)'!$K$5:$K$521,0))="","—",INDEX(Database!$AL$5:$AL$521,MATCH(LARGE('Calc (scoring engine)'!$K$5:$K$521,10),'Calc (scoring engine)'!$K$5:$K$521,0))),""))</f>
        <v/>
      </c>
      <c r="AJ30" s="23">
        <f>IF(OR(10&gt;MAX(3,MIN(15,N($D$18))),IFERROR(LARGE('Calc (scoring engine)'!$K$5:$K$521,10),-999999)&lt;=-900000),"",IFERROR(IF(INDEX(Database!$AM$5:$AM$521,MATCH(LARGE('Calc (scoring engine)'!$K$5:$K$521,10),'Calc (scoring engine)'!$K$5:$K$521,0))="","—",INDEX(Database!$AM$5:$AM$521,MATCH(LARGE('Calc (scoring engine)'!$K$5:$K$521,10),'Calc (scoring engine)'!$K$5:$K$521,0))),""))</f>
        <v/>
      </c>
      <c r="AK30" s="23">
        <f>IF(OR(10&gt;MAX(3,MIN(15,N($D$18))),IFERROR(LARGE('Calc (scoring engine)'!$K$5:$K$521,10),-999999)&lt;=-900000),"",IFERROR(IF(INDEX(Database!$AN$5:$AN$521,MATCH(LARGE('Calc (scoring engine)'!$K$5:$K$521,10),'Calc (scoring engine)'!$K$5:$K$521,0))="","—",INDEX(Database!$AN$5:$AN$521,MATCH(LARGE('Calc (scoring engine)'!$K$5:$K$521,10),'Calc (scoring engine)'!$K$5:$K$521,0))),""))</f>
        <v/>
      </c>
      <c r="AL30" s="23">
        <f>IF(OR(10&gt;MAX(3,MIN(15,N($D$18))),IFERROR(LARGE('Calc (scoring engine)'!$K$5:$K$521,10),-999999)&lt;=-900000),"",IFERROR(IF(INDEX(Database!$AO$5:$AO$521,MATCH(LARGE('Calc (scoring engine)'!$K$5:$K$521,10),'Calc (scoring engine)'!$K$5:$K$521,0))="","—",INDEX(Database!$AO$5:$AO$521,MATCH(LARGE('Calc (scoring engine)'!$K$5:$K$521,10),'Calc (scoring engine)'!$K$5:$K$521,0))),""))</f>
        <v/>
      </c>
      <c r="AM30" s="23">
        <f>IF(OR(10&gt;MAX(3,MIN(15,N($D$18))),IFERROR(LARGE('Calc (scoring engine)'!$K$5:$K$521,10),-999999)&lt;=-900000),"",IFERROR(IF(INDEX(Database!$AP$5:$AP$521,MATCH(LARGE('Calc (scoring engine)'!$K$5:$K$521,10),'Calc (scoring engine)'!$K$5:$K$521,0))="","—",INDEX(Database!$AP$5:$AP$521,MATCH(LARGE('Calc (scoring engine)'!$K$5:$K$521,10),'Calc (scoring engine)'!$K$5:$K$521,0))),""))</f>
        <v/>
      </c>
      <c r="AN30" s="23">
        <f>IF(OR(10&gt;MAX(3,MIN(15,N($D$18))),IFERROR(LARGE('Calc (scoring engine)'!$K$5:$K$521,10),-999999)&lt;=-900000),"",IFERROR(IF(INDEX(Database!$AQ$5:$AQ$521,MATCH(LARGE('Calc (scoring engine)'!$K$5:$K$521,10),'Calc (scoring engine)'!$K$5:$K$521,0))="","—",INDEX(Database!$AQ$5:$AQ$521,MATCH(LARGE('Calc (scoring engine)'!$K$5:$K$521,10),'Calc (scoring engine)'!$K$5:$K$521,0))),""))</f>
        <v/>
      </c>
      <c r="AO30" s="23">
        <f>IF(OR(10&gt;MAX(3,MIN(15,N($D$18))),IFERROR(LARGE('Calc (scoring engine)'!$K$5:$K$521,10),-999999)&lt;=-900000),"",IFERROR(IF(INDEX(Database!$AR$5:$AR$521,MATCH(LARGE('Calc (scoring engine)'!$K$5:$K$521,10),'Calc (scoring engine)'!$K$5:$K$521,0))="","—",INDEX(Database!$AR$5:$AR$521,MATCH(LARGE('Calc (scoring engine)'!$K$5:$K$521,10),'Calc (scoring engine)'!$K$5:$K$521,0))),""))</f>
        <v/>
      </c>
      <c r="AP30" s="23">
        <f>IF(OR(10&gt;MAX(3,MIN(15,N($D$18))),IFERROR(LARGE('Calc (scoring engine)'!$K$5:$K$521,10),-999999)&lt;=-900000),"",IFERROR(IF(INDEX(Database!$AS$5:$AS$521,MATCH(LARGE('Calc (scoring engine)'!$K$5:$K$521,10),'Calc (scoring engine)'!$K$5:$K$521,0))="","—",INDEX(Database!$AS$5:$AS$521,MATCH(LARGE('Calc (scoring engine)'!$K$5:$K$521,10),'Calc (scoring engine)'!$K$5:$K$521,0))),""))</f>
        <v/>
      </c>
      <c r="AQ30" s="23">
        <f>IF(OR(10&gt;MAX(3,MIN(15,N($D$18))),IFERROR(LARGE('Calc (scoring engine)'!$K$5:$K$521,10),-999999)&lt;=-900000),"",IFERROR(IF(INDEX(Database!$AT$5:$AT$521,MATCH(LARGE('Calc (scoring engine)'!$K$5:$K$521,10),'Calc (scoring engine)'!$K$5:$K$521,0))="","—",INDEX(Database!$AT$5:$AT$521,MATCH(LARGE('Calc (scoring engine)'!$K$5:$K$521,10),'Calc (scoring engine)'!$K$5:$K$521,0))),""))</f>
        <v/>
      </c>
      <c r="AR30" s="23">
        <f>IF(OR(10&gt;MAX(3,MIN(15,N($D$18))),IFERROR(LARGE('Calc (scoring engine)'!$K$5:$K$521,10),-999999)&lt;=-900000),"",IFERROR(IF(INDEX(Database!$AU$5:$AU$521,MATCH(LARGE('Calc (scoring engine)'!$K$5:$K$521,10),'Calc (scoring engine)'!$K$5:$K$521,0))="","—",INDEX(Database!$AU$5:$AU$521,MATCH(LARGE('Calc (scoring engine)'!$K$5:$K$521,10),'Calc (scoring engine)'!$K$5:$K$521,0))),""))</f>
        <v/>
      </c>
      <c r="AS30" s="23">
        <f>IF(OR(10&gt;MAX(3,MIN(15,N($D$18))),IFERROR(LARGE('Calc (scoring engine)'!$K$5:$K$521,10),-999999)&lt;=-900000),"",IFERROR(IF(INDEX(Database!$AW$5:$AW$521,MATCH(LARGE('Calc (scoring engine)'!$K$5:$K$521,10),'Calc (scoring engine)'!$K$5:$K$521,0))="","—",INDEX(Database!$AW$5:$AW$521,MATCH(LARGE('Calc (scoring engine)'!$K$5:$K$521,10),'Calc (scoring engine)'!$K$5:$K$521,0))),""))</f>
        <v/>
      </c>
      <c r="AT30" s="19">
        <f>IF(OR(10&gt;MAX(3,MIN(15,N($D$18))),IFERROR(LARGE('Calc (scoring engine)'!$K$5:$K$521,10),-999999)&lt;=-900000),"",IFERROR(IF(INDEX(Database!$AY$5:$AY$521,MATCH(LARGE('Calc (scoring engine)'!$K$5:$K$521,10),'Calc (scoring engine)'!$K$5:$K$521,0))="","—",INDEX(Database!$AY$5:$AY$521,MATCH(LARGE('Calc (scoring engine)'!$K$5:$K$521,10),'Calc (scoring engine)'!$K$5:$K$521,0))),""))</f>
        <v/>
      </c>
      <c r="AU30" s="19">
        <f>IF(OR(10&gt;MAX(3,MIN(15,N($D$18))),IFERROR(LARGE('Calc (scoring engine)'!$K$5:$K$521,10),-999999)&lt;=-900000),"",IFERROR(IF(INDEX(Database!$AZ$5:$AZ$521,MATCH(LARGE('Calc (scoring engine)'!$K$5:$K$521,10),'Calc (scoring engine)'!$K$5:$K$521,0))="","—",INDEX(Database!$AZ$5:$AZ$521,MATCH(LARGE('Calc (scoring engine)'!$K$5:$K$521,10),'Calc (scoring engine)'!$K$5:$K$521,0))),""))</f>
        <v/>
      </c>
      <c r="AV30" s="10">
        <f>IF(OR(10&gt;MAX(3,MIN(15,N($D$18))),IFERROR(LARGE('Calc (scoring engine)'!$K$5:$K$521,10),-999999)&lt;=-900000),"",IFERROR(IF(INDEX(Database!$BA$5:$BA$521,MATCH(LARGE('Calc (scoring engine)'!$K$5:$K$521,10),'Calc (scoring engine)'!$K$5:$K$521,0))="","—",INDEX(Database!$BA$5:$BA$521,MATCH(LARGE('Calc (scoring engine)'!$K$5:$K$521,10),'Calc (scoring engine)'!$K$5:$K$521,0))),""))</f>
        <v/>
      </c>
      <c r="AW30" s="24">
        <f>IF(OR(10&gt;MAX(3,MIN(15,N($D$18))),IFERROR(LARGE('Calc (scoring engine)'!$K$5:$K$521,10),-999999)&lt;=-900000),"",IFERROR(IF(N(INDEX(Database!$BB$5:$BB$521,MATCH(LARGE('Calc (scoring engine)'!$K$5:$K$521,10),'Calc (scoring engine)'!$K$5:$K$521,0)))&lt;=0,IF(INDEX(Database!$BA$5:$BA$521,MATCH(LARGE('Calc (scoring engine)'!$K$5:$K$521,10),'Calc (scoring engine)'!$K$5:$K$521,0))="N","n/m","—"),INDEX(Database!$BB$5:$BB$521,MATCH(LARGE('Calc (scoring engine)'!$K$5:$K$521,10),'Calc (scoring engine)'!$K$5:$K$521,0))),""))</f>
        <v/>
      </c>
      <c r="AX30" s="24">
        <f>IF(OR(10&gt;MAX(3,MIN(15,N($D$18))),IFERROR(LARGE('Calc (scoring engine)'!$K$5:$K$521,10),-999999)&lt;=-900000),"",IFERROR(IF(INDEX(Database!$BC$5:$BC$521,MATCH(LARGE('Calc (scoring engine)'!$K$5:$K$521,10),'Calc (scoring engine)'!$K$5:$K$521,0))="","—",INDEX(Database!$BC$5:$BC$521,MATCH(LARGE('Calc (scoring engine)'!$K$5:$K$521,10),'Calc (scoring engine)'!$K$5:$K$521,0))),""))</f>
        <v/>
      </c>
      <c r="AY30" s="24">
        <f>IF(OR(10&gt;MAX(3,MIN(15,N($D$18))),IFERROR(LARGE('Calc (scoring engine)'!$K$5:$K$521,10),-999999)&lt;=-900000),"",IFERROR(IF(INDEX(Database!$BD$5:$BD$521,MATCH(LARGE('Calc (scoring engine)'!$K$5:$K$521,10),'Calc (scoring engine)'!$K$5:$K$521,0))="","—",INDEX(Database!$BD$5:$BD$521,MATCH(LARGE('Calc (scoring engine)'!$K$5:$K$521,10),'Calc (scoring engine)'!$K$5:$K$521,0))),""))</f>
        <v/>
      </c>
      <c r="AZ30" s="24">
        <f>IF(OR(10&gt;MAX(3,MIN(15,N($D$18))),IFERROR(LARGE('Calc (scoring engine)'!$K$5:$K$521,10),-999999)&lt;=-900000),"",IFERROR(IF(INDEX(Database!$BE$5:$BE$521,MATCH(LARGE('Calc (scoring engine)'!$K$5:$K$521,10),'Calc (scoring engine)'!$K$5:$K$521,0))="","—",INDEX(Database!$BE$5:$BE$521,MATCH(LARGE('Calc (scoring engine)'!$K$5:$K$521,10),'Calc (scoring engine)'!$K$5:$K$521,0))),""))</f>
        <v/>
      </c>
      <c r="BA30" s="24">
        <f>IF(OR(10&gt;MAX(3,MIN(15,N($D$18))),IFERROR(LARGE('Calc (scoring engine)'!$K$5:$K$521,10),-999999)&lt;=-900000),"",IFERROR(IF(INDEX(Database!$BF$5:$BF$521,MATCH(LARGE('Calc (scoring engine)'!$K$5:$K$521,10),'Calc (scoring engine)'!$K$5:$K$521,0))="","—",INDEX(Database!$BF$5:$BF$521,MATCH(LARGE('Calc (scoring engine)'!$K$5:$K$521,10),'Calc (scoring engine)'!$K$5:$K$521,0))),""))</f>
        <v/>
      </c>
      <c r="BB30" s="24">
        <f>IF(OR(10&gt;MAX(3,MIN(15,N($D$18))),IFERROR(LARGE('Calc (scoring engine)'!$K$5:$K$521,10),-999999)&lt;=-900000),"",IFERROR(IFERROR(BDP(TEXT(INDEX(Database!$A$5:$A$521,MATCH(LARGE('Calc (scoring engine)'!$K$5:$K$521,10),'Calc (scoring engine)'!$K$5:$K$521,0)),"0")&amp;" HK Equity","PE_RATIO"),IF(INDEX(Database!$BD$5:$BD$521,MATCH(LARGE('Calc (scoring engine)'!$K$5:$K$521,10),'Calc (scoring engine)'!$K$5:$K$521,0))="","—",INDEX(Database!$BD$5:$BD$521,MATCH(LARGE('Calc (scoring engine)'!$K$5:$K$521,10),'Calc (scoring engine)'!$K$5:$K$521,0)))),""))</f>
        <v/>
      </c>
      <c r="BC30" s="24">
        <f>IF(OR(10&gt;MAX(3,MIN(15,N($D$18))),IFERROR(LARGE('Calc (scoring engine)'!$K$5:$K$521,10),-999999)&lt;=-900000),"",IFERROR(IFERROR(BDP(TEXT(INDEX(Database!$A$5:$A$521,MATCH(LARGE('Calc (scoring engine)'!$K$5:$K$521,10),'Calc (scoring engine)'!$K$5:$K$521,0)),"0")&amp;" HK Equity","PX_TO_SALES_RATIO"),IF(INDEX(Database!$BE$5:$BE$521,MATCH(LARGE('Calc (scoring engine)'!$K$5:$K$521,10),'Calc (scoring engine)'!$K$5:$K$521,0))="","—",INDEX(Database!$BE$5:$BE$521,MATCH(LARGE('Calc (scoring engine)'!$K$5:$K$521,10),'Calc (scoring engine)'!$K$5:$K$521,0)))),""))</f>
        <v/>
      </c>
      <c r="BD30" s="10">
        <f>IF(OR(10&gt;MAX(3,MIN(15,N($D$18))),IFERROR(LARGE('Calc (scoring engine)'!$K$5:$K$521,10),-999999)&lt;=-900000),"",IFERROR(IF(INDEX(Database!$BG$5:$BG$521,MATCH(LARGE('Calc (scoring engine)'!$K$5:$K$521,10),'Calc (scoring engine)'!$K$5:$K$521,0))="","—",INDEX(Database!$BG$5:$BG$521,MATCH(LARGE('Calc (scoring engine)'!$K$5:$K$521,10),'Calc (scoring engine)'!$K$5:$K$521,0))),""))</f>
        <v/>
      </c>
      <c r="BE30" s="10">
        <f>IF(OR(10&gt;MAX(3,MIN(15,N($D$18))),IFERROR(LARGE('Calc (scoring engine)'!$K$5:$K$521,10),-999999)&lt;=-900000),"",IFERROR(IF(INDEX(Database!$BH$5:$BH$521,MATCH(LARGE('Calc (scoring engine)'!$K$5:$K$521,10),'Calc (scoring engine)'!$K$5:$K$521,0))="","—",INDEX(Database!$BH$5:$BH$521,MATCH(LARGE('Calc (scoring engine)'!$K$5:$K$521,10),'Calc (scoring engine)'!$K$5:$K$521,0))),""))</f>
        <v/>
      </c>
      <c r="BF30" s="23">
        <f>IF(OR(10&gt;MAX(3,MIN(15,N($D$18))),IFERROR(LARGE('Calc (scoring engine)'!$K$5:$K$521,10),-999999)&lt;=-900000),"",IFERROR(IF(INDEX(Database!$BI$5:$BI$521,MATCH(LARGE('Calc (scoring engine)'!$K$5:$K$521,10),'Calc (scoring engine)'!$K$5:$K$521,0))="","—",INDEX(Database!$BI$5:$BI$521,MATCH(LARGE('Calc (scoring engine)'!$K$5:$K$521,10),'Calc (scoring engine)'!$K$5:$K$521,0))),""))</f>
        <v/>
      </c>
      <c r="BG30" s="50">
        <f>IF(OR(10&gt;MAX(3,MIN(15,N($D$18))),IFERROR(LARGE('Calc (scoring engine)'!$K$5:$K$521,10),-999999)&lt;=-900000),"",IFERROR(IF(INDEX(Database!$BJ$5:$BJ$521,MATCH(LARGE('Calc (scoring engine)'!$K$5:$K$521,10),'Calc (scoring engine)'!$K$5:$K$521,0))="","—",INDEX(Database!$BJ$5:$BJ$521,MATCH(LARGE('Calc (scoring engine)'!$K$5:$K$521,10),'Calc (scoring engine)'!$K$5:$K$521,0))),""))</f>
        <v/>
      </c>
      <c r="BH30" s="53">
        <f>IF(OR(10&gt;MAX(3,MIN(15,N($D$18))),IFERROR(LARGE('Calc (scoring engine)'!$K$5:$K$521,10),-999999)&lt;=-900000),"",IFERROR(IF(INDEX(Database!$BK$5:$BK$521,MATCH(LARGE('Calc (scoring engine)'!$K$5:$K$521,10),'Calc (scoring engine)'!$K$5:$K$521,0))="","—",INDEX(Database!$BK$5:$BK$521,MATCH(LARGE('Calc (scoring engine)'!$K$5:$K$521,10),'Calc (scoring engine)'!$K$5:$K$521,0))),""))</f>
        <v/>
      </c>
      <c r="BI30" s="19">
        <f>IF(OR(10&gt;MAX(3,MIN(15,N($D$18))),IFERROR(LARGE('Calc (scoring engine)'!$K$5:$K$521,10),-999999)&lt;=-900000),"",IFERROR(IF(INDEX(Database!$BL$5:$BL$521,MATCH(LARGE('Calc (scoring engine)'!$K$5:$K$521,10),'Calc (scoring engine)'!$K$5:$K$521,0))="","—",INDEX(Database!$BL$5:$BL$521,MATCH(LARGE('Calc (scoring engine)'!$K$5:$K$521,10),'Calc (scoring engine)'!$K$5:$K$521,0))),""))</f>
        <v/>
      </c>
      <c r="BJ30" s="24">
        <f>IF(OR(10&gt;MAX(3,MIN(15,N($D$18))),IFERROR(LARGE('Calc (scoring engine)'!$K$5:$K$521,10),-999999)&lt;=-900000),"",IFERROR(IF(INDEX(Database!$BM$5:$BM$521,MATCH(LARGE('Calc (scoring engine)'!$K$5:$K$521,10),'Calc (scoring engine)'!$K$5:$K$521,0))="","—",INDEX(Database!$BM$5:$BM$521,MATCH(LARGE('Calc (scoring engine)'!$K$5:$K$521,10),'Calc (scoring engine)'!$K$5:$K$521,0))),""))</f>
        <v/>
      </c>
      <c r="BK30" s="24">
        <f>IF(OR(10&gt;MAX(3,MIN(15,N($D$18))),IFERROR(LARGE('Calc (scoring engine)'!$K$5:$K$521,10),-999999)&lt;=-900000),"",IFERROR(IF(INDEX(Database!$BN$5:$BN$521,MATCH(LARGE('Calc (scoring engine)'!$K$5:$K$521,10),'Calc (scoring engine)'!$K$5:$K$521,0))="","—",INDEX(Database!$BN$5:$BN$521,MATCH(LARGE('Calc (scoring engine)'!$K$5:$K$521,10),'Calc (scoring engine)'!$K$5:$K$521,0))),""))</f>
        <v/>
      </c>
      <c r="BL30" s="10">
        <f>IF(OR(10&gt;MAX(3,MIN(15,N($D$18))),IFERROR(LARGE('Calc (scoring engine)'!$K$5:$K$521,10),-999999)&lt;=-900000),"",IFERROR(IF(INDEX(Database!$BO$5:$BO$521,MATCH(LARGE('Calc (scoring engine)'!$K$5:$K$521,10),'Calc (scoring engine)'!$K$5:$K$521,0))="","—",INDEX(Database!$BO$5:$BO$521,MATCH(LARGE('Calc (scoring engine)'!$K$5:$K$521,10),'Calc (scoring engine)'!$K$5:$K$521,0))),""))</f>
        <v/>
      </c>
      <c r="BM30" s="10">
        <f>IF(OR(10&gt;MAX(3,MIN(15,N($D$18))),IFERROR(LARGE('Calc (scoring engine)'!$K$5:$K$521,10),-999999)&lt;=-900000),"",IFERROR(IF(INDEX(Database!$BQ$5:$BQ$521,MATCH(LARGE('Calc (scoring engine)'!$K$5:$K$521,10),'Calc (scoring engine)'!$K$5:$K$521,0))="","—",INDEX(Database!$BQ$5:$BQ$521,MATCH(LARGE('Calc (scoring engine)'!$K$5:$K$521,10),'Calc (scoring engine)'!$K$5:$K$521,0))),""))</f>
        <v/>
      </c>
      <c r="BN30" s="54">
        <f>IF(OR(10&gt;MAX(3,MIN(15,N($D$18))),IFERROR(LARGE('Calc (scoring engine)'!$K$5:$K$521,10),-999999)&lt;=-900000),"",IFERROR(IF(INDEX('Calc (scoring engine)'!$H$5:$H$521,MATCH(LARGE('Calc (scoring engine)'!$K$5:$K$521,10),'Calc (scoring engine)'!$K$5:$K$521,0))&gt;0,INDEX('Calc (scoring engine)'!$H$5:$H$521,MATCH(LARGE('Calc (scoring engine)'!$K$5:$K$521,10),'Calc (scoring engine)'!$K$5:$K$521,0)),""),""))</f>
        <v/>
      </c>
      <c r="BO30" s="10">
        <f>IF(OR(10&gt;MAX(3,MIN(15,N($D$18))),IFERROR(LARGE('Calc (scoring engine)'!$K$5:$K$521,10),-999999)&lt;=-900000),"",IF(IFERROR(INDEX('Calc (scoring engine)'!$B$5:$B$521,MATCH(LARGE('Calc (scoring engine)'!$K$5:$K$521,10),'Calc (scoring engine)'!$K$5:$K$521,0)),0)=1,"same subsector","sector only"))</f>
        <v/>
      </c>
      <c r="BP30" s="54">
        <f>IF(OR(10&gt;MAX(3,MIN(15,N($D$18))),IFERROR(LARGE('Calc (scoring engine)'!$K$5:$K$521,10),-999999)&lt;=-900000),"",ROUND(IFERROR(LARGE('Calc (scoring engine)'!$K$5:$K$521,10),0),0))</f>
        <v/>
      </c>
      <c r="BQ30" s="10">
        <f>IF(OR(10&gt;MAX(3,MIN(15,N($D$18))),IFERROR(LARGE('Calc (scoring engine)'!$K$5:$K$521,10),-999999)&lt;=-900000),"",IFERROR("sub "&amp;INDEX('Calc (scoring engine)'!$B$5:$B$521,MATCH(LARGE('Calc (scoring engine)'!$K$5:$K$521,10),'Calc (scoring engine)'!$K$5:$K$521,0))*W_SUB&amp;" + size "&amp;ROUND(INDEX('Calc (scoring engine)'!$D$5:$D$521,MATCH(LARGE('Calc (scoring engine)'!$K$5:$K$521,10),'Calc (scoring engine)'!$K$5:$K$521,0))*W_SIZE,0)&amp;" + prof "&amp;INDEX('Calc (scoring engine)'!$E$5:$E$521,MATCH(LARGE('Calc (scoring engine)'!$K$5:$K$521,10),'Calc (scoring engine)'!$K$5:$K$521,0))*W_PROF&amp;" + recency "&amp;ROUND(INDEX('Calc (scoring engine)'!$G$5:$G$521,MATCH(LARGE('Calc (scoring engine)'!$K$5:$K$521,10),'Calc (scoring engine)'!$K$5:$K$521,0))*W_REC,0)&amp;IF(INDEX('Calc (scoring engine)'!$H$5:$H$521,MATCH(LARGE('Calc (scoring engine)'!$K$5:$K$521,10),'Calc (scoring engine)'!$K$5:$K$521,0))&gt;0," + shared CS x"&amp;INDEX('Calc (scoring engine)'!$H$5:$H$521,MATCH(LARGE('Calc (scoring engine)'!$K$5:$K$521,10),'Calc (scoring engine)'!$K$5:$K$521,0)),""),""))</f>
        <v/>
      </c>
    </row>
    <row r="31">
      <c r="A31" s="48">
        <f>IF(OR(11&gt;MAX(3,MIN(15,N($D$18))),IFERROR(LARGE('Calc (scoring engine)'!$K$5:$K$521,11),-999999)&lt;=-900000),"",11)</f>
        <v/>
      </c>
      <c r="B31" s="10">
        <f>IF(OR(11&gt;MAX(3,MIN(15,N($D$18))),IFERROR(LARGE('Calc (scoring engine)'!$K$5:$K$521,11),-999999)&lt;=-900000),"",IFERROR(IF(INDEX(Database!$B$5:$B$521,MATCH(LARGE('Calc (scoring engine)'!$K$5:$K$521,11),'Calc (scoring engine)'!$K$5:$K$521,0))="","—",INDEX(Database!$B$5:$B$521,MATCH(LARGE('Calc (scoring engine)'!$K$5:$K$521,11),'Calc (scoring engine)'!$K$5:$K$521,0))),""))</f>
        <v/>
      </c>
      <c r="C31" s="49">
        <f>IF(OR(11&gt;MAX(3,MIN(15,N($D$18))),IFERROR(LARGE('Calc (scoring engine)'!$K$5:$K$521,11),-999999)&lt;=-900000),"",IFERROR(IF(INDEX(Database!$A$5:$A$521,MATCH(LARGE('Calc (scoring engine)'!$K$5:$K$521,11),'Calc (scoring engine)'!$K$5:$K$521,0))="","—",INDEX(Database!$A$5:$A$521,MATCH(LARGE('Calc (scoring engine)'!$K$5:$K$521,11),'Calc (scoring engine)'!$K$5:$K$521,0))),""))</f>
        <v/>
      </c>
      <c r="D31" s="10">
        <f>IF(OR(11&gt;MAX(3,MIN(15,N($D$18))),IFERROR(LARGE('Calc (scoring engine)'!$K$5:$K$521,11),-999999)&lt;=-900000),"",IFERROR(IF(INDEX(Database!$D$5:$D$521,MATCH(LARGE('Calc (scoring engine)'!$K$5:$K$521,11),'Calc (scoring engine)'!$K$5:$K$521,0))="","—",INDEX(Database!$D$5:$D$521,MATCH(LARGE('Calc (scoring engine)'!$K$5:$K$521,11),'Calc (scoring engine)'!$K$5:$K$521,0))),""))</f>
        <v/>
      </c>
      <c r="E31" s="10">
        <f>IF(OR(11&gt;MAX(3,MIN(15,N($D$18))),IFERROR(LARGE('Calc (scoring engine)'!$K$5:$K$521,11),-999999)&lt;=-900000),"",IFERROR(IF(INDEX(Database!$E$5:$E$521,MATCH(LARGE('Calc (scoring engine)'!$K$5:$K$521,11),'Calc (scoring engine)'!$K$5:$K$521,0))="","—",INDEX(Database!$E$5:$E$521,MATCH(LARGE('Calc (scoring engine)'!$K$5:$K$521,11),'Calc (scoring engine)'!$K$5:$K$521,0))),""))</f>
        <v/>
      </c>
      <c r="F31" s="10">
        <f>IF(OR(11&gt;MAX(3,MIN(15,N($D$18))),IFERROR(LARGE('Calc (scoring engine)'!$K$5:$K$521,11),-999999)&lt;=-900000),"",IFERROR(IF(INDEX(Database!$F$5:$F$521,MATCH(LARGE('Calc (scoring engine)'!$K$5:$K$521,11),'Calc (scoring engine)'!$K$5:$K$521,0))="","—",INDEX(Database!$F$5:$F$521,MATCH(LARGE('Calc (scoring engine)'!$K$5:$K$521,11),'Calc (scoring engine)'!$K$5:$K$521,0))),""))</f>
        <v/>
      </c>
      <c r="G31" s="10">
        <f>IF(OR(11&gt;MAX(3,MIN(15,N($D$18))),IFERROR(LARGE('Calc (scoring engine)'!$K$5:$K$521,11),-999999)&lt;=-900000),"",IFERROR(IF(INDEX(Database!$G$5:$G$521,MATCH(LARGE('Calc (scoring engine)'!$K$5:$K$521,11),'Calc (scoring engine)'!$K$5:$K$521,0))="","—",INDEX(Database!$G$5:$G$521,MATCH(LARGE('Calc (scoring engine)'!$K$5:$K$521,11),'Calc (scoring engine)'!$K$5:$K$521,0))),""))</f>
        <v/>
      </c>
      <c r="H31" s="21">
        <f>IF(OR(11&gt;MAX(3,MIN(15,N($D$18))),IFERROR(LARGE('Calc (scoring engine)'!$K$5:$K$521,11),-999999)&lt;=-900000),"",IFERROR(IF(INDEX(Database!$H$5:$H$521,MATCH(LARGE('Calc (scoring engine)'!$K$5:$K$521,11),'Calc (scoring engine)'!$K$5:$K$521,0))="","—",INDEX(Database!$H$5:$H$521,MATCH(LARGE('Calc (scoring engine)'!$K$5:$K$521,11),'Calc (scoring engine)'!$K$5:$K$521,0))),""))</f>
        <v/>
      </c>
      <c r="I31" s="19">
        <f>IF(OR(11&gt;MAX(3,MIN(15,N($D$18))),IFERROR(LARGE('Calc (scoring engine)'!$K$5:$K$521,11),-999999)&lt;=-900000),"",IFERROR(IF(INDEX(Database!$I$5:$I$521,MATCH(LARGE('Calc (scoring engine)'!$K$5:$K$521,11),'Calc (scoring engine)'!$K$5:$K$521,0))="","—",INDEX(Database!$I$5:$I$521,MATCH(LARGE('Calc (scoring engine)'!$K$5:$K$521,11),'Calc (scoring engine)'!$K$5:$K$521,0))),""))</f>
        <v/>
      </c>
      <c r="J31" s="50">
        <f>IF(OR(11&gt;MAX(3,MIN(15,N($D$18))),IFERROR(LARGE('Calc (scoring engine)'!$K$5:$K$521,11),-999999)&lt;=-900000),"",IFERROR(IF(INDEX(Database!$K$5:$K$521,MATCH(LARGE('Calc (scoring engine)'!$K$5:$K$521,11),'Calc (scoring engine)'!$K$5:$K$521,0))="","—",INDEX(Database!$K$5:$K$521,MATCH(LARGE('Calc (scoring engine)'!$K$5:$K$521,11),'Calc (scoring engine)'!$K$5:$K$521,0))),""))</f>
        <v/>
      </c>
      <c r="K31" s="50">
        <f>IF(OR(11&gt;MAX(3,MIN(15,N($D$18))),IFERROR(LARGE('Calc (scoring engine)'!$K$5:$K$521,11),-999999)&lt;=-900000),"",IFERROR(IF(INDEX(Database!$L$5:$L$521,MATCH(LARGE('Calc (scoring engine)'!$K$5:$K$521,11),'Calc (scoring engine)'!$K$5:$K$521,0))="","—",INDEX(Database!$L$5:$L$521,MATCH(LARGE('Calc (scoring engine)'!$K$5:$K$521,11),'Calc (scoring engine)'!$K$5:$K$521,0))),""))</f>
        <v/>
      </c>
      <c r="L31" s="50">
        <f>IF(OR(11&gt;MAX(3,MIN(15,N($D$18))),IFERROR(LARGE('Calc (scoring engine)'!$K$5:$K$521,11),-999999)&lt;=-900000),"",IFERROR(IF(INDEX(Database!$M$5:$M$521,MATCH(LARGE('Calc (scoring engine)'!$K$5:$K$521,11),'Calc (scoring engine)'!$K$5:$K$521,0))="","—",INDEX(Database!$M$5:$M$521,MATCH(LARGE('Calc (scoring engine)'!$K$5:$K$521,11),'Calc (scoring engine)'!$K$5:$K$521,0))),""))</f>
        <v/>
      </c>
      <c r="M31" s="10">
        <f>IF(OR(11&gt;MAX(3,MIN(15,N($D$18))),IFERROR(LARGE('Calc (scoring engine)'!$K$5:$K$521,11),-999999)&lt;=-900000),"",IFERROR(IF(INDEX(Database!$N$5:$N$521,MATCH(LARGE('Calc (scoring engine)'!$K$5:$K$521,11),'Calc (scoring engine)'!$K$5:$K$521,0))="","—",INDEX(Database!$N$5:$N$521,MATCH(LARGE('Calc (scoring engine)'!$K$5:$K$521,11),'Calc (scoring engine)'!$K$5:$K$521,0))),""))</f>
        <v/>
      </c>
      <c r="N31" s="31">
        <f>IF(OR(11&gt;MAX(3,MIN(15,N($D$18))),IFERROR(LARGE('Calc (scoring engine)'!$K$5:$K$521,11),-999999)&lt;=-900000),"",IFERROR(IF(INDEX(Database!$O$5:$O$521,MATCH(LARGE('Calc (scoring engine)'!$K$5:$K$521,11),'Calc (scoring engine)'!$K$5:$K$521,0))="","—",INDEX(Database!$O$5:$O$521,MATCH(LARGE('Calc (scoring engine)'!$K$5:$K$521,11),'Calc (scoring engine)'!$K$5:$K$521,0))),""))</f>
        <v/>
      </c>
      <c r="O31" s="31">
        <f>IF(OR(11&gt;MAX(3,MIN(15,N($D$18))),IFERROR(LARGE('Calc (scoring engine)'!$K$5:$K$521,11),-999999)&lt;=-900000),"",IFERROR(IF(INDEX(Database!$P$5:$P$521,MATCH(LARGE('Calc (scoring engine)'!$K$5:$K$521,11),'Calc (scoring engine)'!$K$5:$K$521,0))="","—",INDEX(Database!$P$5:$P$521,MATCH(LARGE('Calc (scoring engine)'!$K$5:$K$521,11),'Calc (scoring engine)'!$K$5:$K$521,0))),""))</f>
        <v/>
      </c>
      <c r="P31" s="19">
        <f>IF(OR(11&gt;MAX(3,MIN(15,N($D$18))),IFERROR(LARGE('Calc (scoring engine)'!$K$5:$K$521,11),-999999)&lt;=-900000),"",IFERROR(IF(INDEX(Database!$Q$5:$Q$521,MATCH(LARGE('Calc (scoring engine)'!$K$5:$K$521,11),'Calc (scoring engine)'!$K$5:$K$521,0))="","—",INDEX(Database!$Q$5:$Q$521,MATCH(LARGE('Calc (scoring engine)'!$K$5:$K$521,11),'Calc (scoring engine)'!$K$5:$K$521,0))),""))</f>
        <v/>
      </c>
      <c r="Q31" s="26">
        <f>IF(OR(11&gt;MAX(3,MIN(15,N($D$18))),IFERROR(LARGE('Calc (scoring engine)'!$K$5:$K$521,11),-999999)&lt;=-900000),"",IFERROR(IF(INDEX(Database!$S$5:$S$521,MATCH(LARGE('Calc (scoring engine)'!$K$5:$K$521,11),'Calc (scoring engine)'!$K$5:$K$521,0))="","—",INDEX(Database!$S$5:$S$521,MATCH(LARGE('Calc (scoring engine)'!$K$5:$K$521,11),'Calc (scoring engine)'!$K$5:$K$521,0))),""))</f>
        <v/>
      </c>
      <c r="R31" s="51">
        <f>IF(OR(11&gt;MAX(3,MIN(15,N($D$18))),IFERROR(LARGE('Calc (scoring engine)'!$K$5:$K$521,11),-999999)&lt;=-900000),"",IFERROR(IF(INDEX(Database!$T$5:$T$521,MATCH(LARGE('Calc (scoring engine)'!$K$5:$K$521,11),'Calc (scoring engine)'!$K$5:$K$521,0))="","—",INDEX(Database!$T$5:$T$521,MATCH(LARGE('Calc (scoring engine)'!$K$5:$K$521,11),'Calc (scoring engine)'!$K$5:$K$521,0))),""))</f>
        <v/>
      </c>
      <c r="S31" s="52">
        <f>IF(OR(11&gt;MAX(3,MIN(15,N($D$18))),IFERROR(LARGE('Calc (scoring engine)'!$K$5:$K$521,11),-999999)&lt;=-900000),"",IFERROR(IF(INDEX(Database!$U$5:$U$521,MATCH(LARGE('Calc (scoring engine)'!$K$5:$K$521,11),'Calc (scoring engine)'!$K$5:$K$521,0))="","—",INDEX(Database!$U$5:$U$521,MATCH(LARGE('Calc (scoring engine)'!$K$5:$K$521,11),'Calc (scoring engine)'!$K$5:$K$521,0))),""))</f>
        <v/>
      </c>
      <c r="T31" s="19">
        <f>IF(OR(11&gt;MAX(3,MIN(15,N($D$18))),IFERROR(LARGE('Calc (scoring engine)'!$K$5:$K$521,11),-999999)&lt;=-900000),"",IFERROR(IF(INDEX(Database!$V$5:$V$521,MATCH(LARGE('Calc (scoring engine)'!$K$5:$K$521,11),'Calc (scoring engine)'!$K$5:$K$521,0))="","—",INDEX(Database!$V$5:$V$521,MATCH(LARGE('Calc (scoring engine)'!$K$5:$K$521,11),'Calc (scoring engine)'!$K$5:$K$521,0))),""))</f>
        <v/>
      </c>
      <c r="U31" s="19">
        <f>IF(OR(11&gt;MAX(3,MIN(15,N($D$18))),IFERROR(LARGE('Calc (scoring engine)'!$K$5:$K$521,11),-999999)&lt;=-900000),"",IFERROR(IF(INDEX(Database!$W$5:$W$521,MATCH(LARGE('Calc (scoring engine)'!$K$5:$K$521,11),'Calc (scoring engine)'!$K$5:$K$521,0))="","—",INDEX(Database!$W$5:$W$521,MATCH(LARGE('Calc (scoring engine)'!$K$5:$K$521,11),'Calc (scoring engine)'!$K$5:$K$521,0))),""))</f>
        <v/>
      </c>
      <c r="V31" s="31">
        <f>IF(OR(11&gt;MAX(3,MIN(15,N($D$18))),IFERROR(LARGE('Calc (scoring engine)'!$K$5:$K$521,11),-999999)&lt;=-900000),"",IFERROR(IF(INDEX(Database!$X$5:$X$521,MATCH(LARGE('Calc (scoring engine)'!$K$5:$K$521,11),'Calc (scoring engine)'!$K$5:$K$521,0))="","—",INDEX(Database!$X$5:$X$521,MATCH(LARGE('Calc (scoring engine)'!$K$5:$K$521,11),'Calc (scoring engine)'!$K$5:$K$521,0))),""))</f>
        <v/>
      </c>
      <c r="W31" s="10">
        <f>IF(OR(11&gt;MAX(3,MIN(15,N($D$18))),IFERROR(LARGE('Calc (scoring engine)'!$K$5:$K$521,11),-999999)&lt;=-900000),"",IFERROR(IF(INDEX(Database!$Y$5:$Y$521,MATCH(LARGE('Calc (scoring engine)'!$K$5:$K$521,11),'Calc (scoring engine)'!$K$5:$K$521,0))="","—",INDEX(Database!$Y$5:$Y$521,MATCH(LARGE('Calc (scoring engine)'!$K$5:$K$521,11),'Calc (scoring engine)'!$K$5:$K$521,0))),""))</f>
        <v/>
      </c>
      <c r="X31" s="31">
        <f>IF(OR(11&gt;MAX(3,MIN(15,N($D$18))),IFERROR(LARGE('Calc (scoring engine)'!$K$5:$K$521,11),-999999)&lt;=-900000),"",IFERROR(IF(INDEX(Database!$AA$5:$AA$521,MATCH(LARGE('Calc (scoring engine)'!$K$5:$K$521,11),'Calc (scoring engine)'!$K$5:$K$521,0))="","—",INDEX(Database!$AA$5:$AA$521,MATCH(LARGE('Calc (scoring engine)'!$K$5:$K$521,11),'Calc (scoring engine)'!$K$5:$K$521,0))),""))</f>
        <v/>
      </c>
      <c r="Y31" s="10">
        <f>IF(OR(11&gt;MAX(3,MIN(15,N($D$18))),IFERROR(LARGE('Calc (scoring engine)'!$K$5:$K$521,11),-999999)&lt;=-900000),"",IFERROR(IF(INDEX(Database!$AB$5:$AB$521,MATCH(LARGE('Calc (scoring engine)'!$K$5:$K$521,11),'Calc (scoring engine)'!$K$5:$K$521,0))="","—",INDEX(Database!$AB$5:$AB$521,MATCH(LARGE('Calc (scoring engine)'!$K$5:$K$521,11),'Calc (scoring engine)'!$K$5:$K$521,0))),""))</f>
        <v/>
      </c>
      <c r="Z31" s="10">
        <f>IF(OR(11&gt;MAX(3,MIN(15,N($D$18))),IFERROR(LARGE('Calc (scoring engine)'!$K$5:$K$521,11),-999999)&lt;=-900000),"",IFERROR(IF(INDEX(Database!$AC$5:$AC$521,MATCH(LARGE('Calc (scoring engine)'!$K$5:$K$521,11),'Calc (scoring engine)'!$K$5:$K$521,0))="","—",INDEX(Database!$AC$5:$AC$521,MATCH(LARGE('Calc (scoring engine)'!$K$5:$K$521,11),'Calc (scoring engine)'!$K$5:$K$521,0))),""))</f>
        <v/>
      </c>
      <c r="AA31" s="10">
        <f>IF(OR(11&gt;MAX(3,MIN(15,N($D$18))),IFERROR(LARGE('Calc (scoring engine)'!$K$5:$K$521,11),-999999)&lt;=-900000),"",IFERROR(IF(INDEX(Database!$AD$5:$AD$521,MATCH(LARGE('Calc (scoring engine)'!$K$5:$K$521,11),'Calc (scoring engine)'!$K$5:$K$521,0))="","—",INDEX(Database!$AD$5:$AD$521,MATCH(LARGE('Calc (scoring engine)'!$K$5:$K$521,11),'Calc (scoring engine)'!$K$5:$K$521,0))),""))</f>
        <v/>
      </c>
      <c r="AB31" s="10">
        <f>IF(OR(11&gt;MAX(3,MIN(15,N($D$18))),IFERROR(LARGE('Calc (scoring engine)'!$K$5:$K$521,11),-999999)&lt;=-900000),"",IFERROR(IF(INDEX(Database!$AE$5:$AE$521,MATCH(LARGE('Calc (scoring engine)'!$K$5:$K$521,11),'Calc (scoring engine)'!$K$5:$K$521,0))="","—",INDEX(Database!$AE$5:$AE$521,MATCH(LARGE('Calc (scoring engine)'!$K$5:$K$521,11),'Calc (scoring engine)'!$K$5:$K$521,0))),""))</f>
        <v/>
      </c>
      <c r="AC31" s="23">
        <f>IF(OR(11&gt;MAX(3,MIN(15,N($D$18))),IFERROR(LARGE('Calc (scoring engine)'!$K$5:$K$521,11),-999999)&lt;=-900000),"",IFERROR(IF(INDEX(Database!$AF$5:$AF$521,MATCH(LARGE('Calc (scoring engine)'!$K$5:$K$521,11),'Calc (scoring engine)'!$K$5:$K$521,0))="","—",INDEX(Database!$AF$5:$AF$521,MATCH(LARGE('Calc (scoring engine)'!$K$5:$K$521,11),'Calc (scoring engine)'!$K$5:$K$521,0))),""))</f>
        <v/>
      </c>
      <c r="AD31" s="23">
        <f>IF(OR(11&gt;MAX(3,MIN(15,N($D$18))),IFERROR(LARGE('Calc (scoring engine)'!$K$5:$K$521,11),-999999)&lt;=-900000),"",IFERROR(IF(INDEX(Database!$AG$5:$AG$521,MATCH(LARGE('Calc (scoring engine)'!$K$5:$K$521,11),'Calc (scoring engine)'!$K$5:$K$521,0))="","—",INDEX(Database!$AG$5:$AG$521,MATCH(LARGE('Calc (scoring engine)'!$K$5:$K$521,11),'Calc (scoring engine)'!$K$5:$K$521,0))),""))</f>
        <v/>
      </c>
      <c r="AE31" s="23">
        <f>IF(OR(11&gt;MAX(3,MIN(15,N($D$18))),IFERROR(LARGE('Calc (scoring engine)'!$K$5:$K$521,11),-999999)&lt;=-900000),"",IFERROR(IF(INDEX(Database!$AH$5:$AH$521,MATCH(LARGE('Calc (scoring engine)'!$K$5:$K$521,11),'Calc (scoring engine)'!$K$5:$K$521,0))="","—",INDEX(Database!$AH$5:$AH$521,MATCH(LARGE('Calc (scoring engine)'!$K$5:$K$521,11),'Calc (scoring engine)'!$K$5:$K$521,0))),""))</f>
        <v/>
      </c>
      <c r="AF31" s="23">
        <f>IF(OR(11&gt;MAX(3,MIN(15,N($D$18))),IFERROR(LARGE('Calc (scoring engine)'!$K$5:$K$521,11),-999999)&lt;=-900000),"",IFERROR(IF(INDEX(Database!$AI$5:$AI$521,MATCH(LARGE('Calc (scoring engine)'!$K$5:$K$521,11),'Calc (scoring engine)'!$K$5:$K$521,0))="","—",INDEX(Database!$AI$5:$AI$521,MATCH(LARGE('Calc (scoring engine)'!$K$5:$K$521,11),'Calc (scoring engine)'!$K$5:$K$521,0))),""))</f>
        <v/>
      </c>
      <c r="AG31" s="23">
        <f>IF(OR(11&gt;MAX(3,MIN(15,N($D$18))),IFERROR(LARGE('Calc (scoring engine)'!$K$5:$K$521,11),-999999)&lt;=-900000),"",IFERROR(IF(INDEX(Database!$AJ$5:$AJ$521,MATCH(LARGE('Calc (scoring engine)'!$K$5:$K$521,11),'Calc (scoring engine)'!$K$5:$K$521,0))="","—",INDEX(Database!$AJ$5:$AJ$521,MATCH(LARGE('Calc (scoring engine)'!$K$5:$K$521,11),'Calc (scoring engine)'!$K$5:$K$521,0))),""))</f>
        <v/>
      </c>
      <c r="AH31" s="23">
        <f>IF(OR(11&gt;MAX(3,MIN(15,N($D$18))),IFERROR(LARGE('Calc (scoring engine)'!$K$5:$K$521,11),-999999)&lt;=-900000),"",IFERROR(IF(INDEX(Database!$AK$5:$AK$521,MATCH(LARGE('Calc (scoring engine)'!$K$5:$K$521,11),'Calc (scoring engine)'!$K$5:$K$521,0))="","—",INDEX(Database!$AK$5:$AK$521,MATCH(LARGE('Calc (scoring engine)'!$K$5:$K$521,11),'Calc (scoring engine)'!$K$5:$K$521,0))),""))</f>
        <v/>
      </c>
      <c r="AI31" s="23">
        <f>IF(OR(11&gt;MAX(3,MIN(15,N($D$18))),IFERROR(LARGE('Calc (scoring engine)'!$K$5:$K$521,11),-999999)&lt;=-900000),"",IFERROR(IF(INDEX(Database!$AL$5:$AL$521,MATCH(LARGE('Calc (scoring engine)'!$K$5:$K$521,11),'Calc (scoring engine)'!$K$5:$K$521,0))="","—",INDEX(Database!$AL$5:$AL$521,MATCH(LARGE('Calc (scoring engine)'!$K$5:$K$521,11),'Calc (scoring engine)'!$K$5:$K$521,0))),""))</f>
        <v/>
      </c>
      <c r="AJ31" s="23">
        <f>IF(OR(11&gt;MAX(3,MIN(15,N($D$18))),IFERROR(LARGE('Calc (scoring engine)'!$K$5:$K$521,11),-999999)&lt;=-900000),"",IFERROR(IF(INDEX(Database!$AM$5:$AM$521,MATCH(LARGE('Calc (scoring engine)'!$K$5:$K$521,11),'Calc (scoring engine)'!$K$5:$K$521,0))="","—",INDEX(Database!$AM$5:$AM$521,MATCH(LARGE('Calc (scoring engine)'!$K$5:$K$521,11),'Calc (scoring engine)'!$K$5:$K$521,0))),""))</f>
        <v/>
      </c>
      <c r="AK31" s="23">
        <f>IF(OR(11&gt;MAX(3,MIN(15,N($D$18))),IFERROR(LARGE('Calc (scoring engine)'!$K$5:$K$521,11),-999999)&lt;=-900000),"",IFERROR(IF(INDEX(Database!$AN$5:$AN$521,MATCH(LARGE('Calc (scoring engine)'!$K$5:$K$521,11),'Calc (scoring engine)'!$K$5:$K$521,0))="","—",INDEX(Database!$AN$5:$AN$521,MATCH(LARGE('Calc (scoring engine)'!$K$5:$K$521,11),'Calc (scoring engine)'!$K$5:$K$521,0))),""))</f>
        <v/>
      </c>
      <c r="AL31" s="23">
        <f>IF(OR(11&gt;MAX(3,MIN(15,N($D$18))),IFERROR(LARGE('Calc (scoring engine)'!$K$5:$K$521,11),-999999)&lt;=-900000),"",IFERROR(IF(INDEX(Database!$AO$5:$AO$521,MATCH(LARGE('Calc (scoring engine)'!$K$5:$K$521,11),'Calc (scoring engine)'!$K$5:$K$521,0))="","—",INDEX(Database!$AO$5:$AO$521,MATCH(LARGE('Calc (scoring engine)'!$K$5:$K$521,11),'Calc (scoring engine)'!$K$5:$K$521,0))),""))</f>
        <v/>
      </c>
      <c r="AM31" s="23">
        <f>IF(OR(11&gt;MAX(3,MIN(15,N($D$18))),IFERROR(LARGE('Calc (scoring engine)'!$K$5:$K$521,11),-999999)&lt;=-900000),"",IFERROR(IF(INDEX(Database!$AP$5:$AP$521,MATCH(LARGE('Calc (scoring engine)'!$K$5:$K$521,11),'Calc (scoring engine)'!$K$5:$K$521,0))="","—",INDEX(Database!$AP$5:$AP$521,MATCH(LARGE('Calc (scoring engine)'!$K$5:$K$521,11),'Calc (scoring engine)'!$K$5:$K$521,0))),""))</f>
        <v/>
      </c>
      <c r="AN31" s="23">
        <f>IF(OR(11&gt;MAX(3,MIN(15,N($D$18))),IFERROR(LARGE('Calc (scoring engine)'!$K$5:$K$521,11),-999999)&lt;=-900000),"",IFERROR(IF(INDEX(Database!$AQ$5:$AQ$521,MATCH(LARGE('Calc (scoring engine)'!$K$5:$K$521,11),'Calc (scoring engine)'!$K$5:$K$521,0))="","—",INDEX(Database!$AQ$5:$AQ$521,MATCH(LARGE('Calc (scoring engine)'!$K$5:$K$521,11),'Calc (scoring engine)'!$K$5:$K$521,0))),""))</f>
        <v/>
      </c>
      <c r="AO31" s="23">
        <f>IF(OR(11&gt;MAX(3,MIN(15,N($D$18))),IFERROR(LARGE('Calc (scoring engine)'!$K$5:$K$521,11),-999999)&lt;=-900000),"",IFERROR(IF(INDEX(Database!$AR$5:$AR$521,MATCH(LARGE('Calc (scoring engine)'!$K$5:$K$521,11),'Calc (scoring engine)'!$K$5:$K$521,0))="","—",INDEX(Database!$AR$5:$AR$521,MATCH(LARGE('Calc (scoring engine)'!$K$5:$K$521,11),'Calc (scoring engine)'!$K$5:$K$521,0))),""))</f>
        <v/>
      </c>
      <c r="AP31" s="23">
        <f>IF(OR(11&gt;MAX(3,MIN(15,N($D$18))),IFERROR(LARGE('Calc (scoring engine)'!$K$5:$K$521,11),-999999)&lt;=-900000),"",IFERROR(IF(INDEX(Database!$AS$5:$AS$521,MATCH(LARGE('Calc (scoring engine)'!$K$5:$K$521,11),'Calc (scoring engine)'!$K$5:$K$521,0))="","—",INDEX(Database!$AS$5:$AS$521,MATCH(LARGE('Calc (scoring engine)'!$K$5:$K$521,11),'Calc (scoring engine)'!$K$5:$K$521,0))),""))</f>
        <v/>
      </c>
      <c r="AQ31" s="23">
        <f>IF(OR(11&gt;MAX(3,MIN(15,N($D$18))),IFERROR(LARGE('Calc (scoring engine)'!$K$5:$K$521,11),-999999)&lt;=-900000),"",IFERROR(IF(INDEX(Database!$AT$5:$AT$521,MATCH(LARGE('Calc (scoring engine)'!$K$5:$K$521,11),'Calc (scoring engine)'!$K$5:$K$521,0))="","—",INDEX(Database!$AT$5:$AT$521,MATCH(LARGE('Calc (scoring engine)'!$K$5:$K$521,11),'Calc (scoring engine)'!$K$5:$K$521,0))),""))</f>
        <v/>
      </c>
      <c r="AR31" s="23">
        <f>IF(OR(11&gt;MAX(3,MIN(15,N($D$18))),IFERROR(LARGE('Calc (scoring engine)'!$K$5:$K$521,11),-999999)&lt;=-900000),"",IFERROR(IF(INDEX(Database!$AU$5:$AU$521,MATCH(LARGE('Calc (scoring engine)'!$K$5:$K$521,11),'Calc (scoring engine)'!$K$5:$K$521,0))="","—",INDEX(Database!$AU$5:$AU$521,MATCH(LARGE('Calc (scoring engine)'!$K$5:$K$521,11),'Calc (scoring engine)'!$K$5:$K$521,0))),""))</f>
        <v/>
      </c>
      <c r="AS31" s="23">
        <f>IF(OR(11&gt;MAX(3,MIN(15,N($D$18))),IFERROR(LARGE('Calc (scoring engine)'!$K$5:$K$521,11),-999999)&lt;=-900000),"",IFERROR(IF(INDEX(Database!$AW$5:$AW$521,MATCH(LARGE('Calc (scoring engine)'!$K$5:$K$521,11),'Calc (scoring engine)'!$K$5:$K$521,0))="","—",INDEX(Database!$AW$5:$AW$521,MATCH(LARGE('Calc (scoring engine)'!$K$5:$K$521,11),'Calc (scoring engine)'!$K$5:$K$521,0))),""))</f>
        <v/>
      </c>
      <c r="AT31" s="19">
        <f>IF(OR(11&gt;MAX(3,MIN(15,N($D$18))),IFERROR(LARGE('Calc (scoring engine)'!$K$5:$K$521,11),-999999)&lt;=-900000),"",IFERROR(IF(INDEX(Database!$AY$5:$AY$521,MATCH(LARGE('Calc (scoring engine)'!$K$5:$K$521,11),'Calc (scoring engine)'!$K$5:$K$521,0))="","—",INDEX(Database!$AY$5:$AY$521,MATCH(LARGE('Calc (scoring engine)'!$K$5:$K$521,11),'Calc (scoring engine)'!$K$5:$K$521,0))),""))</f>
        <v/>
      </c>
      <c r="AU31" s="19">
        <f>IF(OR(11&gt;MAX(3,MIN(15,N($D$18))),IFERROR(LARGE('Calc (scoring engine)'!$K$5:$K$521,11),-999999)&lt;=-900000),"",IFERROR(IF(INDEX(Database!$AZ$5:$AZ$521,MATCH(LARGE('Calc (scoring engine)'!$K$5:$K$521,11),'Calc (scoring engine)'!$K$5:$K$521,0))="","—",INDEX(Database!$AZ$5:$AZ$521,MATCH(LARGE('Calc (scoring engine)'!$K$5:$K$521,11),'Calc (scoring engine)'!$K$5:$K$521,0))),""))</f>
        <v/>
      </c>
      <c r="AV31" s="10">
        <f>IF(OR(11&gt;MAX(3,MIN(15,N($D$18))),IFERROR(LARGE('Calc (scoring engine)'!$K$5:$K$521,11),-999999)&lt;=-900000),"",IFERROR(IF(INDEX(Database!$BA$5:$BA$521,MATCH(LARGE('Calc (scoring engine)'!$K$5:$K$521,11),'Calc (scoring engine)'!$K$5:$K$521,0))="","—",INDEX(Database!$BA$5:$BA$521,MATCH(LARGE('Calc (scoring engine)'!$K$5:$K$521,11),'Calc (scoring engine)'!$K$5:$K$521,0))),""))</f>
        <v/>
      </c>
      <c r="AW31" s="24">
        <f>IF(OR(11&gt;MAX(3,MIN(15,N($D$18))),IFERROR(LARGE('Calc (scoring engine)'!$K$5:$K$521,11),-999999)&lt;=-900000),"",IFERROR(IF(N(INDEX(Database!$BB$5:$BB$521,MATCH(LARGE('Calc (scoring engine)'!$K$5:$K$521,11),'Calc (scoring engine)'!$K$5:$K$521,0)))&lt;=0,IF(INDEX(Database!$BA$5:$BA$521,MATCH(LARGE('Calc (scoring engine)'!$K$5:$K$521,11),'Calc (scoring engine)'!$K$5:$K$521,0))="N","n/m","—"),INDEX(Database!$BB$5:$BB$521,MATCH(LARGE('Calc (scoring engine)'!$K$5:$K$521,11),'Calc (scoring engine)'!$K$5:$K$521,0))),""))</f>
        <v/>
      </c>
      <c r="AX31" s="24">
        <f>IF(OR(11&gt;MAX(3,MIN(15,N($D$18))),IFERROR(LARGE('Calc (scoring engine)'!$K$5:$K$521,11),-999999)&lt;=-900000),"",IFERROR(IF(INDEX(Database!$BC$5:$BC$521,MATCH(LARGE('Calc (scoring engine)'!$K$5:$K$521,11),'Calc (scoring engine)'!$K$5:$K$521,0))="","—",INDEX(Database!$BC$5:$BC$521,MATCH(LARGE('Calc (scoring engine)'!$K$5:$K$521,11),'Calc (scoring engine)'!$K$5:$K$521,0))),""))</f>
        <v/>
      </c>
      <c r="AY31" s="24">
        <f>IF(OR(11&gt;MAX(3,MIN(15,N($D$18))),IFERROR(LARGE('Calc (scoring engine)'!$K$5:$K$521,11),-999999)&lt;=-900000),"",IFERROR(IF(INDEX(Database!$BD$5:$BD$521,MATCH(LARGE('Calc (scoring engine)'!$K$5:$K$521,11),'Calc (scoring engine)'!$K$5:$K$521,0))="","—",INDEX(Database!$BD$5:$BD$521,MATCH(LARGE('Calc (scoring engine)'!$K$5:$K$521,11),'Calc (scoring engine)'!$K$5:$K$521,0))),""))</f>
        <v/>
      </c>
      <c r="AZ31" s="24">
        <f>IF(OR(11&gt;MAX(3,MIN(15,N($D$18))),IFERROR(LARGE('Calc (scoring engine)'!$K$5:$K$521,11),-999999)&lt;=-900000),"",IFERROR(IF(INDEX(Database!$BE$5:$BE$521,MATCH(LARGE('Calc (scoring engine)'!$K$5:$K$521,11),'Calc (scoring engine)'!$K$5:$K$521,0))="","—",INDEX(Database!$BE$5:$BE$521,MATCH(LARGE('Calc (scoring engine)'!$K$5:$K$521,11),'Calc (scoring engine)'!$K$5:$K$521,0))),""))</f>
        <v/>
      </c>
      <c r="BA31" s="24">
        <f>IF(OR(11&gt;MAX(3,MIN(15,N($D$18))),IFERROR(LARGE('Calc (scoring engine)'!$K$5:$K$521,11),-999999)&lt;=-900000),"",IFERROR(IF(INDEX(Database!$BF$5:$BF$521,MATCH(LARGE('Calc (scoring engine)'!$K$5:$K$521,11),'Calc (scoring engine)'!$K$5:$K$521,0))="","—",INDEX(Database!$BF$5:$BF$521,MATCH(LARGE('Calc (scoring engine)'!$K$5:$K$521,11),'Calc (scoring engine)'!$K$5:$K$521,0))),""))</f>
        <v/>
      </c>
      <c r="BB31" s="24">
        <f>IF(OR(11&gt;MAX(3,MIN(15,N($D$18))),IFERROR(LARGE('Calc (scoring engine)'!$K$5:$K$521,11),-999999)&lt;=-900000),"",IFERROR(IFERROR(BDP(TEXT(INDEX(Database!$A$5:$A$521,MATCH(LARGE('Calc (scoring engine)'!$K$5:$K$521,11),'Calc (scoring engine)'!$K$5:$K$521,0)),"0")&amp;" HK Equity","PE_RATIO"),IF(INDEX(Database!$BD$5:$BD$521,MATCH(LARGE('Calc (scoring engine)'!$K$5:$K$521,11),'Calc (scoring engine)'!$K$5:$K$521,0))="","—",INDEX(Database!$BD$5:$BD$521,MATCH(LARGE('Calc (scoring engine)'!$K$5:$K$521,11),'Calc (scoring engine)'!$K$5:$K$521,0)))),""))</f>
        <v/>
      </c>
      <c r="BC31" s="24">
        <f>IF(OR(11&gt;MAX(3,MIN(15,N($D$18))),IFERROR(LARGE('Calc (scoring engine)'!$K$5:$K$521,11),-999999)&lt;=-900000),"",IFERROR(IFERROR(BDP(TEXT(INDEX(Database!$A$5:$A$521,MATCH(LARGE('Calc (scoring engine)'!$K$5:$K$521,11),'Calc (scoring engine)'!$K$5:$K$521,0)),"0")&amp;" HK Equity","PX_TO_SALES_RATIO"),IF(INDEX(Database!$BE$5:$BE$521,MATCH(LARGE('Calc (scoring engine)'!$K$5:$K$521,11),'Calc (scoring engine)'!$K$5:$K$521,0))="","—",INDEX(Database!$BE$5:$BE$521,MATCH(LARGE('Calc (scoring engine)'!$K$5:$K$521,11),'Calc (scoring engine)'!$K$5:$K$521,0)))),""))</f>
        <v/>
      </c>
      <c r="BD31" s="10">
        <f>IF(OR(11&gt;MAX(3,MIN(15,N($D$18))),IFERROR(LARGE('Calc (scoring engine)'!$K$5:$K$521,11),-999999)&lt;=-900000),"",IFERROR(IF(INDEX(Database!$BG$5:$BG$521,MATCH(LARGE('Calc (scoring engine)'!$K$5:$K$521,11),'Calc (scoring engine)'!$K$5:$K$521,0))="","—",INDEX(Database!$BG$5:$BG$521,MATCH(LARGE('Calc (scoring engine)'!$K$5:$K$521,11),'Calc (scoring engine)'!$K$5:$K$521,0))),""))</f>
        <v/>
      </c>
      <c r="BE31" s="10">
        <f>IF(OR(11&gt;MAX(3,MIN(15,N($D$18))),IFERROR(LARGE('Calc (scoring engine)'!$K$5:$K$521,11),-999999)&lt;=-900000),"",IFERROR(IF(INDEX(Database!$BH$5:$BH$521,MATCH(LARGE('Calc (scoring engine)'!$K$5:$K$521,11),'Calc (scoring engine)'!$K$5:$K$521,0))="","—",INDEX(Database!$BH$5:$BH$521,MATCH(LARGE('Calc (scoring engine)'!$K$5:$K$521,11),'Calc (scoring engine)'!$K$5:$K$521,0))),""))</f>
        <v/>
      </c>
      <c r="BF31" s="23">
        <f>IF(OR(11&gt;MAX(3,MIN(15,N($D$18))),IFERROR(LARGE('Calc (scoring engine)'!$K$5:$K$521,11),-999999)&lt;=-900000),"",IFERROR(IF(INDEX(Database!$BI$5:$BI$521,MATCH(LARGE('Calc (scoring engine)'!$K$5:$K$521,11),'Calc (scoring engine)'!$K$5:$K$521,0))="","—",INDEX(Database!$BI$5:$BI$521,MATCH(LARGE('Calc (scoring engine)'!$K$5:$K$521,11),'Calc (scoring engine)'!$K$5:$K$521,0))),""))</f>
        <v/>
      </c>
      <c r="BG31" s="50">
        <f>IF(OR(11&gt;MAX(3,MIN(15,N($D$18))),IFERROR(LARGE('Calc (scoring engine)'!$K$5:$K$521,11),-999999)&lt;=-900000),"",IFERROR(IF(INDEX(Database!$BJ$5:$BJ$521,MATCH(LARGE('Calc (scoring engine)'!$K$5:$K$521,11),'Calc (scoring engine)'!$K$5:$K$521,0))="","—",INDEX(Database!$BJ$5:$BJ$521,MATCH(LARGE('Calc (scoring engine)'!$K$5:$K$521,11),'Calc (scoring engine)'!$K$5:$K$521,0))),""))</f>
        <v/>
      </c>
      <c r="BH31" s="53">
        <f>IF(OR(11&gt;MAX(3,MIN(15,N($D$18))),IFERROR(LARGE('Calc (scoring engine)'!$K$5:$K$521,11),-999999)&lt;=-900000),"",IFERROR(IF(INDEX(Database!$BK$5:$BK$521,MATCH(LARGE('Calc (scoring engine)'!$K$5:$K$521,11),'Calc (scoring engine)'!$K$5:$K$521,0))="","—",INDEX(Database!$BK$5:$BK$521,MATCH(LARGE('Calc (scoring engine)'!$K$5:$K$521,11),'Calc (scoring engine)'!$K$5:$K$521,0))),""))</f>
        <v/>
      </c>
      <c r="BI31" s="19">
        <f>IF(OR(11&gt;MAX(3,MIN(15,N($D$18))),IFERROR(LARGE('Calc (scoring engine)'!$K$5:$K$521,11),-999999)&lt;=-900000),"",IFERROR(IF(INDEX(Database!$BL$5:$BL$521,MATCH(LARGE('Calc (scoring engine)'!$K$5:$K$521,11),'Calc (scoring engine)'!$K$5:$K$521,0))="","—",INDEX(Database!$BL$5:$BL$521,MATCH(LARGE('Calc (scoring engine)'!$K$5:$K$521,11),'Calc (scoring engine)'!$K$5:$K$521,0))),""))</f>
        <v/>
      </c>
      <c r="BJ31" s="24">
        <f>IF(OR(11&gt;MAX(3,MIN(15,N($D$18))),IFERROR(LARGE('Calc (scoring engine)'!$K$5:$K$521,11),-999999)&lt;=-900000),"",IFERROR(IF(INDEX(Database!$BM$5:$BM$521,MATCH(LARGE('Calc (scoring engine)'!$K$5:$K$521,11),'Calc (scoring engine)'!$K$5:$K$521,0))="","—",INDEX(Database!$BM$5:$BM$521,MATCH(LARGE('Calc (scoring engine)'!$K$5:$K$521,11),'Calc (scoring engine)'!$K$5:$K$521,0))),""))</f>
        <v/>
      </c>
      <c r="BK31" s="24">
        <f>IF(OR(11&gt;MAX(3,MIN(15,N($D$18))),IFERROR(LARGE('Calc (scoring engine)'!$K$5:$K$521,11),-999999)&lt;=-900000),"",IFERROR(IF(INDEX(Database!$BN$5:$BN$521,MATCH(LARGE('Calc (scoring engine)'!$K$5:$K$521,11),'Calc (scoring engine)'!$K$5:$K$521,0))="","—",INDEX(Database!$BN$5:$BN$521,MATCH(LARGE('Calc (scoring engine)'!$K$5:$K$521,11),'Calc (scoring engine)'!$K$5:$K$521,0))),""))</f>
        <v/>
      </c>
      <c r="BL31" s="10">
        <f>IF(OR(11&gt;MAX(3,MIN(15,N($D$18))),IFERROR(LARGE('Calc (scoring engine)'!$K$5:$K$521,11),-999999)&lt;=-900000),"",IFERROR(IF(INDEX(Database!$BO$5:$BO$521,MATCH(LARGE('Calc (scoring engine)'!$K$5:$K$521,11),'Calc (scoring engine)'!$K$5:$K$521,0))="","—",INDEX(Database!$BO$5:$BO$521,MATCH(LARGE('Calc (scoring engine)'!$K$5:$K$521,11),'Calc (scoring engine)'!$K$5:$K$521,0))),""))</f>
        <v/>
      </c>
      <c r="BM31" s="10">
        <f>IF(OR(11&gt;MAX(3,MIN(15,N($D$18))),IFERROR(LARGE('Calc (scoring engine)'!$K$5:$K$521,11),-999999)&lt;=-900000),"",IFERROR(IF(INDEX(Database!$BQ$5:$BQ$521,MATCH(LARGE('Calc (scoring engine)'!$K$5:$K$521,11),'Calc (scoring engine)'!$K$5:$K$521,0))="","—",INDEX(Database!$BQ$5:$BQ$521,MATCH(LARGE('Calc (scoring engine)'!$K$5:$K$521,11),'Calc (scoring engine)'!$K$5:$K$521,0))),""))</f>
        <v/>
      </c>
      <c r="BN31" s="54">
        <f>IF(OR(11&gt;MAX(3,MIN(15,N($D$18))),IFERROR(LARGE('Calc (scoring engine)'!$K$5:$K$521,11),-999999)&lt;=-900000),"",IFERROR(IF(INDEX('Calc (scoring engine)'!$H$5:$H$521,MATCH(LARGE('Calc (scoring engine)'!$K$5:$K$521,11),'Calc (scoring engine)'!$K$5:$K$521,0))&gt;0,INDEX('Calc (scoring engine)'!$H$5:$H$521,MATCH(LARGE('Calc (scoring engine)'!$K$5:$K$521,11),'Calc (scoring engine)'!$K$5:$K$521,0)),""),""))</f>
        <v/>
      </c>
      <c r="BO31" s="10">
        <f>IF(OR(11&gt;MAX(3,MIN(15,N($D$18))),IFERROR(LARGE('Calc (scoring engine)'!$K$5:$K$521,11),-999999)&lt;=-900000),"",IF(IFERROR(INDEX('Calc (scoring engine)'!$B$5:$B$521,MATCH(LARGE('Calc (scoring engine)'!$K$5:$K$521,11),'Calc (scoring engine)'!$K$5:$K$521,0)),0)=1,"same subsector","sector only"))</f>
        <v/>
      </c>
      <c r="BP31" s="54">
        <f>IF(OR(11&gt;MAX(3,MIN(15,N($D$18))),IFERROR(LARGE('Calc (scoring engine)'!$K$5:$K$521,11),-999999)&lt;=-900000),"",ROUND(IFERROR(LARGE('Calc (scoring engine)'!$K$5:$K$521,11),0),0))</f>
        <v/>
      </c>
      <c r="BQ31" s="10">
        <f>IF(OR(11&gt;MAX(3,MIN(15,N($D$18))),IFERROR(LARGE('Calc (scoring engine)'!$K$5:$K$521,11),-999999)&lt;=-900000),"",IFERROR("sub "&amp;INDEX('Calc (scoring engine)'!$B$5:$B$521,MATCH(LARGE('Calc (scoring engine)'!$K$5:$K$521,11),'Calc (scoring engine)'!$K$5:$K$521,0))*W_SUB&amp;" + size "&amp;ROUND(INDEX('Calc (scoring engine)'!$D$5:$D$521,MATCH(LARGE('Calc (scoring engine)'!$K$5:$K$521,11),'Calc (scoring engine)'!$K$5:$K$521,0))*W_SIZE,0)&amp;" + prof "&amp;INDEX('Calc (scoring engine)'!$E$5:$E$521,MATCH(LARGE('Calc (scoring engine)'!$K$5:$K$521,11),'Calc (scoring engine)'!$K$5:$K$521,0))*W_PROF&amp;" + recency "&amp;ROUND(INDEX('Calc (scoring engine)'!$G$5:$G$521,MATCH(LARGE('Calc (scoring engine)'!$K$5:$K$521,11),'Calc (scoring engine)'!$K$5:$K$521,0))*W_REC,0)&amp;IF(INDEX('Calc (scoring engine)'!$H$5:$H$521,MATCH(LARGE('Calc (scoring engine)'!$K$5:$K$521,11),'Calc (scoring engine)'!$K$5:$K$521,0))&gt;0," + shared CS x"&amp;INDEX('Calc (scoring engine)'!$H$5:$H$521,MATCH(LARGE('Calc (scoring engine)'!$K$5:$K$521,11),'Calc (scoring engine)'!$K$5:$K$521,0)),""),""))</f>
        <v/>
      </c>
    </row>
    <row r="32">
      <c r="A32" s="48">
        <f>IF(OR(12&gt;MAX(3,MIN(15,N($D$18))),IFERROR(LARGE('Calc (scoring engine)'!$K$5:$K$521,12),-999999)&lt;=-900000),"",12)</f>
        <v/>
      </c>
      <c r="B32" s="10">
        <f>IF(OR(12&gt;MAX(3,MIN(15,N($D$18))),IFERROR(LARGE('Calc (scoring engine)'!$K$5:$K$521,12),-999999)&lt;=-900000),"",IFERROR(IF(INDEX(Database!$B$5:$B$521,MATCH(LARGE('Calc (scoring engine)'!$K$5:$K$521,12),'Calc (scoring engine)'!$K$5:$K$521,0))="","—",INDEX(Database!$B$5:$B$521,MATCH(LARGE('Calc (scoring engine)'!$K$5:$K$521,12),'Calc (scoring engine)'!$K$5:$K$521,0))),""))</f>
        <v/>
      </c>
      <c r="C32" s="49">
        <f>IF(OR(12&gt;MAX(3,MIN(15,N($D$18))),IFERROR(LARGE('Calc (scoring engine)'!$K$5:$K$521,12),-999999)&lt;=-900000),"",IFERROR(IF(INDEX(Database!$A$5:$A$521,MATCH(LARGE('Calc (scoring engine)'!$K$5:$K$521,12),'Calc (scoring engine)'!$K$5:$K$521,0))="","—",INDEX(Database!$A$5:$A$521,MATCH(LARGE('Calc (scoring engine)'!$K$5:$K$521,12),'Calc (scoring engine)'!$K$5:$K$521,0))),""))</f>
        <v/>
      </c>
      <c r="D32" s="10">
        <f>IF(OR(12&gt;MAX(3,MIN(15,N($D$18))),IFERROR(LARGE('Calc (scoring engine)'!$K$5:$K$521,12),-999999)&lt;=-900000),"",IFERROR(IF(INDEX(Database!$D$5:$D$521,MATCH(LARGE('Calc (scoring engine)'!$K$5:$K$521,12),'Calc (scoring engine)'!$K$5:$K$521,0))="","—",INDEX(Database!$D$5:$D$521,MATCH(LARGE('Calc (scoring engine)'!$K$5:$K$521,12),'Calc (scoring engine)'!$K$5:$K$521,0))),""))</f>
        <v/>
      </c>
      <c r="E32" s="10">
        <f>IF(OR(12&gt;MAX(3,MIN(15,N($D$18))),IFERROR(LARGE('Calc (scoring engine)'!$K$5:$K$521,12),-999999)&lt;=-900000),"",IFERROR(IF(INDEX(Database!$E$5:$E$521,MATCH(LARGE('Calc (scoring engine)'!$K$5:$K$521,12),'Calc (scoring engine)'!$K$5:$K$521,0))="","—",INDEX(Database!$E$5:$E$521,MATCH(LARGE('Calc (scoring engine)'!$K$5:$K$521,12),'Calc (scoring engine)'!$K$5:$K$521,0))),""))</f>
        <v/>
      </c>
      <c r="F32" s="10">
        <f>IF(OR(12&gt;MAX(3,MIN(15,N($D$18))),IFERROR(LARGE('Calc (scoring engine)'!$K$5:$K$521,12),-999999)&lt;=-900000),"",IFERROR(IF(INDEX(Database!$F$5:$F$521,MATCH(LARGE('Calc (scoring engine)'!$K$5:$K$521,12),'Calc (scoring engine)'!$K$5:$K$521,0))="","—",INDEX(Database!$F$5:$F$521,MATCH(LARGE('Calc (scoring engine)'!$K$5:$K$521,12),'Calc (scoring engine)'!$K$5:$K$521,0))),""))</f>
        <v/>
      </c>
      <c r="G32" s="10">
        <f>IF(OR(12&gt;MAX(3,MIN(15,N($D$18))),IFERROR(LARGE('Calc (scoring engine)'!$K$5:$K$521,12),-999999)&lt;=-900000),"",IFERROR(IF(INDEX(Database!$G$5:$G$521,MATCH(LARGE('Calc (scoring engine)'!$K$5:$K$521,12),'Calc (scoring engine)'!$K$5:$K$521,0))="","—",INDEX(Database!$G$5:$G$521,MATCH(LARGE('Calc (scoring engine)'!$K$5:$K$521,12),'Calc (scoring engine)'!$K$5:$K$521,0))),""))</f>
        <v/>
      </c>
      <c r="H32" s="21">
        <f>IF(OR(12&gt;MAX(3,MIN(15,N($D$18))),IFERROR(LARGE('Calc (scoring engine)'!$K$5:$K$521,12),-999999)&lt;=-900000),"",IFERROR(IF(INDEX(Database!$H$5:$H$521,MATCH(LARGE('Calc (scoring engine)'!$K$5:$K$521,12),'Calc (scoring engine)'!$K$5:$K$521,0))="","—",INDEX(Database!$H$5:$H$521,MATCH(LARGE('Calc (scoring engine)'!$K$5:$K$521,12),'Calc (scoring engine)'!$K$5:$K$521,0))),""))</f>
        <v/>
      </c>
      <c r="I32" s="19">
        <f>IF(OR(12&gt;MAX(3,MIN(15,N($D$18))),IFERROR(LARGE('Calc (scoring engine)'!$K$5:$K$521,12),-999999)&lt;=-900000),"",IFERROR(IF(INDEX(Database!$I$5:$I$521,MATCH(LARGE('Calc (scoring engine)'!$K$5:$K$521,12),'Calc (scoring engine)'!$K$5:$K$521,0))="","—",INDEX(Database!$I$5:$I$521,MATCH(LARGE('Calc (scoring engine)'!$K$5:$K$521,12),'Calc (scoring engine)'!$K$5:$K$521,0))),""))</f>
        <v/>
      </c>
      <c r="J32" s="50">
        <f>IF(OR(12&gt;MAX(3,MIN(15,N($D$18))),IFERROR(LARGE('Calc (scoring engine)'!$K$5:$K$521,12),-999999)&lt;=-900000),"",IFERROR(IF(INDEX(Database!$K$5:$K$521,MATCH(LARGE('Calc (scoring engine)'!$K$5:$K$521,12),'Calc (scoring engine)'!$K$5:$K$521,0))="","—",INDEX(Database!$K$5:$K$521,MATCH(LARGE('Calc (scoring engine)'!$K$5:$K$521,12),'Calc (scoring engine)'!$K$5:$K$521,0))),""))</f>
        <v/>
      </c>
      <c r="K32" s="50">
        <f>IF(OR(12&gt;MAX(3,MIN(15,N($D$18))),IFERROR(LARGE('Calc (scoring engine)'!$K$5:$K$521,12),-999999)&lt;=-900000),"",IFERROR(IF(INDEX(Database!$L$5:$L$521,MATCH(LARGE('Calc (scoring engine)'!$K$5:$K$521,12),'Calc (scoring engine)'!$K$5:$K$521,0))="","—",INDEX(Database!$L$5:$L$521,MATCH(LARGE('Calc (scoring engine)'!$K$5:$K$521,12),'Calc (scoring engine)'!$K$5:$K$521,0))),""))</f>
        <v/>
      </c>
      <c r="L32" s="50">
        <f>IF(OR(12&gt;MAX(3,MIN(15,N($D$18))),IFERROR(LARGE('Calc (scoring engine)'!$K$5:$K$521,12),-999999)&lt;=-900000),"",IFERROR(IF(INDEX(Database!$M$5:$M$521,MATCH(LARGE('Calc (scoring engine)'!$K$5:$K$521,12),'Calc (scoring engine)'!$K$5:$K$521,0))="","—",INDEX(Database!$M$5:$M$521,MATCH(LARGE('Calc (scoring engine)'!$K$5:$K$521,12),'Calc (scoring engine)'!$K$5:$K$521,0))),""))</f>
        <v/>
      </c>
      <c r="M32" s="10">
        <f>IF(OR(12&gt;MAX(3,MIN(15,N($D$18))),IFERROR(LARGE('Calc (scoring engine)'!$K$5:$K$521,12),-999999)&lt;=-900000),"",IFERROR(IF(INDEX(Database!$N$5:$N$521,MATCH(LARGE('Calc (scoring engine)'!$K$5:$K$521,12),'Calc (scoring engine)'!$K$5:$K$521,0))="","—",INDEX(Database!$N$5:$N$521,MATCH(LARGE('Calc (scoring engine)'!$K$5:$K$521,12),'Calc (scoring engine)'!$K$5:$K$521,0))),""))</f>
        <v/>
      </c>
      <c r="N32" s="31">
        <f>IF(OR(12&gt;MAX(3,MIN(15,N($D$18))),IFERROR(LARGE('Calc (scoring engine)'!$K$5:$K$521,12),-999999)&lt;=-900000),"",IFERROR(IF(INDEX(Database!$O$5:$O$521,MATCH(LARGE('Calc (scoring engine)'!$K$5:$K$521,12),'Calc (scoring engine)'!$K$5:$K$521,0))="","—",INDEX(Database!$O$5:$O$521,MATCH(LARGE('Calc (scoring engine)'!$K$5:$K$521,12),'Calc (scoring engine)'!$K$5:$K$521,0))),""))</f>
        <v/>
      </c>
      <c r="O32" s="31">
        <f>IF(OR(12&gt;MAX(3,MIN(15,N($D$18))),IFERROR(LARGE('Calc (scoring engine)'!$K$5:$K$521,12),-999999)&lt;=-900000),"",IFERROR(IF(INDEX(Database!$P$5:$P$521,MATCH(LARGE('Calc (scoring engine)'!$K$5:$K$521,12),'Calc (scoring engine)'!$K$5:$K$521,0))="","—",INDEX(Database!$P$5:$P$521,MATCH(LARGE('Calc (scoring engine)'!$K$5:$K$521,12),'Calc (scoring engine)'!$K$5:$K$521,0))),""))</f>
        <v/>
      </c>
      <c r="P32" s="19">
        <f>IF(OR(12&gt;MAX(3,MIN(15,N($D$18))),IFERROR(LARGE('Calc (scoring engine)'!$K$5:$K$521,12),-999999)&lt;=-900000),"",IFERROR(IF(INDEX(Database!$Q$5:$Q$521,MATCH(LARGE('Calc (scoring engine)'!$K$5:$K$521,12),'Calc (scoring engine)'!$K$5:$K$521,0))="","—",INDEX(Database!$Q$5:$Q$521,MATCH(LARGE('Calc (scoring engine)'!$K$5:$K$521,12),'Calc (scoring engine)'!$K$5:$K$521,0))),""))</f>
        <v/>
      </c>
      <c r="Q32" s="26">
        <f>IF(OR(12&gt;MAX(3,MIN(15,N($D$18))),IFERROR(LARGE('Calc (scoring engine)'!$K$5:$K$521,12),-999999)&lt;=-900000),"",IFERROR(IF(INDEX(Database!$S$5:$S$521,MATCH(LARGE('Calc (scoring engine)'!$K$5:$K$521,12),'Calc (scoring engine)'!$K$5:$K$521,0))="","—",INDEX(Database!$S$5:$S$521,MATCH(LARGE('Calc (scoring engine)'!$K$5:$K$521,12),'Calc (scoring engine)'!$K$5:$K$521,0))),""))</f>
        <v/>
      </c>
      <c r="R32" s="51">
        <f>IF(OR(12&gt;MAX(3,MIN(15,N($D$18))),IFERROR(LARGE('Calc (scoring engine)'!$K$5:$K$521,12),-999999)&lt;=-900000),"",IFERROR(IF(INDEX(Database!$T$5:$T$521,MATCH(LARGE('Calc (scoring engine)'!$K$5:$K$521,12),'Calc (scoring engine)'!$K$5:$K$521,0))="","—",INDEX(Database!$T$5:$T$521,MATCH(LARGE('Calc (scoring engine)'!$K$5:$K$521,12),'Calc (scoring engine)'!$K$5:$K$521,0))),""))</f>
        <v/>
      </c>
      <c r="S32" s="52">
        <f>IF(OR(12&gt;MAX(3,MIN(15,N($D$18))),IFERROR(LARGE('Calc (scoring engine)'!$K$5:$K$521,12),-999999)&lt;=-900000),"",IFERROR(IF(INDEX(Database!$U$5:$U$521,MATCH(LARGE('Calc (scoring engine)'!$K$5:$K$521,12),'Calc (scoring engine)'!$K$5:$K$521,0))="","—",INDEX(Database!$U$5:$U$521,MATCH(LARGE('Calc (scoring engine)'!$K$5:$K$521,12),'Calc (scoring engine)'!$K$5:$K$521,0))),""))</f>
        <v/>
      </c>
      <c r="T32" s="19">
        <f>IF(OR(12&gt;MAX(3,MIN(15,N($D$18))),IFERROR(LARGE('Calc (scoring engine)'!$K$5:$K$521,12),-999999)&lt;=-900000),"",IFERROR(IF(INDEX(Database!$V$5:$V$521,MATCH(LARGE('Calc (scoring engine)'!$K$5:$K$521,12),'Calc (scoring engine)'!$K$5:$K$521,0))="","—",INDEX(Database!$V$5:$V$521,MATCH(LARGE('Calc (scoring engine)'!$K$5:$K$521,12),'Calc (scoring engine)'!$K$5:$K$521,0))),""))</f>
        <v/>
      </c>
      <c r="U32" s="19">
        <f>IF(OR(12&gt;MAX(3,MIN(15,N($D$18))),IFERROR(LARGE('Calc (scoring engine)'!$K$5:$K$521,12),-999999)&lt;=-900000),"",IFERROR(IF(INDEX(Database!$W$5:$W$521,MATCH(LARGE('Calc (scoring engine)'!$K$5:$K$521,12),'Calc (scoring engine)'!$K$5:$K$521,0))="","—",INDEX(Database!$W$5:$W$521,MATCH(LARGE('Calc (scoring engine)'!$K$5:$K$521,12),'Calc (scoring engine)'!$K$5:$K$521,0))),""))</f>
        <v/>
      </c>
      <c r="V32" s="31">
        <f>IF(OR(12&gt;MAX(3,MIN(15,N($D$18))),IFERROR(LARGE('Calc (scoring engine)'!$K$5:$K$521,12),-999999)&lt;=-900000),"",IFERROR(IF(INDEX(Database!$X$5:$X$521,MATCH(LARGE('Calc (scoring engine)'!$K$5:$K$521,12),'Calc (scoring engine)'!$K$5:$K$521,0))="","—",INDEX(Database!$X$5:$X$521,MATCH(LARGE('Calc (scoring engine)'!$K$5:$K$521,12),'Calc (scoring engine)'!$K$5:$K$521,0))),""))</f>
        <v/>
      </c>
      <c r="W32" s="10">
        <f>IF(OR(12&gt;MAX(3,MIN(15,N($D$18))),IFERROR(LARGE('Calc (scoring engine)'!$K$5:$K$521,12),-999999)&lt;=-900000),"",IFERROR(IF(INDEX(Database!$Y$5:$Y$521,MATCH(LARGE('Calc (scoring engine)'!$K$5:$K$521,12),'Calc (scoring engine)'!$K$5:$K$521,0))="","—",INDEX(Database!$Y$5:$Y$521,MATCH(LARGE('Calc (scoring engine)'!$K$5:$K$521,12),'Calc (scoring engine)'!$K$5:$K$521,0))),""))</f>
        <v/>
      </c>
      <c r="X32" s="31">
        <f>IF(OR(12&gt;MAX(3,MIN(15,N($D$18))),IFERROR(LARGE('Calc (scoring engine)'!$K$5:$K$521,12),-999999)&lt;=-900000),"",IFERROR(IF(INDEX(Database!$AA$5:$AA$521,MATCH(LARGE('Calc (scoring engine)'!$K$5:$K$521,12),'Calc (scoring engine)'!$K$5:$K$521,0))="","—",INDEX(Database!$AA$5:$AA$521,MATCH(LARGE('Calc (scoring engine)'!$K$5:$K$521,12),'Calc (scoring engine)'!$K$5:$K$521,0))),""))</f>
        <v/>
      </c>
      <c r="Y32" s="10">
        <f>IF(OR(12&gt;MAX(3,MIN(15,N($D$18))),IFERROR(LARGE('Calc (scoring engine)'!$K$5:$K$521,12),-999999)&lt;=-900000),"",IFERROR(IF(INDEX(Database!$AB$5:$AB$521,MATCH(LARGE('Calc (scoring engine)'!$K$5:$K$521,12),'Calc (scoring engine)'!$K$5:$K$521,0))="","—",INDEX(Database!$AB$5:$AB$521,MATCH(LARGE('Calc (scoring engine)'!$K$5:$K$521,12),'Calc (scoring engine)'!$K$5:$K$521,0))),""))</f>
        <v/>
      </c>
      <c r="Z32" s="10">
        <f>IF(OR(12&gt;MAX(3,MIN(15,N($D$18))),IFERROR(LARGE('Calc (scoring engine)'!$K$5:$K$521,12),-999999)&lt;=-900000),"",IFERROR(IF(INDEX(Database!$AC$5:$AC$521,MATCH(LARGE('Calc (scoring engine)'!$K$5:$K$521,12),'Calc (scoring engine)'!$K$5:$K$521,0))="","—",INDEX(Database!$AC$5:$AC$521,MATCH(LARGE('Calc (scoring engine)'!$K$5:$K$521,12),'Calc (scoring engine)'!$K$5:$K$521,0))),""))</f>
        <v/>
      </c>
      <c r="AA32" s="10">
        <f>IF(OR(12&gt;MAX(3,MIN(15,N($D$18))),IFERROR(LARGE('Calc (scoring engine)'!$K$5:$K$521,12),-999999)&lt;=-900000),"",IFERROR(IF(INDEX(Database!$AD$5:$AD$521,MATCH(LARGE('Calc (scoring engine)'!$K$5:$K$521,12),'Calc (scoring engine)'!$K$5:$K$521,0))="","—",INDEX(Database!$AD$5:$AD$521,MATCH(LARGE('Calc (scoring engine)'!$K$5:$K$521,12),'Calc (scoring engine)'!$K$5:$K$521,0))),""))</f>
        <v/>
      </c>
      <c r="AB32" s="10">
        <f>IF(OR(12&gt;MAX(3,MIN(15,N($D$18))),IFERROR(LARGE('Calc (scoring engine)'!$K$5:$K$521,12),-999999)&lt;=-900000),"",IFERROR(IF(INDEX(Database!$AE$5:$AE$521,MATCH(LARGE('Calc (scoring engine)'!$K$5:$K$521,12),'Calc (scoring engine)'!$K$5:$K$521,0))="","—",INDEX(Database!$AE$5:$AE$521,MATCH(LARGE('Calc (scoring engine)'!$K$5:$K$521,12),'Calc (scoring engine)'!$K$5:$K$521,0))),""))</f>
        <v/>
      </c>
      <c r="AC32" s="23">
        <f>IF(OR(12&gt;MAX(3,MIN(15,N($D$18))),IFERROR(LARGE('Calc (scoring engine)'!$K$5:$K$521,12),-999999)&lt;=-900000),"",IFERROR(IF(INDEX(Database!$AF$5:$AF$521,MATCH(LARGE('Calc (scoring engine)'!$K$5:$K$521,12),'Calc (scoring engine)'!$K$5:$K$521,0))="","—",INDEX(Database!$AF$5:$AF$521,MATCH(LARGE('Calc (scoring engine)'!$K$5:$K$521,12),'Calc (scoring engine)'!$K$5:$K$521,0))),""))</f>
        <v/>
      </c>
      <c r="AD32" s="23">
        <f>IF(OR(12&gt;MAX(3,MIN(15,N($D$18))),IFERROR(LARGE('Calc (scoring engine)'!$K$5:$K$521,12),-999999)&lt;=-900000),"",IFERROR(IF(INDEX(Database!$AG$5:$AG$521,MATCH(LARGE('Calc (scoring engine)'!$K$5:$K$521,12),'Calc (scoring engine)'!$K$5:$K$521,0))="","—",INDEX(Database!$AG$5:$AG$521,MATCH(LARGE('Calc (scoring engine)'!$K$5:$K$521,12),'Calc (scoring engine)'!$K$5:$K$521,0))),""))</f>
        <v/>
      </c>
      <c r="AE32" s="23">
        <f>IF(OR(12&gt;MAX(3,MIN(15,N($D$18))),IFERROR(LARGE('Calc (scoring engine)'!$K$5:$K$521,12),-999999)&lt;=-900000),"",IFERROR(IF(INDEX(Database!$AH$5:$AH$521,MATCH(LARGE('Calc (scoring engine)'!$K$5:$K$521,12),'Calc (scoring engine)'!$K$5:$K$521,0))="","—",INDEX(Database!$AH$5:$AH$521,MATCH(LARGE('Calc (scoring engine)'!$K$5:$K$521,12),'Calc (scoring engine)'!$K$5:$K$521,0))),""))</f>
        <v/>
      </c>
      <c r="AF32" s="23">
        <f>IF(OR(12&gt;MAX(3,MIN(15,N($D$18))),IFERROR(LARGE('Calc (scoring engine)'!$K$5:$K$521,12),-999999)&lt;=-900000),"",IFERROR(IF(INDEX(Database!$AI$5:$AI$521,MATCH(LARGE('Calc (scoring engine)'!$K$5:$K$521,12),'Calc (scoring engine)'!$K$5:$K$521,0))="","—",INDEX(Database!$AI$5:$AI$521,MATCH(LARGE('Calc (scoring engine)'!$K$5:$K$521,12),'Calc (scoring engine)'!$K$5:$K$521,0))),""))</f>
        <v/>
      </c>
      <c r="AG32" s="23">
        <f>IF(OR(12&gt;MAX(3,MIN(15,N($D$18))),IFERROR(LARGE('Calc (scoring engine)'!$K$5:$K$521,12),-999999)&lt;=-900000),"",IFERROR(IF(INDEX(Database!$AJ$5:$AJ$521,MATCH(LARGE('Calc (scoring engine)'!$K$5:$K$521,12),'Calc (scoring engine)'!$K$5:$K$521,0))="","—",INDEX(Database!$AJ$5:$AJ$521,MATCH(LARGE('Calc (scoring engine)'!$K$5:$K$521,12),'Calc (scoring engine)'!$K$5:$K$521,0))),""))</f>
        <v/>
      </c>
      <c r="AH32" s="23">
        <f>IF(OR(12&gt;MAX(3,MIN(15,N($D$18))),IFERROR(LARGE('Calc (scoring engine)'!$K$5:$K$521,12),-999999)&lt;=-900000),"",IFERROR(IF(INDEX(Database!$AK$5:$AK$521,MATCH(LARGE('Calc (scoring engine)'!$K$5:$K$521,12),'Calc (scoring engine)'!$K$5:$K$521,0))="","—",INDEX(Database!$AK$5:$AK$521,MATCH(LARGE('Calc (scoring engine)'!$K$5:$K$521,12),'Calc (scoring engine)'!$K$5:$K$521,0))),""))</f>
        <v/>
      </c>
      <c r="AI32" s="23">
        <f>IF(OR(12&gt;MAX(3,MIN(15,N($D$18))),IFERROR(LARGE('Calc (scoring engine)'!$K$5:$K$521,12),-999999)&lt;=-900000),"",IFERROR(IF(INDEX(Database!$AL$5:$AL$521,MATCH(LARGE('Calc (scoring engine)'!$K$5:$K$521,12),'Calc (scoring engine)'!$K$5:$K$521,0))="","—",INDEX(Database!$AL$5:$AL$521,MATCH(LARGE('Calc (scoring engine)'!$K$5:$K$521,12),'Calc (scoring engine)'!$K$5:$K$521,0))),""))</f>
        <v/>
      </c>
      <c r="AJ32" s="23">
        <f>IF(OR(12&gt;MAX(3,MIN(15,N($D$18))),IFERROR(LARGE('Calc (scoring engine)'!$K$5:$K$521,12),-999999)&lt;=-900000),"",IFERROR(IF(INDEX(Database!$AM$5:$AM$521,MATCH(LARGE('Calc (scoring engine)'!$K$5:$K$521,12),'Calc (scoring engine)'!$K$5:$K$521,0))="","—",INDEX(Database!$AM$5:$AM$521,MATCH(LARGE('Calc (scoring engine)'!$K$5:$K$521,12),'Calc (scoring engine)'!$K$5:$K$521,0))),""))</f>
        <v/>
      </c>
      <c r="AK32" s="23">
        <f>IF(OR(12&gt;MAX(3,MIN(15,N($D$18))),IFERROR(LARGE('Calc (scoring engine)'!$K$5:$K$521,12),-999999)&lt;=-900000),"",IFERROR(IF(INDEX(Database!$AN$5:$AN$521,MATCH(LARGE('Calc (scoring engine)'!$K$5:$K$521,12),'Calc (scoring engine)'!$K$5:$K$521,0))="","—",INDEX(Database!$AN$5:$AN$521,MATCH(LARGE('Calc (scoring engine)'!$K$5:$K$521,12),'Calc (scoring engine)'!$K$5:$K$521,0))),""))</f>
        <v/>
      </c>
      <c r="AL32" s="23">
        <f>IF(OR(12&gt;MAX(3,MIN(15,N($D$18))),IFERROR(LARGE('Calc (scoring engine)'!$K$5:$K$521,12),-999999)&lt;=-900000),"",IFERROR(IF(INDEX(Database!$AO$5:$AO$521,MATCH(LARGE('Calc (scoring engine)'!$K$5:$K$521,12),'Calc (scoring engine)'!$K$5:$K$521,0))="","—",INDEX(Database!$AO$5:$AO$521,MATCH(LARGE('Calc (scoring engine)'!$K$5:$K$521,12),'Calc (scoring engine)'!$K$5:$K$521,0))),""))</f>
        <v/>
      </c>
      <c r="AM32" s="23">
        <f>IF(OR(12&gt;MAX(3,MIN(15,N($D$18))),IFERROR(LARGE('Calc (scoring engine)'!$K$5:$K$521,12),-999999)&lt;=-900000),"",IFERROR(IF(INDEX(Database!$AP$5:$AP$521,MATCH(LARGE('Calc (scoring engine)'!$K$5:$K$521,12),'Calc (scoring engine)'!$K$5:$K$521,0))="","—",INDEX(Database!$AP$5:$AP$521,MATCH(LARGE('Calc (scoring engine)'!$K$5:$K$521,12),'Calc (scoring engine)'!$K$5:$K$521,0))),""))</f>
        <v/>
      </c>
      <c r="AN32" s="23">
        <f>IF(OR(12&gt;MAX(3,MIN(15,N($D$18))),IFERROR(LARGE('Calc (scoring engine)'!$K$5:$K$521,12),-999999)&lt;=-900000),"",IFERROR(IF(INDEX(Database!$AQ$5:$AQ$521,MATCH(LARGE('Calc (scoring engine)'!$K$5:$K$521,12),'Calc (scoring engine)'!$K$5:$K$521,0))="","—",INDEX(Database!$AQ$5:$AQ$521,MATCH(LARGE('Calc (scoring engine)'!$K$5:$K$521,12),'Calc (scoring engine)'!$K$5:$K$521,0))),""))</f>
        <v/>
      </c>
      <c r="AO32" s="23">
        <f>IF(OR(12&gt;MAX(3,MIN(15,N($D$18))),IFERROR(LARGE('Calc (scoring engine)'!$K$5:$K$521,12),-999999)&lt;=-900000),"",IFERROR(IF(INDEX(Database!$AR$5:$AR$521,MATCH(LARGE('Calc (scoring engine)'!$K$5:$K$521,12),'Calc (scoring engine)'!$K$5:$K$521,0))="","—",INDEX(Database!$AR$5:$AR$521,MATCH(LARGE('Calc (scoring engine)'!$K$5:$K$521,12),'Calc (scoring engine)'!$K$5:$K$521,0))),""))</f>
        <v/>
      </c>
      <c r="AP32" s="23">
        <f>IF(OR(12&gt;MAX(3,MIN(15,N($D$18))),IFERROR(LARGE('Calc (scoring engine)'!$K$5:$K$521,12),-999999)&lt;=-900000),"",IFERROR(IF(INDEX(Database!$AS$5:$AS$521,MATCH(LARGE('Calc (scoring engine)'!$K$5:$K$521,12),'Calc (scoring engine)'!$K$5:$K$521,0))="","—",INDEX(Database!$AS$5:$AS$521,MATCH(LARGE('Calc (scoring engine)'!$K$5:$K$521,12),'Calc (scoring engine)'!$K$5:$K$521,0))),""))</f>
        <v/>
      </c>
      <c r="AQ32" s="23">
        <f>IF(OR(12&gt;MAX(3,MIN(15,N($D$18))),IFERROR(LARGE('Calc (scoring engine)'!$K$5:$K$521,12),-999999)&lt;=-900000),"",IFERROR(IF(INDEX(Database!$AT$5:$AT$521,MATCH(LARGE('Calc (scoring engine)'!$K$5:$K$521,12),'Calc (scoring engine)'!$K$5:$K$521,0))="","—",INDEX(Database!$AT$5:$AT$521,MATCH(LARGE('Calc (scoring engine)'!$K$5:$K$521,12),'Calc (scoring engine)'!$K$5:$K$521,0))),""))</f>
        <v/>
      </c>
      <c r="AR32" s="23">
        <f>IF(OR(12&gt;MAX(3,MIN(15,N($D$18))),IFERROR(LARGE('Calc (scoring engine)'!$K$5:$K$521,12),-999999)&lt;=-900000),"",IFERROR(IF(INDEX(Database!$AU$5:$AU$521,MATCH(LARGE('Calc (scoring engine)'!$K$5:$K$521,12),'Calc (scoring engine)'!$K$5:$K$521,0))="","—",INDEX(Database!$AU$5:$AU$521,MATCH(LARGE('Calc (scoring engine)'!$K$5:$K$521,12),'Calc (scoring engine)'!$K$5:$K$521,0))),""))</f>
        <v/>
      </c>
      <c r="AS32" s="23">
        <f>IF(OR(12&gt;MAX(3,MIN(15,N($D$18))),IFERROR(LARGE('Calc (scoring engine)'!$K$5:$K$521,12),-999999)&lt;=-900000),"",IFERROR(IF(INDEX(Database!$AW$5:$AW$521,MATCH(LARGE('Calc (scoring engine)'!$K$5:$K$521,12),'Calc (scoring engine)'!$K$5:$K$521,0))="","—",INDEX(Database!$AW$5:$AW$521,MATCH(LARGE('Calc (scoring engine)'!$K$5:$K$521,12),'Calc (scoring engine)'!$K$5:$K$521,0))),""))</f>
        <v/>
      </c>
      <c r="AT32" s="19">
        <f>IF(OR(12&gt;MAX(3,MIN(15,N($D$18))),IFERROR(LARGE('Calc (scoring engine)'!$K$5:$K$521,12),-999999)&lt;=-900000),"",IFERROR(IF(INDEX(Database!$AY$5:$AY$521,MATCH(LARGE('Calc (scoring engine)'!$K$5:$K$521,12),'Calc (scoring engine)'!$K$5:$K$521,0))="","—",INDEX(Database!$AY$5:$AY$521,MATCH(LARGE('Calc (scoring engine)'!$K$5:$K$521,12),'Calc (scoring engine)'!$K$5:$K$521,0))),""))</f>
        <v/>
      </c>
      <c r="AU32" s="19">
        <f>IF(OR(12&gt;MAX(3,MIN(15,N($D$18))),IFERROR(LARGE('Calc (scoring engine)'!$K$5:$K$521,12),-999999)&lt;=-900000),"",IFERROR(IF(INDEX(Database!$AZ$5:$AZ$521,MATCH(LARGE('Calc (scoring engine)'!$K$5:$K$521,12),'Calc (scoring engine)'!$K$5:$K$521,0))="","—",INDEX(Database!$AZ$5:$AZ$521,MATCH(LARGE('Calc (scoring engine)'!$K$5:$K$521,12),'Calc (scoring engine)'!$K$5:$K$521,0))),""))</f>
        <v/>
      </c>
      <c r="AV32" s="10">
        <f>IF(OR(12&gt;MAX(3,MIN(15,N($D$18))),IFERROR(LARGE('Calc (scoring engine)'!$K$5:$K$521,12),-999999)&lt;=-900000),"",IFERROR(IF(INDEX(Database!$BA$5:$BA$521,MATCH(LARGE('Calc (scoring engine)'!$K$5:$K$521,12),'Calc (scoring engine)'!$K$5:$K$521,0))="","—",INDEX(Database!$BA$5:$BA$521,MATCH(LARGE('Calc (scoring engine)'!$K$5:$K$521,12),'Calc (scoring engine)'!$K$5:$K$521,0))),""))</f>
        <v/>
      </c>
      <c r="AW32" s="24">
        <f>IF(OR(12&gt;MAX(3,MIN(15,N($D$18))),IFERROR(LARGE('Calc (scoring engine)'!$K$5:$K$521,12),-999999)&lt;=-900000),"",IFERROR(IF(N(INDEX(Database!$BB$5:$BB$521,MATCH(LARGE('Calc (scoring engine)'!$K$5:$K$521,12),'Calc (scoring engine)'!$K$5:$K$521,0)))&lt;=0,IF(INDEX(Database!$BA$5:$BA$521,MATCH(LARGE('Calc (scoring engine)'!$K$5:$K$521,12),'Calc (scoring engine)'!$K$5:$K$521,0))="N","n/m","—"),INDEX(Database!$BB$5:$BB$521,MATCH(LARGE('Calc (scoring engine)'!$K$5:$K$521,12),'Calc (scoring engine)'!$K$5:$K$521,0))),""))</f>
        <v/>
      </c>
      <c r="AX32" s="24">
        <f>IF(OR(12&gt;MAX(3,MIN(15,N($D$18))),IFERROR(LARGE('Calc (scoring engine)'!$K$5:$K$521,12),-999999)&lt;=-900000),"",IFERROR(IF(INDEX(Database!$BC$5:$BC$521,MATCH(LARGE('Calc (scoring engine)'!$K$5:$K$521,12),'Calc (scoring engine)'!$K$5:$K$521,0))="","—",INDEX(Database!$BC$5:$BC$521,MATCH(LARGE('Calc (scoring engine)'!$K$5:$K$521,12),'Calc (scoring engine)'!$K$5:$K$521,0))),""))</f>
        <v/>
      </c>
      <c r="AY32" s="24">
        <f>IF(OR(12&gt;MAX(3,MIN(15,N($D$18))),IFERROR(LARGE('Calc (scoring engine)'!$K$5:$K$521,12),-999999)&lt;=-900000),"",IFERROR(IF(INDEX(Database!$BD$5:$BD$521,MATCH(LARGE('Calc (scoring engine)'!$K$5:$K$521,12),'Calc (scoring engine)'!$K$5:$K$521,0))="","—",INDEX(Database!$BD$5:$BD$521,MATCH(LARGE('Calc (scoring engine)'!$K$5:$K$521,12),'Calc (scoring engine)'!$K$5:$K$521,0))),""))</f>
        <v/>
      </c>
      <c r="AZ32" s="24">
        <f>IF(OR(12&gt;MAX(3,MIN(15,N($D$18))),IFERROR(LARGE('Calc (scoring engine)'!$K$5:$K$521,12),-999999)&lt;=-900000),"",IFERROR(IF(INDEX(Database!$BE$5:$BE$521,MATCH(LARGE('Calc (scoring engine)'!$K$5:$K$521,12),'Calc (scoring engine)'!$K$5:$K$521,0))="","—",INDEX(Database!$BE$5:$BE$521,MATCH(LARGE('Calc (scoring engine)'!$K$5:$K$521,12),'Calc (scoring engine)'!$K$5:$K$521,0))),""))</f>
        <v/>
      </c>
      <c r="BA32" s="24">
        <f>IF(OR(12&gt;MAX(3,MIN(15,N($D$18))),IFERROR(LARGE('Calc (scoring engine)'!$K$5:$K$521,12),-999999)&lt;=-900000),"",IFERROR(IF(INDEX(Database!$BF$5:$BF$521,MATCH(LARGE('Calc (scoring engine)'!$K$5:$K$521,12),'Calc (scoring engine)'!$K$5:$K$521,0))="","—",INDEX(Database!$BF$5:$BF$521,MATCH(LARGE('Calc (scoring engine)'!$K$5:$K$521,12),'Calc (scoring engine)'!$K$5:$K$521,0))),""))</f>
        <v/>
      </c>
      <c r="BB32" s="24">
        <f>IF(OR(12&gt;MAX(3,MIN(15,N($D$18))),IFERROR(LARGE('Calc (scoring engine)'!$K$5:$K$521,12),-999999)&lt;=-900000),"",IFERROR(IFERROR(BDP(TEXT(INDEX(Database!$A$5:$A$521,MATCH(LARGE('Calc (scoring engine)'!$K$5:$K$521,12),'Calc (scoring engine)'!$K$5:$K$521,0)),"0")&amp;" HK Equity","PE_RATIO"),IF(INDEX(Database!$BD$5:$BD$521,MATCH(LARGE('Calc (scoring engine)'!$K$5:$K$521,12),'Calc (scoring engine)'!$K$5:$K$521,0))="","—",INDEX(Database!$BD$5:$BD$521,MATCH(LARGE('Calc (scoring engine)'!$K$5:$K$521,12),'Calc (scoring engine)'!$K$5:$K$521,0)))),""))</f>
        <v/>
      </c>
      <c r="BC32" s="24">
        <f>IF(OR(12&gt;MAX(3,MIN(15,N($D$18))),IFERROR(LARGE('Calc (scoring engine)'!$K$5:$K$521,12),-999999)&lt;=-900000),"",IFERROR(IFERROR(BDP(TEXT(INDEX(Database!$A$5:$A$521,MATCH(LARGE('Calc (scoring engine)'!$K$5:$K$521,12),'Calc (scoring engine)'!$K$5:$K$521,0)),"0")&amp;" HK Equity","PX_TO_SALES_RATIO"),IF(INDEX(Database!$BE$5:$BE$521,MATCH(LARGE('Calc (scoring engine)'!$K$5:$K$521,12),'Calc (scoring engine)'!$K$5:$K$521,0))="","—",INDEX(Database!$BE$5:$BE$521,MATCH(LARGE('Calc (scoring engine)'!$K$5:$K$521,12),'Calc (scoring engine)'!$K$5:$K$521,0)))),""))</f>
        <v/>
      </c>
      <c r="BD32" s="10">
        <f>IF(OR(12&gt;MAX(3,MIN(15,N($D$18))),IFERROR(LARGE('Calc (scoring engine)'!$K$5:$K$521,12),-999999)&lt;=-900000),"",IFERROR(IF(INDEX(Database!$BG$5:$BG$521,MATCH(LARGE('Calc (scoring engine)'!$K$5:$K$521,12),'Calc (scoring engine)'!$K$5:$K$521,0))="","—",INDEX(Database!$BG$5:$BG$521,MATCH(LARGE('Calc (scoring engine)'!$K$5:$K$521,12),'Calc (scoring engine)'!$K$5:$K$521,0))),""))</f>
        <v/>
      </c>
      <c r="BE32" s="10">
        <f>IF(OR(12&gt;MAX(3,MIN(15,N($D$18))),IFERROR(LARGE('Calc (scoring engine)'!$K$5:$K$521,12),-999999)&lt;=-900000),"",IFERROR(IF(INDEX(Database!$BH$5:$BH$521,MATCH(LARGE('Calc (scoring engine)'!$K$5:$K$521,12),'Calc (scoring engine)'!$K$5:$K$521,0))="","—",INDEX(Database!$BH$5:$BH$521,MATCH(LARGE('Calc (scoring engine)'!$K$5:$K$521,12),'Calc (scoring engine)'!$K$5:$K$521,0))),""))</f>
        <v/>
      </c>
      <c r="BF32" s="23">
        <f>IF(OR(12&gt;MAX(3,MIN(15,N($D$18))),IFERROR(LARGE('Calc (scoring engine)'!$K$5:$K$521,12),-999999)&lt;=-900000),"",IFERROR(IF(INDEX(Database!$BI$5:$BI$521,MATCH(LARGE('Calc (scoring engine)'!$K$5:$K$521,12),'Calc (scoring engine)'!$K$5:$K$521,0))="","—",INDEX(Database!$BI$5:$BI$521,MATCH(LARGE('Calc (scoring engine)'!$K$5:$K$521,12),'Calc (scoring engine)'!$K$5:$K$521,0))),""))</f>
        <v/>
      </c>
      <c r="BG32" s="50">
        <f>IF(OR(12&gt;MAX(3,MIN(15,N($D$18))),IFERROR(LARGE('Calc (scoring engine)'!$K$5:$K$521,12),-999999)&lt;=-900000),"",IFERROR(IF(INDEX(Database!$BJ$5:$BJ$521,MATCH(LARGE('Calc (scoring engine)'!$K$5:$K$521,12),'Calc (scoring engine)'!$K$5:$K$521,0))="","—",INDEX(Database!$BJ$5:$BJ$521,MATCH(LARGE('Calc (scoring engine)'!$K$5:$K$521,12),'Calc (scoring engine)'!$K$5:$K$521,0))),""))</f>
        <v/>
      </c>
      <c r="BH32" s="53">
        <f>IF(OR(12&gt;MAX(3,MIN(15,N($D$18))),IFERROR(LARGE('Calc (scoring engine)'!$K$5:$K$521,12),-999999)&lt;=-900000),"",IFERROR(IF(INDEX(Database!$BK$5:$BK$521,MATCH(LARGE('Calc (scoring engine)'!$K$5:$K$521,12),'Calc (scoring engine)'!$K$5:$K$521,0))="","—",INDEX(Database!$BK$5:$BK$521,MATCH(LARGE('Calc (scoring engine)'!$K$5:$K$521,12),'Calc (scoring engine)'!$K$5:$K$521,0))),""))</f>
        <v/>
      </c>
      <c r="BI32" s="19">
        <f>IF(OR(12&gt;MAX(3,MIN(15,N($D$18))),IFERROR(LARGE('Calc (scoring engine)'!$K$5:$K$521,12),-999999)&lt;=-900000),"",IFERROR(IF(INDEX(Database!$BL$5:$BL$521,MATCH(LARGE('Calc (scoring engine)'!$K$5:$K$521,12),'Calc (scoring engine)'!$K$5:$K$521,0))="","—",INDEX(Database!$BL$5:$BL$521,MATCH(LARGE('Calc (scoring engine)'!$K$5:$K$521,12),'Calc (scoring engine)'!$K$5:$K$521,0))),""))</f>
        <v/>
      </c>
      <c r="BJ32" s="24">
        <f>IF(OR(12&gt;MAX(3,MIN(15,N($D$18))),IFERROR(LARGE('Calc (scoring engine)'!$K$5:$K$521,12),-999999)&lt;=-900000),"",IFERROR(IF(INDEX(Database!$BM$5:$BM$521,MATCH(LARGE('Calc (scoring engine)'!$K$5:$K$521,12),'Calc (scoring engine)'!$K$5:$K$521,0))="","—",INDEX(Database!$BM$5:$BM$521,MATCH(LARGE('Calc (scoring engine)'!$K$5:$K$521,12),'Calc (scoring engine)'!$K$5:$K$521,0))),""))</f>
        <v/>
      </c>
      <c r="BK32" s="24">
        <f>IF(OR(12&gt;MAX(3,MIN(15,N($D$18))),IFERROR(LARGE('Calc (scoring engine)'!$K$5:$K$521,12),-999999)&lt;=-900000),"",IFERROR(IF(INDEX(Database!$BN$5:$BN$521,MATCH(LARGE('Calc (scoring engine)'!$K$5:$K$521,12),'Calc (scoring engine)'!$K$5:$K$521,0))="","—",INDEX(Database!$BN$5:$BN$521,MATCH(LARGE('Calc (scoring engine)'!$K$5:$K$521,12),'Calc (scoring engine)'!$K$5:$K$521,0))),""))</f>
        <v/>
      </c>
      <c r="BL32" s="10">
        <f>IF(OR(12&gt;MAX(3,MIN(15,N($D$18))),IFERROR(LARGE('Calc (scoring engine)'!$K$5:$K$521,12),-999999)&lt;=-900000),"",IFERROR(IF(INDEX(Database!$BO$5:$BO$521,MATCH(LARGE('Calc (scoring engine)'!$K$5:$K$521,12),'Calc (scoring engine)'!$K$5:$K$521,0))="","—",INDEX(Database!$BO$5:$BO$521,MATCH(LARGE('Calc (scoring engine)'!$K$5:$K$521,12),'Calc (scoring engine)'!$K$5:$K$521,0))),""))</f>
        <v/>
      </c>
      <c r="BM32" s="10">
        <f>IF(OR(12&gt;MAX(3,MIN(15,N($D$18))),IFERROR(LARGE('Calc (scoring engine)'!$K$5:$K$521,12),-999999)&lt;=-900000),"",IFERROR(IF(INDEX(Database!$BQ$5:$BQ$521,MATCH(LARGE('Calc (scoring engine)'!$K$5:$K$521,12),'Calc (scoring engine)'!$K$5:$K$521,0))="","—",INDEX(Database!$BQ$5:$BQ$521,MATCH(LARGE('Calc (scoring engine)'!$K$5:$K$521,12),'Calc (scoring engine)'!$K$5:$K$521,0))),""))</f>
        <v/>
      </c>
      <c r="BN32" s="54">
        <f>IF(OR(12&gt;MAX(3,MIN(15,N($D$18))),IFERROR(LARGE('Calc (scoring engine)'!$K$5:$K$521,12),-999999)&lt;=-900000),"",IFERROR(IF(INDEX('Calc (scoring engine)'!$H$5:$H$521,MATCH(LARGE('Calc (scoring engine)'!$K$5:$K$521,12),'Calc (scoring engine)'!$K$5:$K$521,0))&gt;0,INDEX('Calc (scoring engine)'!$H$5:$H$521,MATCH(LARGE('Calc (scoring engine)'!$K$5:$K$521,12),'Calc (scoring engine)'!$K$5:$K$521,0)),""),""))</f>
        <v/>
      </c>
      <c r="BO32" s="10">
        <f>IF(OR(12&gt;MAX(3,MIN(15,N($D$18))),IFERROR(LARGE('Calc (scoring engine)'!$K$5:$K$521,12),-999999)&lt;=-900000),"",IF(IFERROR(INDEX('Calc (scoring engine)'!$B$5:$B$521,MATCH(LARGE('Calc (scoring engine)'!$K$5:$K$521,12),'Calc (scoring engine)'!$K$5:$K$521,0)),0)=1,"same subsector","sector only"))</f>
        <v/>
      </c>
      <c r="BP32" s="54">
        <f>IF(OR(12&gt;MAX(3,MIN(15,N($D$18))),IFERROR(LARGE('Calc (scoring engine)'!$K$5:$K$521,12),-999999)&lt;=-900000),"",ROUND(IFERROR(LARGE('Calc (scoring engine)'!$K$5:$K$521,12),0),0))</f>
        <v/>
      </c>
      <c r="BQ32" s="10">
        <f>IF(OR(12&gt;MAX(3,MIN(15,N($D$18))),IFERROR(LARGE('Calc (scoring engine)'!$K$5:$K$521,12),-999999)&lt;=-900000),"",IFERROR("sub "&amp;INDEX('Calc (scoring engine)'!$B$5:$B$521,MATCH(LARGE('Calc (scoring engine)'!$K$5:$K$521,12),'Calc (scoring engine)'!$K$5:$K$521,0))*W_SUB&amp;" + size "&amp;ROUND(INDEX('Calc (scoring engine)'!$D$5:$D$521,MATCH(LARGE('Calc (scoring engine)'!$K$5:$K$521,12),'Calc (scoring engine)'!$K$5:$K$521,0))*W_SIZE,0)&amp;" + prof "&amp;INDEX('Calc (scoring engine)'!$E$5:$E$521,MATCH(LARGE('Calc (scoring engine)'!$K$5:$K$521,12),'Calc (scoring engine)'!$K$5:$K$521,0))*W_PROF&amp;" + recency "&amp;ROUND(INDEX('Calc (scoring engine)'!$G$5:$G$521,MATCH(LARGE('Calc (scoring engine)'!$K$5:$K$521,12),'Calc (scoring engine)'!$K$5:$K$521,0))*W_REC,0)&amp;IF(INDEX('Calc (scoring engine)'!$H$5:$H$521,MATCH(LARGE('Calc (scoring engine)'!$K$5:$K$521,12),'Calc (scoring engine)'!$K$5:$K$521,0))&gt;0," + shared CS x"&amp;INDEX('Calc (scoring engine)'!$H$5:$H$521,MATCH(LARGE('Calc (scoring engine)'!$K$5:$K$521,12),'Calc (scoring engine)'!$K$5:$K$521,0)),""),""))</f>
        <v/>
      </c>
    </row>
    <row r="33">
      <c r="A33" s="48">
        <f>IF(OR(13&gt;MAX(3,MIN(15,N($D$18))),IFERROR(LARGE('Calc (scoring engine)'!$K$5:$K$521,13),-999999)&lt;=-900000),"",13)</f>
        <v/>
      </c>
      <c r="B33" s="10">
        <f>IF(OR(13&gt;MAX(3,MIN(15,N($D$18))),IFERROR(LARGE('Calc (scoring engine)'!$K$5:$K$521,13),-999999)&lt;=-900000),"",IFERROR(IF(INDEX(Database!$B$5:$B$521,MATCH(LARGE('Calc (scoring engine)'!$K$5:$K$521,13),'Calc (scoring engine)'!$K$5:$K$521,0))="","—",INDEX(Database!$B$5:$B$521,MATCH(LARGE('Calc (scoring engine)'!$K$5:$K$521,13),'Calc (scoring engine)'!$K$5:$K$521,0))),""))</f>
        <v/>
      </c>
      <c r="C33" s="49">
        <f>IF(OR(13&gt;MAX(3,MIN(15,N($D$18))),IFERROR(LARGE('Calc (scoring engine)'!$K$5:$K$521,13),-999999)&lt;=-900000),"",IFERROR(IF(INDEX(Database!$A$5:$A$521,MATCH(LARGE('Calc (scoring engine)'!$K$5:$K$521,13),'Calc (scoring engine)'!$K$5:$K$521,0))="","—",INDEX(Database!$A$5:$A$521,MATCH(LARGE('Calc (scoring engine)'!$K$5:$K$521,13),'Calc (scoring engine)'!$K$5:$K$521,0))),""))</f>
        <v/>
      </c>
      <c r="D33" s="10">
        <f>IF(OR(13&gt;MAX(3,MIN(15,N($D$18))),IFERROR(LARGE('Calc (scoring engine)'!$K$5:$K$521,13),-999999)&lt;=-900000),"",IFERROR(IF(INDEX(Database!$D$5:$D$521,MATCH(LARGE('Calc (scoring engine)'!$K$5:$K$521,13),'Calc (scoring engine)'!$K$5:$K$521,0))="","—",INDEX(Database!$D$5:$D$521,MATCH(LARGE('Calc (scoring engine)'!$K$5:$K$521,13),'Calc (scoring engine)'!$K$5:$K$521,0))),""))</f>
        <v/>
      </c>
      <c r="E33" s="10">
        <f>IF(OR(13&gt;MAX(3,MIN(15,N($D$18))),IFERROR(LARGE('Calc (scoring engine)'!$K$5:$K$521,13),-999999)&lt;=-900000),"",IFERROR(IF(INDEX(Database!$E$5:$E$521,MATCH(LARGE('Calc (scoring engine)'!$K$5:$K$521,13),'Calc (scoring engine)'!$K$5:$K$521,0))="","—",INDEX(Database!$E$5:$E$521,MATCH(LARGE('Calc (scoring engine)'!$K$5:$K$521,13),'Calc (scoring engine)'!$K$5:$K$521,0))),""))</f>
        <v/>
      </c>
      <c r="F33" s="10">
        <f>IF(OR(13&gt;MAX(3,MIN(15,N($D$18))),IFERROR(LARGE('Calc (scoring engine)'!$K$5:$K$521,13),-999999)&lt;=-900000),"",IFERROR(IF(INDEX(Database!$F$5:$F$521,MATCH(LARGE('Calc (scoring engine)'!$K$5:$K$521,13),'Calc (scoring engine)'!$K$5:$K$521,0))="","—",INDEX(Database!$F$5:$F$521,MATCH(LARGE('Calc (scoring engine)'!$K$5:$K$521,13),'Calc (scoring engine)'!$K$5:$K$521,0))),""))</f>
        <v/>
      </c>
      <c r="G33" s="10">
        <f>IF(OR(13&gt;MAX(3,MIN(15,N($D$18))),IFERROR(LARGE('Calc (scoring engine)'!$K$5:$K$521,13),-999999)&lt;=-900000),"",IFERROR(IF(INDEX(Database!$G$5:$G$521,MATCH(LARGE('Calc (scoring engine)'!$K$5:$K$521,13),'Calc (scoring engine)'!$K$5:$K$521,0))="","—",INDEX(Database!$G$5:$G$521,MATCH(LARGE('Calc (scoring engine)'!$K$5:$K$521,13),'Calc (scoring engine)'!$K$5:$K$521,0))),""))</f>
        <v/>
      </c>
      <c r="H33" s="21">
        <f>IF(OR(13&gt;MAX(3,MIN(15,N($D$18))),IFERROR(LARGE('Calc (scoring engine)'!$K$5:$K$521,13),-999999)&lt;=-900000),"",IFERROR(IF(INDEX(Database!$H$5:$H$521,MATCH(LARGE('Calc (scoring engine)'!$K$5:$K$521,13),'Calc (scoring engine)'!$K$5:$K$521,0))="","—",INDEX(Database!$H$5:$H$521,MATCH(LARGE('Calc (scoring engine)'!$K$5:$K$521,13),'Calc (scoring engine)'!$K$5:$K$521,0))),""))</f>
        <v/>
      </c>
      <c r="I33" s="19">
        <f>IF(OR(13&gt;MAX(3,MIN(15,N($D$18))),IFERROR(LARGE('Calc (scoring engine)'!$K$5:$K$521,13),-999999)&lt;=-900000),"",IFERROR(IF(INDEX(Database!$I$5:$I$521,MATCH(LARGE('Calc (scoring engine)'!$K$5:$K$521,13),'Calc (scoring engine)'!$K$5:$K$521,0))="","—",INDEX(Database!$I$5:$I$521,MATCH(LARGE('Calc (scoring engine)'!$K$5:$K$521,13),'Calc (scoring engine)'!$K$5:$K$521,0))),""))</f>
        <v/>
      </c>
      <c r="J33" s="50">
        <f>IF(OR(13&gt;MAX(3,MIN(15,N($D$18))),IFERROR(LARGE('Calc (scoring engine)'!$K$5:$K$521,13),-999999)&lt;=-900000),"",IFERROR(IF(INDEX(Database!$K$5:$K$521,MATCH(LARGE('Calc (scoring engine)'!$K$5:$K$521,13),'Calc (scoring engine)'!$K$5:$K$521,0))="","—",INDEX(Database!$K$5:$K$521,MATCH(LARGE('Calc (scoring engine)'!$K$5:$K$521,13),'Calc (scoring engine)'!$K$5:$K$521,0))),""))</f>
        <v/>
      </c>
      <c r="K33" s="50">
        <f>IF(OR(13&gt;MAX(3,MIN(15,N($D$18))),IFERROR(LARGE('Calc (scoring engine)'!$K$5:$K$521,13),-999999)&lt;=-900000),"",IFERROR(IF(INDEX(Database!$L$5:$L$521,MATCH(LARGE('Calc (scoring engine)'!$K$5:$K$521,13),'Calc (scoring engine)'!$K$5:$K$521,0))="","—",INDEX(Database!$L$5:$L$521,MATCH(LARGE('Calc (scoring engine)'!$K$5:$K$521,13),'Calc (scoring engine)'!$K$5:$K$521,0))),""))</f>
        <v/>
      </c>
      <c r="L33" s="50">
        <f>IF(OR(13&gt;MAX(3,MIN(15,N($D$18))),IFERROR(LARGE('Calc (scoring engine)'!$K$5:$K$521,13),-999999)&lt;=-900000),"",IFERROR(IF(INDEX(Database!$M$5:$M$521,MATCH(LARGE('Calc (scoring engine)'!$K$5:$K$521,13),'Calc (scoring engine)'!$K$5:$K$521,0))="","—",INDEX(Database!$M$5:$M$521,MATCH(LARGE('Calc (scoring engine)'!$K$5:$K$521,13),'Calc (scoring engine)'!$K$5:$K$521,0))),""))</f>
        <v/>
      </c>
      <c r="M33" s="10">
        <f>IF(OR(13&gt;MAX(3,MIN(15,N($D$18))),IFERROR(LARGE('Calc (scoring engine)'!$K$5:$K$521,13),-999999)&lt;=-900000),"",IFERROR(IF(INDEX(Database!$N$5:$N$521,MATCH(LARGE('Calc (scoring engine)'!$K$5:$K$521,13),'Calc (scoring engine)'!$K$5:$K$521,0))="","—",INDEX(Database!$N$5:$N$521,MATCH(LARGE('Calc (scoring engine)'!$K$5:$K$521,13),'Calc (scoring engine)'!$K$5:$K$521,0))),""))</f>
        <v/>
      </c>
      <c r="N33" s="31">
        <f>IF(OR(13&gt;MAX(3,MIN(15,N($D$18))),IFERROR(LARGE('Calc (scoring engine)'!$K$5:$K$521,13),-999999)&lt;=-900000),"",IFERROR(IF(INDEX(Database!$O$5:$O$521,MATCH(LARGE('Calc (scoring engine)'!$K$5:$K$521,13),'Calc (scoring engine)'!$K$5:$K$521,0))="","—",INDEX(Database!$O$5:$O$521,MATCH(LARGE('Calc (scoring engine)'!$K$5:$K$521,13),'Calc (scoring engine)'!$K$5:$K$521,0))),""))</f>
        <v/>
      </c>
      <c r="O33" s="31">
        <f>IF(OR(13&gt;MAX(3,MIN(15,N($D$18))),IFERROR(LARGE('Calc (scoring engine)'!$K$5:$K$521,13),-999999)&lt;=-900000),"",IFERROR(IF(INDEX(Database!$P$5:$P$521,MATCH(LARGE('Calc (scoring engine)'!$K$5:$K$521,13),'Calc (scoring engine)'!$K$5:$K$521,0))="","—",INDEX(Database!$P$5:$P$521,MATCH(LARGE('Calc (scoring engine)'!$K$5:$K$521,13),'Calc (scoring engine)'!$K$5:$K$521,0))),""))</f>
        <v/>
      </c>
      <c r="P33" s="19">
        <f>IF(OR(13&gt;MAX(3,MIN(15,N($D$18))),IFERROR(LARGE('Calc (scoring engine)'!$K$5:$K$521,13),-999999)&lt;=-900000),"",IFERROR(IF(INDEX(Database!$Q$5:$Q$521,MATCH(LARGE('Calc (scoring engine)'!$K$5:$K$521,13),'Calc (scoring engine)'!$K$5:$K$521,0))="","—",INDEX(Database!$Q$5:$Q$521,MATCH(LARGE('Calc (scoring engine)'!$K$5:$K$521,13),'Calc (scoring engine)'!$K$5:$K$521,0))),""))</f>
        <v/>
      </c>
      <c r="Q33" s="26">
        <f>IF(OR(13&gt;MAX(3,MIN(15,N($D$18))),IFERROR(LARGE('Calc (scoring engine)'!$K$5:$K$521,13),-999999)&lt;=-900000),"",IFERROR(IF(INDEX(Database!$S$5:$S$521,MATCH(LARGE('Calc (scoring engine)'!$K$5:$K$521,13),'Calc (scoring engine)'!$K$5:$K$521,0))="","—",INDEX(Database!$S$5:$S$521,MATCH(LARGE('Calc (scoring engine)'!$K$5:$K$521,13),'Calc (scoring engine)'!$K$5:$K$521,0))),""))</f>
        <v/>
      </c>
      <c r="R33" s="51">
        <f>IF(OR(13&gt;MAX(3,MIN(15,N($D$18))),IFERROR(LARGE('Calc (scoring engine)'!$K$5:$K$521,13),-999999)&lt;=-900000),"",IFERROR(IF(INDEX(Database!$T$5:$T$521,MATCH(LARGE('Calc (scoring engine)'!$K$5:$K$521,13),'Calc (scoring engine)'!$K$5:$K$521,0))="","—",INDEX(Database!$T$5:$T$521,MATCH(LARGE('Calc (scoring engine)'!$K$5:$K$521,13),'Calc (scoring engine)'!$K$5:$K$521,0))),""))</f>
        <v/>
      </c>
      <c r="S33" s="52">
        <f>IF(OR(13&gt;MAX(3,MIN(15,N($D$18))),IFERROR(LARGE('Calc (scoring engine)'!$K$5:$K$521,13),-999999)&lt;=-900000),"",IFERROR(IF(INDEX(Database!$U$5:$U$521,MATCH(LARGE('Calc (scoring engine)'!$K$5:$K$521,13),'Calc (scoring engine)'!$K$5:$K$521,0))="","—",INDEX(Database!$U$5:$U$521,MATCH(LARGE('Calc (scoring engine)'!$K$5:$K$521,13),'Calc (scoring engine)'!$K$5:$K$521,0))),""))</f>
        <v/>
      </c>
      <c r="T33" s="19">
        <f>IF(OR(13&gt;MAX(3,MIN(15,N($D$18))),IFERROR(LARGE('Calc (scoring engine)'!$K$5:$K$521,13),-999999)&lt;=-900000),"",IFERROR(IF(INDEX(Database!$V$5:$V$521,MATCH(LARGE('Calc (scoring engine)'!$K$5:$K$521,13),'Calc (scoring engine)'!$K$5:$K$521,0))="","—",INDEX(Database!$V$5:$V$521,MATCH(LARGE('Calc (scoring engine)'!$K$5:$K$521,13),'Calc (scoring engine)'!$K$5:$K$521,0))),""))</f>
        <v/>
      </c>
      <c r="U33" s="19">
        <f>IF(OR(13&gt;MAX(3,MIN(15,N($D$18))),IFERROR(LARGE('Calc (scoring engine)'!$K$5:$K$521,13),-999999)&lt;=-900000),"",IFERROR(IF(INDEX(Database!$W$5:$W$521,MATCH(LARGE('Calc (scoring engine)'!$K$5:$K$521,13),'Calc (scoring engine)'!$K$5:$K$521,0))="","—",INDEX(Database!$W$5:$W$521,MATCH(LARGE('Calc (scoring engine)'!$K$5:$K$521,13),'Calc (scoring engine)'!$K$5:$K$521,0))),""))</f>
        <v/>
      </c>
      <c r="V33" s="31">
        <f>IF(OR(13&gt;MAX(3,MIN(15,N($D$18))),IFERROR(LARGE('Calc (scoring engine)'!$K$5:$K$521,13),-999999)&lt;=-900000),"",IFERROR(IF(INDEX(Database!$X$5:$X$521,MATCH(LARGE('Calc (scoring engine)'!$K$5:$K$521,13),'Calc (scoring engine)'!$K$5:$K$521,0))="","—",INDEX(Database!$X$5:$X$521,MATCH(LARGE('Calc (scoring engine)'!$K$5:$K$521,13),'Calc (scoring engine)'!$K$5:$K$521,0))),""))</f>
        <v/>
      </c>
      <c r="W33" s="10">
        <f>IF(OR(13&gt;MAX(3,MIN(15,N($D$18))),IFERROR(LARGE('Calc (scoring engine)'!$K$5:$K$521,13),-999999)&lt;=-900000),"",IFERROR(IF(INDEX(Database!$Y$5:$Y$521,MATCH(LARGE('Calc (scoring engine)'!$K$5:$K$521,13),'Calc (scoring engine)'!$K$5:$K$521,0))="","—",INDEX(Database!$Y$5:$Y$521,MATCH(LARGE('Calc (scoring engine)'!$K$5:$K$521,13),'Calc (scoring engine)'!$K$5:$K$521,0))),""))</f>
        <v/>
      </c>
      <c r="X33" s="31">
        <f>IF(OR(13&gt;MAX(3,MIN(15,N($D$18))),IFERROR(LARGE('Calc (scoring engine)'!$K$5:$K$521,13),-999999)&lt;=-900000),"",IFERROR(IF(INDEX(Database!$AA$5:$AA$521,MATCH(LARGE('Calc (scoring engine)'!$K$5:$K$521,13),'Calc (scoring engine)'!$K$5:$K$521,0))="","—",INDEX(Database!$AA$5:$AA$521,MATCH(LARGE('Calc (scoring engine)'!$K$5:$K$521,13),'Calc (scoring engine)'!$K$5:$K$521,0))),""))</f>
        <v/>
      </c>
      <c r="Y33" s="10">
        <f>IF(OR(13&gt;MAX(3,MIN(15,N($D$18))),IFERROR(LARGE('Calc (scoring engine)'!$K$5:$K$521,13),-999999)&lt;=-900000),"",IFERROR(IF(INDEX(Database!$AB$5:$AB$521,MATCH(LARGE('Calc (scoring engine)'!$K$5:$K$521,13),'Calc (scoring engine)'!$K$5:$K$521,0))="","—",INDEX(Database!$AB$5:$AB$521,MATCH(LARGE('Calc (scoring engine)'!$K$5:$K$521,13),'Calc (scoring engine)'!$K$5:$K$521,0))),""))</f>
        <v/>
      </c>
      <c r="Z33" s="10">
        <f>IF(OR(13&gt;MAX(3,MIN(15,N($D$18))),IFERROR(LARGE('Calc (scoring engine)'!$K$5:$K$521,13),-999999)&lt;=-900000),"",IFERROR(IF(INDEX(Database!$AC$5:$AC$521,MATCH(LARGE('Calc (scoring engine)'!$K$5:$K$521,13),'Calc (scoring engine)'!$K$5:$K$521,0))="","—",INDEX(Database!$AC$5:$AC$521,MATCH(LARGE('Calc (scoring engine)'!$K$5:$K$521,13),'Calc (scoring engine)'!$K$5:$K$521,0))),""))</f>
        <v/>
      </c>
      <c r="AA33" s="10">
        <f>IF(OR(13&gt;MAX(3,MIN(15,N($D$18))),IFERROR(LARGE('Calc (scoring engine)'!$K$5:$K$521,13),-999999)&lt;=-900000),"",IFERROR(IF(INDEX(Database!$AD$5:$AD$521,MATCH(LARGE('Calc (scoring engine)'!$K$5:$K$521,13),'Calc (scoring engine)'!$K$5:$K$521,0))="","—",INDEX(Database!$AD$5:$AD$521,MATCH(LARGE('Calc (scoring engine)'!$K$5:$K$521,13),'Calc (scoring engine)'!$K$5:$K$521,0))),""))</f>
        <v/>
      </c>
      <c r="AB33" s="10">
        <f>IF(OR(13&gt;MAX(3,MIN(15,N($D$18))),IFERROR(LARGE('Calc (scoring engine)'!$K$5:$K$521,13),-999999)&lt;=-900000),"",IFERROR(IF(INDEX(Database!$AE$5:$AE$521,MATCH(LARGE('Calc (scoring engine)'!$K$5:$K$521,13),'Calc (scoring engine)'!$K$5:$K$521,0))="","—",INDEX(Database!$AE$5:$AE$521,MATCH(LARGE('Calc (scoring engine)'!$K$5:$K$521,13),'Calc (scoring engine)'!$K$5:$K$521,0))),""))</f>
        <v/>
      </c>
      <c r="AC33" s="23">
        <f>IF(OR(13&gt;MAX(3,MIN(15,N($D$18))),IFERROR(LARGE('Calc (scoring engine)'!$K$5:$K$521,13),-999999)&lt;=-900000),"",IFERROR(IF(INDEX(Database!$AF$5:$AF$521,MATCH(LARGE('Calc (scoring engine)'!$K$5:$K$521,13),'Calc (scoring engine)'!$K$5:$K$521,0))="","—",INDEX(Database!$AF$5:$AF$521,MATCH(LARGE('Calc (scoring engine)'!$K$5:$K$521,13),'Calc (scoring engine)'!$K$5:$K$521,0))),""))</f>
        <v/>
      </c>
      <c r="AD33" s="23">
        <f>IF(OR(13&gt;MAX(3,MIN(15,N($D$18))),IFERROR(LARGE('Calc (scoring engine)'!$K$5:$K$521,13),-999999)&lt;=-900000),"",IFERROR(IF(INDEX(Database!$AG$5:$AG$521,MATCH(LARGE('Calc (scoring engine)'!$K$5:$K$521,13),'Calc (scoring engine)'!$K$5:$K$521,0))="","—",INDEX(Database!$AG$5:$AG$521,MATCH(LARGE('Calc (scoring engine)'!$K$5:$K$521,13),'Calc (scoring engine)'!$K$5:$K$521,0))),""))</f>
        <v/>
      </c>
      <c r="AE33" s="23">
        <f>IF(OR(13&gt;MAX(3,MIN(15,N($D$18))),IFERROR(LARGE('Calc (scoring engine)'!$K$5:$K$521,13),-999999)&lt;=-900000),"",IFERROR(IF(INDEX(Database!$AH$5:$AH$521,MATCH(LARGE('Calc (scoring engine)'!$K$5:$K$521,13),'Calc (scoring engine)'!$K$5:$K$521,0))="","—",INDEX(Database!$AH$5:$AH$521,MATCH(LARGE('Calc (scoring engine)'!$K$5:$K$521,13),'Calc (scoring engine)'!$K$5:$K$521,0))),""))</f>
        <v/>
      </c>
      <c r="AF33" s="23">
        <f>IF(OR(13&gt;MAX(3,MIN(15,N($D$18))),IFERROR(LARGE('Calc (scoring engine)'!$K$5:$K$521,13),-999999)&lt;=-900000),"",IFERROR(IF(INDEX(Database!$AI$5:$AI$521,MATCH(LARGE('Calc (scoring engine)'!$K$5:$K$521,13),'Calc (scoring engine)'!$K$5:$K$521,0))="","—",INDEX(Database!$AI$5:$AI$521,MATCH(LARGE('Calc (scoring engine)'!$K$5:$K$521,13),'Calc (scoring engine)'!$K$5:$K$521,0))),""))</f>
        <v/>
      </c>
      <c r="AG33" s="23">
        <f>IF(OR(13&gt;MAX(3,MIN(15,N($D$18))),IFERROR(LARGE('Calc (scoring engine)'!$K$5:$K$521,13),-999999)&lt;=-900000),"",IFERROR(IF(INDEX(Database!$AJ$5:$AJ$521,MATCH(LARGE('Calc (scoring engine)'!$K$5:$K$521,13),'Calc (scoring engine)'!$K$5:$K$521,0))="","—",INDEX(Database!$AJ$5:$AJ$521,MATCH(LARGE('Calc (scoring engine)'!$K$5:$K$521,13),'Calc (scoring engine)'!$K$5:$K$521,0))),""))</f>
        <v/>
      </c>
      <c r="AH33" s="23">
        <f>IF(OR(13&gt;MAX(3,MIN(15,N($D$18))),IFERROR(LARGE('Calc (scoring engine)'!$K$5:$K$521,13),-999999)&lt;=-900000),"",IFERROR(IF(INDEX(Database!$AK$5:$AK$521,MATCH(LARGE('Calc (scoring engine)'!$K$5:$K$521,13),'Calc (scoring engine)'!$K$5:$K$521,0))="","—",INDEX(Database!$AK$5:$AK$521,MATCH(LARGE('Calc (scoring engine)'!$K$5:$K$521,13),'Calc (scoring engine)'!$K$5:$K$521,0))),""))</f>
        <v/>
      </c>
      <c r="AI33" s="23">
        <f>IF(OR(13&gt;MAX(3,MIN(15,N($D$18))),IFERROR(LARGE('Calc (scoring engine)'!$K$5:$K$521,13),-999999)&lt;=-900000),"",IFERROR(IF(INDEX(Database!$AL$5:$AL$521,MATCH(LARGE('Calc (scoring engine)'!$K$5:$K$521,13),'Calc (scoring engine)'!$K$5:$K$521,0))="","—",INDEX(Database!$AL$5:$AL$521,MATCH(LARGE('Calc (scoring engine)'!$K$5:$K$521,13),'Calc (scoring engine)'!$K$5:$K$521,0))),""))</f>
        <v/>
      </c>
      <c r="AJ33" s="23">
        <f>IF(OR(13&gt;MAX(3,MIN(15,N($D$18))),IFERROR(LARGE('Calc (scoring engine)'!$K$5:$K$521,13),-999999)&lt;=-900000),"",IFERROR(IF(INDEX(Database!$AM$5:$AM$521,MATCH(LARGE('Calc (scoring engine)'!$K$5:$K$521,13),'Calc (scoring engine)'!$K$5:$K$521,0))="","—",INDEX(Database!$AM$5:$AM$521,MATCH(LARGE('Calc (scoring engine)'!$K$5:$K$521,13),'Calc (scoring engine)'!$K$5:$K$521,0))),""))</f>
        <v/>
      </c>
      <c r="AK33" s="23">
        <f>IF(OR(13&gt;MAX(3,MIN(15,N($D$18))),IFERROR(LARGE('Calc (scoring engine)'!$K$5:$K$521,13),-999999)&lt;=-900000),"",IFERROR(IF(INDEX(Database!$AN$5:$AN$521,MATCH(LARGE('Calc (scoring engine)'!$K$5:$K$521,13),'Calc (scoring engine)'!$K$5:$K$521,0))="","—",INDEX(Database!$AN$5:$AN$521,MATCH(LARGE('Calc (scoring engine)'!$K$5:$K$521,13),'Calc (scoring engine)'!$K$5:$K$521,0))),""))</f>
        <v/>
      </c>
      <c r="AL33" s="23">
        <f>IF(OR(13&gt;MAX(3,MIN(15,N($D$18))),IFERROR(LARGE('Calc (scoring engine)'!$K$5:$K$521,13),-999999)&lt;=-900000),"",IFERROR(IF(INDEX(Database!$AO$5:$AO$521,MATCH(LARGE('Calc (scoring engine)'!$K$5:$K$521,13),'Calc (scoring engine)'!$K$5:$K$521,0))="","—",INDEX(Database!$AO$5:$AO$521,MATCH(LARGE('Calc (scoring engine)'!$K$5:$K$521,13),'Calc (scoring engine)'!$K$5:$K$521,0))),""))</f>
        <v/>
      </c>
      <c r="AM33" s="23">
        <f>IF(OR(13&gt;MAX(3,MIN(15,N($D$18))),IFERROR(LARGE('Calc (scoring engine)'!$K$5:$K$521,13),-999999)&lt;=-900000),"",IFERROR(IF(INDEX(Database!$AP$5:$AP$521,MATCH(LARGE('Calc (scoring engine)'!$K$5:$K$521,13),'Calc (scoring engine)'!$K$5:$K$521,0))="","—",INDEX(Database!$AP$5:$AP$521,MATCH(LARGE('Calc (scoring engine)'!$K$5:$K$521,13),'Calc (scoring engine)'!$K$5:$K$521,0))),""))</f>
        <v/>
      </c>
      <c r="AN33" s="23">
        <f>IF(OR(13&gt;MAX(3,MIN(15,N($D$18))),IFERROR(LARGE('Calc (scoring engine)'!$K$5:$K$521,13),-999999)&lt;=-900000),"",IFERROR(IF(INDEX(Database!$AQ$5:$AQ$521,MATCH(LARGE('Calc (scoring engine)'!$K$5:$K$521,13),'Calc (scoring engine)'!$K$5:$K$521,0))="","—",INDEX(Database!$AQ$5:$AQ$521,MATCH(LARGE('Calc (scoring engine)'!$K$5:$K$521,13),'Calc (scoring engine)'!$K$5:$K$521,0))),""))</f>
        <v/>
      </c>
      <c r="AO33" s="23">
        <f>IF(OR(13&gt;MAX(3,MIN(15,N($D$18))),IFERROR(LARGE('Calc (scoring engine)'!$K$5:$K$521,13),-999999)&lt;=-900000),"",IFERROR(IF(INDEX(Database!$AR$5:$AR$521,MATCH(LARGE('Calc (scoring engine)'!$K$5:$K$521,13),'Calc (scoring engine)'!$K$5:$K$521,0))="","—",INDEX(Database!$AR$5:$AR$521,MATCH(LARGE('Calc (scoring engine)'!$K$5:$K$521,13),'Calc (scoring engine)'!$K$5:$K$521,0))),""))</f>
        <v/>
      </c>
      <c r="AP33" s="23">
        <f>IF(OR(13&gt;MAX(3,MIN(15,N($D$18))),IFERROR(LARGE('Calc (scoring engine)'!$K$5:$K$521,13),-999999)&lt;=-900000),"",IFERROR(IF(INDEX(Database!$AS$5:$AS$521,MATCH(LARGE('Calc (scoring engine)'!$K$5:$K$521,13),'Calc (scoring engine)'!$K$5:$K$521,0))="","—",INDEX(Database!$AS$5:$AS$521,MATCH(LARGE('Calc (scoring engine)'!$K$5:$K$521,13),'Calc (scoring engine)'!$K$5:$K$521,0))),""))</f>
        <v/>
      </c>
      <c r="AQ33" s="23">
        <f>IF(OR(13&gt;MAX(3,MIN(15,N($D$18))),IFERROR(LARGE('Calc (scoring engine)'!$K$5:$K$521,13),-999999)&lt;=-900000),"",IFERROR(IF(INDEX(Database!$AT$5:$AT$521,MATCH(LARGE('Calc (scoring engine)'!$K$5:$K$521,13),'Calc (scoring engine)'!$K$5:$K$521,0))="","—",INDEX(Database!$AT$5:$AT$521,MATCH(LARGE('Calc (scoring engine)'!$K$5:$K$521,13),'Calc (scoring engine)'!$K$5:$K$521,0))),""))</f>
        <v/>
      </c>
      <c r="AR33" s="23">
        <f>IF(OR(13&gt;MAX(3,MIN(15,N($D$18))),IFERROR(LARGE('Calc (scoring engine)'!$K$5:$K$521,13),-999999)&lt;=-900000),"",IFERROR(IF(INDEX(Database!$AU$5:$AU$521,MATCH(LARGE('Calc (scoring engine)'!$K$5:$K$521,13),'Calc (scoring engine)'!$K$5:$K$521,0))="","—",INDEX(Database!$AU$5:$AU$521,MATCH(LARGE('Calc (scoring engine)'!$K$5:$K$521,13),'Calc (scoring engine)'!$K$5:$K$521,0))),""))</f>
        <v/>
      </c>
      <c r="AS33" s="23">
        <f>IF(OR(13&gt;MAX(3,MIN(15,N($D$18))),IFERROR(LARGE('Calc (scoring engine)'!$K$5:$K$521,13),-999999)&lt;=-900000),"",IFERROR(IF(INDEX(Database!$AW$5:$AW$521,MATCH(LARGE('Calc (scoring engine)'!$K$5:$K$521,13),'Calc (scoring engine)'!$K$5:$K$521,0))="","—",INDEX(Database!$AW$5:$AW$521,MATCH(LARGE('Calc (scoring engine)'!$K$5:$K$521,13),'Calc (scoring engine)'!$K$5:$K$521,0))),""))</f>
        <v/>
      </c>
      <c r="AT33" s="19">
        <f>IF(OR(13&gt;MAX(3,MIN(15,N($D$18))),IFERROR(LARGE('Calc (scoring engine)'!$K$5:$K$521,13),-999999)&lt;=-900000),"",IFERROR(IF(INDEX(Database!$AY$5:$AY$521,MATCH(LARGE('Calc (scoring engine)'!$K$5:$K$521,13),'Calc (scoring engine)'!$K$5:$K$521,0))="","—",INDEX(Database!$AY$5:$AY$521,MATCH(LARGE('Calc (scoring engine)'!$K$5:$K$521,13),'Calc (scoring engine)'!$K$5:$K$521,0))),""))</f>
        <v/>
      </c>
      <c r="AU33" s="19">
        <f>IF(OR(13&gt;MAX(3,MIN(15,N($D$18))),IFERROR(LARGE('Calc (scoring engine)'!$K$5:$K$521,13),-999999)&lt;=-900000),"",IFERROR(IF(INDEX(Database!$AZ$5:$AZ$521,MATCH(LARGE('Calc (scoring engine)'!$K$5:$K$521,13),'Calc (scoring engine)'!$K$5:$K$521,0))="","—",INDEX(Database!$AZ$5:$AZ$521,MATCH(LARGE('Calc (scoring engine)'!$K$5:$K$521,13),'Calc (scoring engine)'!$K$5:$K$521,0))),""))</f>
        <v/>
      </c>
      <c r="AV33" s="10">
        <f>IF(OR(13&gt;MAX(3,MIN(15,N($D$18))),IFERROR(LARGE('Calc (scoring engine)'!$K$5:$K$521,13),-999999)&lt;=-900000),"",IFERROR(IF(INDEX(Database!$BA$5:$BA$521,MATCH(LARGE('Calc (scoring engine)'!$K$5:$K$521,13),'Calc (scoring engine)'!$K$5:$K$521,0))="","—",INDEX(Database!$BA$5:$BA$521,MATCH(LARGE('Calc (scoring engine)'!$K$5:$K$521,13),'Calc (scoring engine)'!$K$5:$K$521,0))),""))</f>
        <v/>
      </c>
      <c r="AW33" s="24">
        <f>IF(OR(13&gt;MAX(3,MIN(15,N($D$18))),IFERROR(LARGE('Calc (scoring engine)'!$K$5:$K$521,13),-999999)&lt;=-900000),"",IFERROR(IF(N(INDEX(Database!$BB$5:$BB$521,MATCH(LARGE('Calc (scoring engine)'!$K$5:$K$521,13),'Calc (scoring engine)'!$K$5:$K$521,0)))&lt;=0,IF(INDEX(Database!$BA$5:$BA$521,MATCH(LARGE('Calc (scoring engine)'!$K$5:$K$521,13),'Calc (scoring engine)'!$K$5:$K$521,0))="N","n/m","—"),INDEX(Database!$BB$5:$BB$521,MATCH(LARGE('Calc (scoring engine)'!$K$5:$K$521,13),'Calc (scoring engine)'!$K$5:$K$521,0))),""))</f>
        <v/>
      </c>
      <c r="AX33" s="24">
        <f>IF(OR(13&gt;MAX(3,MIN(15,N($D$18))),IFERROR(LARGE('Calc (scoring engine)'!$K$5:$K$521,13),-999999)&lt;=-900000),"",IFERROR(IF(INDEX(Database!$BC$5:$BC$521,MATCH(LARGE('Calc (scoring engine)'!$K$5:$K$521,13),'Calc (scoring engine)'!$K$5:$K$521,0))="","—",INDEX(Database!$BC$5:$BC$521,MATCH(LARGE('Calc (scoring engine)'!$K$5:$K$521,13),'Calc (scoring engine)'!$K$5:$K$521,0))),""))</f>
        <v/>
      </c>
      <c r="AY33" s="24">
        <f>IF(OR(13&gt;MAX(3,MIN(15,N($D$18))),IFERROR(LARGE('Calc (scoring engine)'!$K$5:$K$521,13),-999999)&lt;=-900000),"",IFERROR(IF(INDEX(Database!$BD$5:$BD$521,MATCH(LARGE('Calc (scoring engine)'!$K$5:$K$521,13),'Calc (scoring engine)'!$K$5:$K$521,0))="","—",INDEX(Database!$BD$5:$BD$521,MATCH(LARGE('Calc (scoring engine)'!$K$5:$K$521,13),'Calc (scoring engine)'!$K$5:$K$521,0))),""))</f>
        <v/>
      </c>
      <c r="AZ33" s="24">
        <f>IF(OR(13&gt;MAX(3,MIN(15,N($D$18))),IFERROR(LARGE('Calc (scoring engine)'!$K$5:$K$521,13),-999999)&lt;=-900000),"",IFERROR(IF(INDEX(Database!$BE$5:$BE$521,MATCH(LARGE('Calc (scoring engine)'!$K$5:$K$521,13),'Calc (scoring engine)'!$K$5:$K$521,0))="","—",INDEX(Database!$BE$5:$BE$521,MATCH(LARGE('Calc (scoring engine)'!$K$5:$K$521,13),'Calc (scoring engine)'!$K$5:$K$521,0))),""))</f>
        <v/>
      </c>
      <c r="BA33" s="24">
        <f>IF(OR(13&gt;MAX(3,MIN(15,N($D$18))),IFERROR(LARGE('Calc (scoring engine)'!$K$5:$K$521,13),-999999)&lt;=-900000),"",IFERROR(IF(INDEX(Database!$BF$5:$BF$521,MATCH(LARGE('Calc (scoring engine)'!$K$5:$K$521,13),'Calc (scoring engine)'!$K$5:$K$521,0))="","—",INDEX(Database!$BF$5:$BF$521,MATCH(LARGE('Calc (scoring engine)'!$K$5:$K$521,13),'Calc (scoring engine)'!$K$5:$K$521,0))),""))</f>
        <v/>
      </c>
      <c r="BB33" s="24">
        <f>IF(OR(13&gt;MAX(3,MIN(15,N($D$18))),IFERROR(LARGE('Calc (scoring engine)'!$K$5:$K$521,13),-999999)&lt;=-900000),"",IFERROR(IFERROR(BDP(TEXT(INDEX(Database!$A$5:$A$521,MATCH(LARGE('Calc (scoring engine)'!$K$5:$K$521,13),'Calc (scoring engine)'!$K$5:$K$521,0)),"0")&amp;" HK Equity","PE_RATIO"),IF(INDEX(Database!$BD$5:$BD$521,MATCH(LARGE('Calc (scoring engine)'!$K$5:$K$521,13),'Calc (scoring engine)'!$K$5:$K$521,0))="","—",INDEX(Database!$BD$5:$BD$521,MATCH(LARGE('Calc (scoring engine)'!$K$5:$K$521,13),'Calc (scoring engine)'!$K$5:$K$521,0)))),""))</f>
        <v/>
      </c>
      <c r="BC33" s="24">
        <f>IF(OR(13&gt;MAX(3,MIN(15,N($D$18))),IFERROR(LARGE('Calc (scoring engine)'!$K$5:$K$521,13),-999999)&lt;=-900000),"",IFERROR(IFERROR(BDP(TEXT(INDEX(Database!$A$5:$A$521,MATCH(LARGE('Calc (scoring engine)'!$K$5:$K$521,13),'Calc (scoring engine)'!$K$5:$K$521,0)),"0")&amp;" HK Equity","PX_TO_SALES_RATIO"),IF(INDEX(Database!$BE$5:$BE$521,MATCH(LARGE('Calc (scoring engine)'!$K$5:$K$521,13),'Calc (scoring engine)'!$K$5:$K$521,0))="","—",INDEX(Database!$BE$5:$BE$521,MATCH(LARGE('Calc (scoring engine)'!$K$5:$K$521,13),'Calc (scoring engine)'!$K$5:$K$521,0)))),""))</f>
        <v/>
      </c>
      <c r="BD33" s="10">
        <f>IF(OR(13&gt;MAX(3,MIN(15,N($D$18))),IFERROR(LARGE('Calc (scoring engine)'!$K$5:$K$521,13),-999999)&lt;=-900000),"",IFERROR(IF(INDEX(Database!$BG$5:$BG$521,MATCH(LARGE('Calc (scoring engine)'!$K$5:$K$521,13),'Calc (scoring engine)'!$K$5:$K$521,0))="","—",INDEX(Database!$BG$5:$BG$521,MATCH(LARGE('Calc (scoring engine)'!$K$5:$K$521,13),'Calc (scoring engine)'!$K$5:$K$521,0))),""))</f>
        <v/>
      </c>
      <c r="BE33" s="10">
        <f>IF(OR(13&gt;MAX(3,MIN(15,N($D$18))),IFERROR(LARGE('Calc (scoring engine)'!$K$5:$K$521,13),-999999)&lt;=-900000),"",IFERROR(IF(INDEX(Database!$BH$5:$BH$521,MATCH(LARGE('Calc (scoring engine)'!$K$5:$K$521,13),'Calc (scoring engine)'!$K$5:$K$521,0))="","—",INDEX(Database!$BH$5:$BH$521,MATCH(LARGE('Calc (scoring engine)'!$K$5:$K$521,13),'Calc (scoring engine)'!$K$5:$K$521,0))),""))</f>
        <v/>
      </c>
      <c r="BF33" s="23">
        <f>IF(OR(13&gt;MAX(3,MIN(15,N($D$18))),IFERROR(LARGE('Calc (scoring engine)'!$K$5:$K$521,13),-999999)&lt;=-900000),"",IFERROR(IF(INDEX(Database!$BI$5:$BI$521,MATCH(LARGE('Calc (scoring engine)'!$K$5:$K$521,13),'Calc (scoring engine)'!$K$5:$K$521,0))="","—",INDEX(Database!$BI$5:$BI$521,MATCH(LARGE('Calc (scoring engine)'!$K$5:$K$521,13),'Calc (scoring engine)'!$K$5:$K$521,0))),""))</f>
        <v/>
      </c>
      <c r="BG33" s="50">
        <f>IF(OR(13&gt;MAX(3,MIN(15,N($D$18))),IFERROR(LARGE('Calc (scoring engine)'!$K$5:$K$521,13),-999999)&lt;=-900000),"",IFERROR(IF(INDEX(Database!$BJ$5:$BJ$521,MATCH(LARGE('Calc (scoring engine)'!$K$5:$K$521,13),'Calc (scoring engine)'!$K$5:$K$521,0))="","—",INDEX(Database!$BJ$5:$BJ$521,MATCH(LARGE('Calc (scoring engine)'!$K$5:$K$521,13),'Calc (scoring engine)'!$K$5:$K$521,0))),""))</f>
        <v/>
      </c>
      <c r="BH33" s="53">
        <f>IF(OR(13&gt;MAX(3,MIN(15,N($D$18))),IFERROR(LARGE('Calc (scoring engine)'!$K$5:$K$521,13),-999999)&lt;=-900000),"",IFERROR(IF(INDEX(Database!$BK$5:$BK$521,MATCH(LARGE('Calc (scoring engine)'!$K$5:$K$521,13),'Calc (scoring engine)'!$K$5:$K$521,0))="","—",INDEX(Database!$BK$5:$BK$521,MATCH(LARGE('Calc (scoring engine)'!$K$5:$K$521,13),'Calc (scoring engine)'!$K$5:$K$521,0))),""))</f>
        <v/>
      </c>
      <c r="BI33" s="19">
        <f>IF(OR(13&gt;MAX(3,MIN(15,N($D$18))),IFERROR(LARGE('Calc (scoring engine)'!$K$5:$K$521,13),-999999)&lt;=-900000),"",IFERROR(IF(INDEX(Database!$BL$5:$BL$521,MATCH(LARGE('Calc (scoring engine)'!$K$5:$K$521,13),'Calc (scoring engine)'!$K$5:$K$521,0))="","—",INDEX(Database!$BL$5:$BL$521,MATCH(LARGE('Calc (scoring engine)'!$K$5:$K$521,13),'Calc (scoring engine)'!$K$5:$K$521,0))),""))</f>
        <v/>
      </c>
      <c r="BJ33" s="24">
        <f>IF(OR(13&gt;MAX(3,MIN(15,N($D$18))),IFERROR(LARGE('Calc (scoring engine)'!$K$5:$K$521,13),-999999)&lt;=-900000),"",IFERROR(IF(INDEX(Database!$BM$5:$BM$521,MATCH(LARGE('Calc (scoring engine)'!$K$5:$K$521,13),'Calc (scoring engine)'!$K$5:$K$521,0))="","—",INDEX(Database!$BM$5:$BM$521,MATCH(LARGE('Calc (scoring engine)'!$K$5:$K$521,13),'Calc (scoring engine)'!$K$5:$K$521,0))),""))</f>
        <v/>
      </c>
      <c r="BK33" s="24">
        <f>IF(OR(13&gt;MAX(3,MIN(15,N($D$18))),IFERROR(LARGE('Calc (scoring engine)'!$K$5:$K$521,13),-999999)&lt;=-900000),"",IFERROR(IF(INDEX(Database!$BN$5:$BN$521,MATCH(LARGE('Calc (scoring engine)'!$K$5:$K$521,13),'Calc (scoring engine)'!$K$5:$K$521,0))="","—",INDEX(Database!$BN$5:$BN$521,MATCH(LARGE('Calc (scoring engine)'!$K$5:$K$521,13),'Calc (scoring engine)'!$K$5:$K$521,0))),""))</f>
        <v/>
      </c>
      <c r="BL33" s="10">
        <f>IF(OR(13&gt;MAX(3,MIN(15,N($D$18))),IFERROR(LARGE('Calc (scoring engine)'!$K$5:$K$521,13),-999999)&lt;=-900000),"",IFERROR(IF(INDEX(Database!$BO$5:$BO$521,MATCH(LARGE('Calc (scoring engine)'!$K$5:$K$521,13),'Calc (scoring engine)'!$K$5:$K$521,0))="","—",INDEX(Database!$BO$5:$BO$521,MATCH(LARGE('Calc (scoring engine)'!$K$5:$K$521,13),'Calc (scoring engine)'!$K$5:$K$521,0))),""))</f>
        <v/>
      </c>
      <c r="BM33" s="10">
        <f>IF(OR(13&gt;MAX(3,MIN(15,N($D$18))),IFERROR(LARGE('Calc (scoring engine)'!$K$5:$K$521,13),-999999)&lt;=-900000),"",IFERROR(IF(INDEX(Database!$BQ$5:$BQ$521,MATCH(LARGE('Calc (scoring engine)'!$K$5:$K$521,13),'Calc (scoring engine)'!$K$5:$K$521,0))="","—",INDEX(Database!$BQ$5:$BQ$521,MATCH(LARGE('Calc (scoring engine)'!$K$5:$K$521,13),'Calc (scoring engine)'!$K$5:$K$521,0))),""))</f>
        <v/>
      </c>
      <c r="BN33" s="54">
        <f>IF(OR(13&gt;MAX(3,MIN(15,N($D$18))),IFERROR(LARGE('Calc (scoring engine)'!$K$5:$K$521,13),-999999)&lt;=-900000),"",IFERROR(IF(INDEX('Calc (scoring engine)'!$H$5:$H$521,MATCH(LARGE('Calc (scoring engine)'!$K$5:$K$521,13),'Calc (scoring engine)'!$K$5:$K$521,0))&gt;0,INDEX('Calc (scoring engine)'!$H$5:$H$521,MATCH(LARGE('Calc (scoring engine)'!$K$5:$K$521,13),'Calc (scoring engine)'!$K$5:$K$521,0)),""),""))</f>
        <v/>
      </c>
      <c r="BO33" s="10">
        <f>IF(OR(13&gt;MAX(3,MIN(15,N($D$18))),IFERROR(LARGE('Calc (scoring engine)'!$K$5:$K$521,13),-999999)&lt;=-900000),"",IF(IFERROR(INDEX('Calc (scoring engine)'!$B$5:$B$521,MATCH(LARGE('Calc (scoring engine)'!$K$5:$K$521,13),'Calc (scoring engine)'!$K$5:$K$521,0)),0)=1,"same subsector","sector only"))</f>
        <v/>
      </c>
      <c r="BP33" s="54">
        <f>IF(OR(13&gt;MAX(3,MIN(15,N($D$18))),IFERROR(LARGE('Calc (scoring engine)'!$K$5:$K$521,13),-999999)&lt;=-900000),"",ROUND(IFERROR(LARGE('Calc (scoring engine)'!$K$5:$K$521,13),0),0))</f>
        <v/>
      </c>
      <c r="BQ33" s="10">
        <f>IF(OR(13&gt;MAX(3,MIN(15,N($D$18))),IFERROR(LARGE('Calc (scoring engine)'!$K$5:$K$521,13),-999999)&lt;=-900000),"",IFERROR("sub "&amp;INDEX('Calc (scoring engine)'!$B$5:$B$521,MATCH(LARGE('Calc (scoring engine)'!$K$5:$K$521,13),'Calc (scoring engine)'!$K$5:$K$521,0))*W_SUB&amp;" + size "&amp;ROUND(INDEX('Calc (scoring engine)'!$D$5:$D$521,MATCH(LARGE('Calc (scoring engine)'!$K$5:$K$521,13),'Calc (scoring engine)'!$K$5:$K$521,0))*W_SIZE,0)&amp;" + prof "&amp;INDEX('Calc (scoring engine)'!$E$5:$E$521,MATCH(LARGE('Calc (scoring engine)'!$K$5:$K$521,13),'Calc (scoring engine)'!$K$5:$K$521,0))*W_PROF&amp;" + recency "&amp;ROUND(INDEX('Calc (scoring engine)'!$G$5:$G$521,MATCH(LARGE('Calc (scoring engine)'!$K$5:$K$521,13),'Calc (scoring engine)'!$K$5:$K$521,0))*W_REC,0)&amp;IF(INDEX('Calc (scoring engine)'!$H$5:$H$521,MATCH(LARGE('Calc (scoring engine)'!$K$5:$K$521,13),'Calc (scoring engine)'!$K$5:$K$521,0))&gt;0," + shared CS x"&amp;INDEX('Calc (scoring engine)'!$H$5:$H$521,MATCH(LARGE('Calc (scoring engine)'!$K$5:$K$521,13),'Calc (scoring engine)'!$K$5:$K$521,0)),""),""))</f>
        <v/>
      </c>
    </row>
    <row r="34">
      <c r="A34" s="48">
        <f>IF(OR(14&gt;MAX(3,MIN(15,N($D$18))),IFERROR(LARGE('Calc (scoring engine)'!$K$5:$K$521,14),-999999)&lt;=-900000),"",14)</f>
        <v/>
      </c>
      <c r="B34" s="10">
        <f>IF(OR(14&gt;MAX(3,MIN(15,N($D$18))),IFERROR(LARGE('Calc (scoring engine)'!$K$5:$K$521,14),-999999)&lt;=-900000),"",IFERROR(IF(INDEX(Database!$B$5:$B$521,MATCH(LARGE('Calc (scoring engine)'!$K$5:$K$521,14),'Calc (scoring engine)'!$K$5:$K$521,0))="","—",INDEX(Database!$B$5:$B$521,MATCH(LARGE('Calc (scoring engine)'!$K$5:$K$521,14),'Calc (scoring engine)'!$K$5:$K$521,0))),""))</f>
        <v/>
      </c>
      <c r="C34" s="49">
        <f>IF(OR(14&gt;MAX(3,MIN(15,N($D$18))),IFERROR(LARGE('Calc (scoring engine)'!$K$5:$K$521,14),-999999)&lt;=-900000),"",IFERROR(IF(INDEX(Database!$A$5:$A$521,MATCH(LARGE('Calc (scoring engine)'!$K$5:$K$521,14),'Calc (scoring engine)'!$K$5:$K$521,0))="","—",INDEX(Database!$A$5:$A$521,MATCH(LARGE('Calc (scoring engine)'!$K$5:$K$521,14),'Calc (scoring engine)'!$K$5:$K$521,0))),""))</f>
        <v/>
      </c>
      <c r="D34" s="10">
        <f>IF(OR(14&gt;MAX(3,MIN(15,N($D$18))),IFERROR(LARGE('Calc (scoring engine)'!$K$5:$K$521,14),-999999)&lt;=-900000),"",IFERROR(IF(INDEX(Database!$D$5:$D$521,MATCH(LARGE('Calc (scoring engine)'!$K$5:$K$521,14),'Calc (scoring engine)'!$K$5:$K$521,0))="","—",INDEX(Database!$D$5:$D$521,MATCH(LARGE('Calc (scoring engine)'!$K$5:$K$521,14),'Calc (scoring engine)'!$K$5:$K$521,0))),""))</f>
        <v/>
      </c>
      <c r="E34" s="10">
        <f>IF(OR(14&gt;MAX(3,MIN(15,N($D$18))),IFERROR(LARGE('Calc (scoring engine)'!$K$5:$K$521,14),-999999)&lt;=-900000),"",IFERROR(IF(INDEX(Database!$E$5:$E$521,MATCH(LARGE('Calc (scoring engine)'!$K$5:$K$521,14),'Calc (scoring engine)'!$K$5:$K$521,0))="","—",INDEX(Database!$E$5:$E$521,MATCH(LARGE('Calc (scoring engine)'!$K$5:$K$521,14),'Calc (scoring engine)'!$K$5:$K$521,0))),""))</f>
        <v/>
      </c>
      <c r="F34" s="10">
        <f>IF(OR(14&gt;MAX(3,MIN(15,N($D$18))),IFERROR(LARGE('Calc (scoring engine)'!$K$5:$K$521,14),-999999)&lt;=-900000),"",IFERROR(IF(INDEX(Database!$F$5:$F$521,MATCH(LARGE('Calc (scoring engine)'!$K$5:$K$521,14),'Calc (scoring engine)'!$K$5:$K$521,0))="","—",INDEX(Database!$F$5:$F$521,MATCH(LARGE('Calc (scoring engine)'!$K$5:$K$521,14),'Calc (scoring engine)'!$K$5:$K$521,0))),""))</f>
        <v/>
      </c>
      <c r="G34" s="10">
        <f>IF(OR(14&gt;MAX(3,MIN(15,N($D$18))),IFERROR(LARGE('Calc (scoring engine)'!$K$5:$K$521,14),-999999)&lt;=-900000),"",IFERROR(IF(INDEX(Database!$G$5:$G$521,MATCH(LARGE('Calc (scoring engine)'!$K$5:$K$521,14),'Calc (scoring engine)'!$K$5:$K$521,0))="","—",INDEX(Database!$G$5:$G$521,MATCH(LARGE('Calc (scoring engine)'!$K$5:$K$521,14),'Calc (scoring engine)'!$K$5:$K$521,0))),""))</f>
        <v/>
      </c>
      <c r="H34" s="21">
        <f>IF(OR(14&gt;MAX(3,MIN(15,N($D$18))),IFERROR(LARGE('Calc (scoring engine)'!$K$5:$K$521,14),-999999)&lt;=-900000),"",IFERROR(IF(INDEX(Database!$H$5:$H$521,MATCH(LARGE('Calc (scoring engine)'!$K$5:$K$521,14),'Calc (scoring engine)'!$K$5:$K$521,0))="","—",INDEX(Database!$H$5:$H$521,MATCH(LARGE('Calc (scoring engine)'!$K$5:$K$521,14),'Calc (scoring engine)'!$K$5:$K$521,0))),""))</f>
        <v/>
      </c>
      <c r="I34" s="19">
        <f>IF(OR(14&gt;MAX(3,MIN(15,N($D$18))),IFERROR(LARGE('Calc (scoring engine)'!$K$5:$K$521,14),-999999)&lt;=-900000),"",IFERROR(IF(INDEX(Database!$I$5:$I$521,MATCH(LARGE('Calc (scoring engine)'!$K$5:$K$521,14),'Calc (scoring engine)'!$K$5:$K$521,0))="","—",INDEX(Database!$I$5:$I$521,MATCH(LARGE('Calc (scoring engine)'!$K$5:$K$521,14),'Calc (scoring engine)'!$K$5:$K$521,0))),""))</f>
        <v/>
      </c>
      <c r="J34" s="50">
        <f>IF(OR(14&gt;MAX(3,MIN(15,N($D$18))),IFERROR(LARGE('Calc (scoring engine)'!$K$5:$K$521,14),-999999)&lt;=-900000),"",IFERROR(IF(INDEX(Database!$K$5:$K$521,MATCH(LARGE('Calc (scoring engine)'!$K$5:$K$521,14),'Calc (scoring engine)'!$K$5:$K$521,0))="","—",INDEX(Database!$K$5:$K$521,MATCH(LARGE('Calc (scoring engine)'!$K$5:$K$521,14),'Calc (scoring engine)'!$K$5:$K$521,0))),""))</f>
        <v/>
      </c>
      <c r="K34" s="50">
        <f>IF(OR(14&gt;MAX(3,MIN(15,N($D$18))),IFERROR(LARGE('Calc (scoring engine)'!$K$5:$K$521,14),-999999)&lt;=-900000),"",IFERROR(IF(INDEX(Database!$L$5:$L$521,MATCH(LARGE('Calc (scoring engine)'!$K$5:$K$521,14),'Calc (scoring engine)'!$K$5:$K$521,0))="","—",INDEX(Database!$L$5:$L$521,MATCH(LARGE('Calc (scoring engine)'!$K$5:$K$521,14),'Calc (scoring engine)'!$K$5:$K$521,0))),""))</f>
        <v/>
      </c>
      <c r="L34" s="50">
        <f>IF(OR(14&gt;MAX(3,MIN(15,N($D$18))),IFERROR(LARGE('Calc (scoring engine)'!$K$5:$K$521,14),-999999)&lt;=-900000),"",IFERROR(IF(INDEX(Database!$M$5:$M$521,MATCH(LARGE('Calc (scoring engine)'!$K$5:$K$521,14),'Calc (scoring engine)'!$K$5:$K$521,0))="","—",INDEX(Database!$M$5:$M$521,MATCH(LARGE('Calc (scoring engine)'!$K$5:$K$521,14),'Calc (scoring engine)'!$K$5:$K$521,0))),""))</f>
        <v/>
      </c>
      <c r="M34" s="10">
        <f>IF(OR(14&gt;MAX(3,MIN(15,N($D$18))),IFERROR(LARGE('Calc (scoring engine)'!$K$5:$K$521,14),-999999)&lt;=-900000),"",IFERROR(IF(INDEX(Database!$N$5:$N$521,MATCH(LARGE('Calc (scoring engine)'!$K$5:$K$521,14),'Calc (scoring engine)'!$K$5:$K$521,0))="","—",INDEX(Database!$N$5:$N$521,MATCH(LARGE('Calc (scoring engine)'!$K$5:$K$521,14),'Calc (scoring engine)'!$K$5:$K$521,0))),""))</f>
        <v/>
      </c>
      <c r="N34" s="31">
        <f>IF(OR(14&gt;MAX(3,MIN(15,N($D$18))),IFERROR(LARGE('Calc (scoring engine)'!$K$5:$K$521,14),-999999)&lt;=-900000),"",IFERROR(IF(INDEX(Database!$O$5:$O$521,MATCH(LARGE('Calc (scoring engine)'!$K$5:$K$521,14),'Calc (scoring engine)'!$K$5:$K$521,0))="","—",INDEX(Database!$O$5:$O$521,MATCH(LARGE('Calc (scoring engine)'!$K$5:$K$521,14),'Calc (scoring engine)'!$K$5:$K$521,0))),""))</f>
        <v/>
      </c>
      <c r="O34" s="31">
        <f>IF(OR(14&gt;MAX(3,MIN(15,N($D$18))),IFERROR(LARGE('Calc (scoring engine)'!$K$5:$K$521,14),-999999)&lt;=-900000),"",IFERROR(IF(INDEX(Database!$P$5:$P$521,MATCH(LARGE('Calc (scoring engine)'!$K$5:$K$521,14),'Calc (scoring engine)'!$K$5:$K$521,0))="","—",INDEX(Database!$P$5:$P$521,MATCH(LARGE('Calc (scoring engine)'!$K$5:$K$521,14),'Calc (scoring engine)'!$K$5:$K$521,0))),""))</f>
        <v/>
      </c>
      <c r="P34" s="19">
        <f>IF(OR(14&gt;MAX(3,MIN(15,N($D$18))),IFERROR(LARGE('Calc (scoring engine)'!$K$5:$K$521,14),-999999)&lt;=-900000),"",IFERROR(IF(INDEX(Database!$Q$5:$Q$521,MATCH(LARGE('Calc (scoring engine)'!$K$5:$K$521,14),'Calc (scoring engine)'!$K$5:$K$521,0))="","—",INDEX(Database!$Q$5:$Q$521,MATCH(LARGE('Calc (scoring engine)'!$K$5:$K$521,14),'Calc (scoring engine)'!$K$5:$K$521,0))),""))</f>
        <v/>
      </c>
      <c r="Q34" s="26">
        <f>IF(OR(14&gt;MAX(3,MIN(15,N($D$18))),IFERROR(LARGE('Calc (scoring engine)'!$K$5:$K$521,14),-999999)&lt;=-900000),"",IFERROR(IF(INDEX(Database!$S$5:$S$521,MATCH(LARGE('Calc (scoring engine)'!$K$5:$K$521,14),'Calc (scoring engine)'!$K$5:$K$521,0))="","—",INDEX(Database!$S$5:$S$521,MATCH(LARGE('Calc (scoring engine)'!$K$5:$K$521,14),'Calc (scoring engine)'!$K$5:$K$521,0))),""))</f>
        <v/>
      </c>
      <c r="R34" s="51">
        <f>IF(OR(14&gt;MAX(3,MIN(15,N($D$18))),IFERROR(LARGE('Calc (scoring engine)'!$K$5:$K$521,14),-999999)&lt;=-900000),"",IFERROR(IF(INDEX(Database!$T$5:$T$521,MATCH(LARGE('Calc (scoring engine)'!$K$5:$K$521,14),'Calc (scoring engine)'!$K$5:$K$521,0))="","—",INDEX(Database!$T$5:$T$521,MATCH(LARGE('Calc (scoring engine)'!$K$5:$K$521,14),'Calc (scoring engine)'!$K$5:$K$521,0))),""))</f>
        <v/>
      </c>
      <c r="S34" s="52">
        <f>IF(OR(14&gt;MAX(3,MIN(15,N($D$18))),IFERROR(LARGE('Calc (scoring engine)'!$K$5:$K$521,14),-999999)&lt;=-900000),"",IFERROR(IF(INDEX(Database!$U$5:$U$521,MATCH(LARGE('Calc (scoring engine)'!$K$5:$K$521,14),'Calc (scoring engine)'!$K$5:$K$521,0))="","—",INDEX(Database!$U$5:$U$521,MATCH(LARGE('Calc (scoring engine)'!$K$5:$K$521,14),'Calc (scoring engine)'!$K$5:$K$521,0))),""))</f>
        <v/>
      </c>
      <c r="T34" s="19">
        <f>IF(OR(14&gt;MAX(3,MIN(15,N($D$18))),IFERROR(LARGE('Calc (scoring engine)'!$K$5:$K$521,14),-999999)&lt;=-900000),"",IFERROR(IF(INDEX(Database!$V$5:$V$521,MATCH(LARGE('Calc (scoring engine)'!$K$5:$K$521,14),'Calc (scoring engine)'!$K$5:$K$521,0))="","—",INDEX(Database!$V$5:$V$521,MATCH(LARGE('Calc (scoring engine)'!$K$5:$K$521,14),'Calc (scoring engine)'!$K$5:$K$521,0))),""))</f>
        <v/>
      </c>
      <c r="U34" s="19">
        <f>IF(OR(14&gt;MAX(3,MIN(15,N($D$18))),IFERROR(LARGE('Calc (scoring engine)'!$K$5:$K$521,14),-999999)&lt;=-900000),"",IFERROR(IF(INDEX(Database!$W$5:$W$521,MATCH(LARGE('Calc (scoring engine)'!$K$5:$K$521,14),'Calc (scoring engine)'!$K$5:$K$521,0))="","—",INDEX(Database!$W$5:$W$521,MATCH(LARGE('Calc (scoring engine)'!$K$5:$K$521,14),'Calc (scoring engine)'!$K$5:$K$521,0))),""))</f>
        <v/>
      </c>
      <c r="V34" s="31">
        <f>IF(OR(14&gt;MAX(3,MIN(15,N($D$18))),IFERROR(LARGE('Calc (scoring engine)'!$K$5:$K$521,14),-999999)&lt;=-900000),"",IFERROR(IF(INDEX(Database!$X$5:$X$521,MATCH(LARGE('Calc (scoring engine)'!$K$5:$K$521,14),'Calc (scoring engine)'!$K$5:$K$521,0))="","—",INDEX(Database!$X$5:$X$521,MATCH(LARGE('Calc (scoring engine)'!$K$5:$K$521,14),'Calc (scoring engine)'!$K$5:$K$521,0))),""))</f>
        <v/>
      </c>
      <c r="W34" s="10">
        <f>IF(OR(14&gt;MAX(3,MIN(15,N($D$18))),IFERROR(LARGE('Calc (scoring engine)'!$K$5:$K$521,14),-999999)&lt;=-900000),"",IFERROR(IF(INDEX(Database!$Y$5:$Y$521,MATCH(LARGE('Calc (scoring engine)'!$K$5:$K$521,14),'Calc (scoring engine)'!$K$5:$K$521,0))="","—",INDEX(Database!$Y$5:$Y$521,MATCH(LARGE('Calc (scoring engine)'!$K$5:$K$521,14),'Calc (scoring engine)'!$K$5:$K$521,0))),""))</f>
        <v/>
      </c>
      <c r="X34" s="31">
        <f>IF(OR(14&gt;MAX(3,MIN(15,N($D$18))),IFERROR(LARGE('Calc (scoring engine)'!$K$5:$K$521,14),-999999)&lt;=-900000),"",IFERROR(IF(INDEX(Database!$AA$5:$AA$521,MATCH(LARGE('Calc (scoring engine)'!$K$5:$K$521,14),'Calc (scoring engine)'!$K$5:$K$521,0))="","—",INDEX(Database!$AA$5:$AA$521,MATCH(LARGE('Calc (scoring engine)'!$K$5:$K$521,14),'Calc (scoring engine)'!$K$5:$K$521,0))),""))</f>
        <v/>
      </c>
      <c r="Y34" s="10">
        <f>IF(OR(14&gt;MAX(3,MIN(15,N($D$18))),IFERROR(LARGE('Calc (scoring engine)'!$K$5:$K$521,14),-999999)&lt;=-900000),"",IFERROR(IF(INDEX(Database!$AB$5:$AB$521,MATCH(LARGE('Calc (scoring engine)'!$K$5:$K$521,14),'Calc (scoring engine)'!$K$5:$K$521,0))="","—",INDEX(Database!$AB$5:$AB$521,MATCH(LARGE('Calc (scoring engine)'!$K$5:$K$521,14),'Calc (scoring engine)'!$K$5:$K$521,0))),""))</f>
        <v/>
      </c>
      <c r="Z34" s="10">
        <f>IF(OR(14&gt;MAX(3,MIN(15,N($D$18))),IFERROR(LARGE('Calc (scoring engine)'!$K$5:$K$521,14),-999999)&lt;=-900000),"",IFERROR(IF(INDEX(Database!$AC$5:$AC$521,MATCH(LARGE('Calc (scoring engine)'!$K$5:$K$521,14),'Calc (scoring engine)'!$K$5:$K$521,0))="","—",INDEX(Database!$AC$5:$AC$521,MATCH(LARGE('Calc (scoring engine)'!$K$5:$K$521,14),'Calc (scoring engine)'!$K$5:$K$521,0))),""))</f>
        <v/>
      </c>
      <c r="AA34" s="10">
        <f>IF(OR(14&gt;MAX(3,MIN(15,N($D$18))),IFERROR(LARGE('Calc (scoring engine)'!$K$5:$K$521,14),-999999)&lt;=-900000),"",IFERROR(IF(INDEX(Database!$AD$5:$AD$521,MATCH(LARGE('Calc (scoring engine)'!$K$5:$K$521,14),'Calc (scoring engine)'!$K$5:$K$521,0))="","—",INDEX(Database!$AD$5:$AD$521,MATCH(LARGE('Calc (scoring engine)'!$K$5:$K$521,14),'Calc (scoring engine)'!$K$5:$K$521,0))),""))</f>
        <v/>
      </c>
      <c r="AB34" s="10">
        <f>IF(OR(14&gt;MAX(3,MIN(15,N($D$18))),IFERROR(LARGE('Calc (scoring engine)'!$K$5:$K$521,14),-999999)&lt;=-900000),"",IFERROR(IF(INDEX(Database!$AE$5:$AE$521,MATCH(LARGE('Calc (scoring engine)'!$K$5:$K$521,14),'Calc (scoring engine)'!$K$5:$K$521,0))="","—",INDEX(Database!$AE$5:$AE$521,MATCH(LARGE('Calc (scoring engine)'!$K$5:$K$521,14),'Calc (scoring engine)'!$K$5:$K$521,0))),""))</f>
        <v/>
      </c>
      <c r="AC34" s="23">
        <f>IF(OR(14&gt;MAX(3,MIN(15,N($D$18))),IFERROR(LARGE('Calc (scoring engine)'!$K$5:$K$521,14),-999999)&lt;=-900000),"",IFERROR(IF(INDEX(Database!$AF$5:$AF$521,MATCH(LARGE('Calc (scoring engine)'!$K$5:$K$521,14),'Calc (scoring engine)'!$K$5:$K$521,0))="","—",INDEX(Database!$AF$5:$AF$521,MATCH(LARGE('Calc (scoring engine)'!$K$5:$K$521,14),'Calc (scoring engine)'!$K$5:$K$521,0))),""))</f>
        <v/>
      </c>
      <c r="AD34" s="23">
        <f>IF(OR(14&gt;MAX(3,MIN(15,N($D$18))),IFERROR(LARGE('Calc (scoring engine)'!$K$5:$K$521,14),-999999)&lt;=-900000),"",IFERROR(IF(INDEX(Database!$AG$5:$AG$521,MATCH(LARGE('Calc (scoring engine)'!$K$5:$K$521,14),'Calc (scoring engine)'!$K$5:$K$521,0))="","—",INDEX(Database!$AG$5:$AG$521,MATCH(LARGE('Calc (scoring engine)'!$K$5:$K$521,14),'Calc (scoring engine)'!$K$5:$K$521,0))),""))</f>
        <v/>
      </c>
      <c r="AE34" s="23">
        <f>IF(OR(14&gt;MAX(3,MIN(15,N($D$18))),IFERROR(LARGE('Calc (scoring engine)'!$K$5:$K$521,14),-999999)&lt;=-900000),"",IFERROR(IF(INDEX(Database!$AH$5:$AH$521,MATCH(LARGE('Calc (scoring engine)'!$K$5:$K$521,14),'Calc (scoring engine)'!$K$5:$K$521,0))="","—",INDEX(Database!$AH$5:$AH$521,MATCH(LARGE('Calc (scoring engine)'!$K$5:$K$521,14),'Calc (scoring engine)'!$K$5:$K$521,0))),""))</f>
        <v/>
      </c>
      <c r="AF34" s="23">
        <f>IF(OR(14&gt;MAX(3,MIN(15,N($D$18))),IFERROR(LARGE('Calc (scoring engine)'!$K$5:$K$521,14),-999999)&lt;=-900000),"",IFERROR(IF(INDEX(Database!$AI$5:$AI$521,MATCH(LARGE('Calc (scoring engine)'!$K$5:$K$521,14),'Calc (scoring engine)'!$K$5:$K$521,0))="","—",INDEX(Database!$AI$5:$AI$521,MATCH(LARGE('Calc (scoring engine)'!$K$5:$K$521,14),'Calc (scoring engine)'!$K$5:$K$521,0))),""))</f>
        <v/>
      </c>
      <c r="AG34" s="23">
        <f>IF(OR(14&gt;MAX(3,MIN(15,N($D$18))),IFERROR(LARGE('Calc (scoring engine)'!$K$5:$K$521,14),-999999)&lt;=-900000),"",IFERROR(IF(INDEX(Database!$AJ$5:$AJ$521,MATCH(LARGE('Calc (scoring engine)'!$K$5:$K$521,14),'Calc (scoring engine)'!$K$5:$K$521,0))="","—",INDEX(Database!$AJ$5:$AJ$521,MATCH(LARGE('Calc (scoring engine)'!$K$5:$K$521,14),'Calc (scoring engine)'!$K$5:$K$521,0))),""))</f>
        <v/>
      </c>
      <c r="AH34" s="23">
        <f>IF(OR(14&gt;MAX(3,MIN(15,N($D$18))),IFERROR(LARGE('Calc (scoring engine)'!$K$5:$K$521,14),-999999)&lt;=-900000),"",IFERROR(IF(INDEX(Database!$AK$5:$AK$521,MATCH(LARGE('Calc (scoring engine)'!$K$5:$K$521,14),'Calc (scoring engine)'!$K$5:$K$521,0))="","—",INDEX(Database!$AK$5:$AK$521,MATCH(LARGE('Calc (scoring engine)'!$K$5:$K$521,14),'Calc (scoring engine)'!$K$5:$K$521,0))),""))</f>
        <v/>
      </c>
      <c r="AI34" s="23">
        <f>IF(OR(14&gt;MAX(3,MIN(15,N($D$18))),IFERROR(LARGE('Calc (scoring engine)'!$K$5:$K$521,14),-999999)&lt;=-900000),"",IFERROR(IF(INDEX(Database!$AL$5:$AL$521,MATCH(LARGE('Calc (scoring engine)'!$K$5:$K$521,14),'Calc (scoring engine)'!$K$5:$K$521,0))="","—",INDEX(Database!$AL$5:$AL$521,MATCH(LARGE('Calc (scoring engine)'!$K$5:$K$521,14),'Calc (scoring engine)'!$K$5:$K$521,0))),""))</f>
        <v/>
      </c>
      <c r="AJ34" s="23">
        <f>IF(OR(14&gt;MAX(3,MIN(15,N($D$18))),IFERROR(LARGE('Calc (scoring engine)'!$K$5:$K$521,14),-999999)&lt;=-900000),"",IFERROR(IF(INDEX(Database!$AM$5:$AM$521,MATCH(LARGE('Calc (scoring engine)'!$K$5:$K$521,14),'Calc (scoring engine)'!$K$5:$K$521,0))="","—",INDEX(Database!$AM$5:$AM$521,MATCH(LARGE('Calc (scoring engine)'!$K$5:$K$521,14),'Calc (scoring engine)'!$K$5:$K$521,0))),""))</f>
        <v/>
      </c>
      <c r="AK34" s="23">
        <f>IF(OR(14&gt;MAX(3,MIN(15,N($D$18))),IFERROR(LARGE('Calc (scoring engine)'!$K$5:$K$521,14),-999999)&lt;=-900000),"",IFERROR(IF(INDEX(Database!$AN$5:$AN$521,MATCH(LARGE('Calc (scoring engine)'!$K$5:$K$521,14),'Calc (scoring engine)'!$K$5:$K$521,0))="","—",INDEX(Database!$AN$5:$AN$521,MATCH(LARGE('Calc (scoring engine)'!$K$5:$K$521,14),'Calc (scoring engine)'!$K$5:$K$521,0))),""))</f>
        <v/>
      </c>
      <c r="AL34" s="23">
        <f>IF(OR(14&gt;MAX(3,MIN(15,N($D$18))),IFERROR(LARGE('Calc (scoring engine)'!$K$5:$K$521,14),-999999)&lt;=-900000),"",IFERROR(IF(INDEX(Database!$AO$5:$AO$521,MATCH(LARGE('Calc (scoring engine)'!$K$5:$K$521,14),'Calc (scoring engine)'!$K$5:$K$521,0))="","—",INDEX(Database!$AO$5:$AO$521,MATCH(LARGE('Calc (scoring engine)'!$K$5:$K$521,14),'Calc (scoring engine)'!$K$5:$K$521,0))),""))</f>
        <v/>
      </c>
      <c r="AM34" s="23">
        <f>IF(OR(14&gt;MAX(3,MIN(15,N($D$18))),IFERROR(LARGE('Calc (scoring engine)'!$K$5:$K$521,14),-999999)&lt;=-900000),"",IFERROR(IF(INDEX(Database!$AP$5:$AP$521,MATCH(LARGE('Calc (scoring engine)'!$K$5:$K$521,14),'Calc (scoring engine)'!$K$5:$K$521,0))="","—",INDEX(Database!$AP$5:$AP$521,MATCH(LARGE('Calc (scoring engine)'!$K$5:$K$521,14),'Calc (scoring engine)'!$K$5:$K$521,0))),""))</f>
        <v/>
      </c>
      <c r="AN34" s="23">
        <f>IF(OR(14&gt;MAX(3,MIN(15,N($D$18))),IFERROR(LARGE('Calc (scoring engine)'!$K$5:$K$521,14),-999999)&lt;=-900000),"",IFERROR(IF(INDEX(Database!$AQ$5:$AQ$521,MATCH(LARGE('Calc (scoring engine)'!$K$5:$K$521,14),'Calc (scoring engine)'!$K$5:$K$521,0))="","—",INDEX(Database!$AQ$5:$AQ$521,MATCH(LARGE('Calc (scoring engine)'!$K$5:$K$521,14),'Calc (scoring engine)'!$K$5:$K$521,0))),""))</f>
        <v/>
      </c>
      <c r="AO34" s="23">
        <f>IF(OR(14&gt;MAX(3,MIN(15,N($D$18))),IFERROR(LARGE('Calc (scoring engine)'!$K$5:$K$521,14),-999999)&lt;=-900000),"",IFERROR(IF(INDEX(Database!$AR$5:$AR$521,MATCH(LARGE('Calc (scoring engine)'!$K$5:$K$521,14),'Calc (scoring engine)'!$K$5:$K$521,0))="","—",INDEX(Database!$AR$5:$AR$521,MATCH(LARGE('Calc (scoring engine)'!$K$5:$K$521,14),'Calc (scoring engine)'!$K$5:$K$521,0))),""))</f>
        <v/>
      </c>
      <c r="AP34" s="23">
        <f>IF(OR(14&gt;MAX(3,MIN(15,N($D$18))),IFERROR(LARGE('Calc (scoring engine)'!$K$5:$K$521,14),-999999)&lt;=-900000),"",IFERROR(IF(INDEX(Database!$AS$5:$AS$521,MATCH(LARGE('Calc (scoring engine)'!$K$5:$K$521,14),'Calc (scoring engine)'!$K$5:$K$521,0))="","—",INDEX(Database!$AS$5:$AS$521,MATCH(LARGE('Calc (scoring engine)'!$K$5:$K$521,14),'Calc (scoring engine)'!$K$5:$K$521,0))),""))</f>
        <v/>
      </c>
      <c r="AQ34" s="23">
        <f>IF(OR(14&gt;MAX(3,MIN(15,N($D$18))),IFERROR(LARGE('Calc (scoring engine)'!$K$5:$K$521,14),-999999)&lt;=-900000),"",IFERROR(IF(INDEX(Database!$AT$5:$AT$521,MATCH(LARGE('Calc (scoring engine)'!$K$5:$K$521,14),'Calc (scoring engine)'!$K$5:$K$521,0))="","—",INDEX(Database!$AT$5:$AT$521,MATCH(LARGE('Calc (scoring engine)'!$K$5:$K$521,14),'Calc (scoring engine)'!$K$5:$K$521,0))),""))</f>
        <v/>
      </c>
      <c r="AR34" s="23">
        <f>IF(OR(14&gt;MAX(3,MIN(15,N($D$18))),IFERROR(LARGE('Calc (scoring engine)'!$K$5:$K$521,14),-999999)&lt;=-900000),"",IFERROR(IF(INDEX(Database!$AU$5:$AU$521,MATCH(LARGE('Calc (scoring engine)'!$K$5:$K$521,14),'Calc (scoring engine)'!$K$5:$K$521,0))="","—",INDEX(Database!$AU$5:$AU$521,MATCH(LARGE('Calc (scoring engine)'!$K$5:$K$521,14),'Calc (scoring engine)'!$K$5:$K$521,0))),""))</f>
        <v/>
      </c>
      <c r="AS34" s="23">
        <f>IF(OR(14&gt;MAX(3,MIN(15,N($D$18))),IFERROR(LARGE('Calc (scoring engine)'!$K$5:$K$521,14),-999999)&lt;=-900000),"",IFERROR(IF(INDEX(Database!$AW$5:$AW$521,MATCH(LARGE('Calc (scoring engine)'!$K$5:$K$521,14),'Calc (scoring engine)'!$K$5:$K$521,0))="","—",INDEX(Database!$AW$5:$AW$521,MATCH(LARGE('Calc (scoring engine)'!$K$5:$K$521,14),'Calc (scoring engine)'!$K$5:$K$521,0))),""))</f>
        <v/>
      </c>
      <c r="AT34" s="19">
        <f>IF(OR(14&gt;MAX(3,MIN(15,N($D$18))),IFERROR(LARGE('Calc (scoring engine)'!$K$5:$K$521,14),-999999)&lt;=-900000),"",IFERROR(IF(INDEX(Database!$AY$5:$AY$521,MATCH(LARGE('Calc (scoring engine)'!$K$5:$K$521,14),'Calc (scoring engine)'!$K$5:$K$521,0))="","—",INDEX(Database!$AY$5:$AY$521,MATCH(LARGE('Calc (scoring engine)'!$K$5:$K$521,14),'Calc (scoring engine)'!$K$5:$K$521,0))),""))</f>
        <v/>
      </c>
      <c r="AU34" s="19">
        <f>IF(OR(14&gt;MAX(3,MIN(15,N($D$18))),IFERROR(LARGE('Calc (scoring engine)'!$K$5:$K$521,14),-999999)&lt;=-900000),"",IFERROR(IF(INDEX(Database!$AZ$5:$AZ$521,MATCH(LARGE('Calc (scoring engine)'!$K$5:$K$521,14),'Calc (scoring engine)'!$K$5:$K$521,0))="","—",INDEX(Database!$AZ$5:$AZ$521,MATCH(LARGE('Calc (scoring engine)'!$K$5:$K$521,14),'Calc (scoring engine)'!$K$5:$K$521,0))),""))</f>
        <v/>
      </c>
      <c r="AV34" s="10">
        <f>IF(OR(14&gt;MAX(3,MIN(15,N($D$18))),IFERROR(LARGE('Calc (scoring engine)'!$K$5:$K$521,14),-999999)&lt;=-900000),"",IFERROR(IF(INDEX(Database!$BA$5:$BA$521,MATCH(LARGE('Calc (scoring engine)'!$K$5:$K$521,14),'Calc (scoring engine)'!$K$5:$K$521,0))="","—",INDEX(Database!$BA$5:$BA$521,MATCH(LARGE('Calc (scoring engine)'!$K$5:$K$521,14),'Calc (scoring engine)'!$K$5:$K$521,0))),""))</f>
        <v/>
      </c>
      <c r="AW34" s="24">
        <f>IF(OR(14&gt;MAX(3,MIN(15,N($D$18))),IFERROR(LARGE('Calc (scoring engine)'!$K$5:$K$521,14),-999999)&lt;=-900000),"",IFERROR(IF(N(INDEX(Database!$BB$5:$BB$521,MATCH(LARGE('Calc (scoring engine)'!$K$5:$K$521,14),'Calc (scoring engine)'!$K$5:$K$521,0)))&lt;=0,IF(INDEX(Database!$BA$5:$BA$521,MATCH(LARGE('Calc (scoring engine)'!$K$5:$K$521,14),'Calc (scoring engine)'!$K$5:$K$521,0))="N","n/m","—"),INDEX(Database!$BB$5:$BB$521,MATCH(LARGE('Calc (scoring engine)'!$K$5:$K$521,14),'Calc (scoring engine)'!$K$5:$K$521,0))),""))</f>
        <v/>
      </c>
      <c r="AX34" s="24">
        <f>IF(OR(14&gt;MAX(3,MIN(15,N($D$18))),IFERROR(LARGE('Calc (scoring engine)'!$K$5:$K$521,14),-999999)&lt;=-900000),"",IFERROR(IF(INDEX(Database!$BC$5:$BC$521,MATCH(LARGE('Calc (scoring engine)'!$K$5:$K$521,14),'Calc (scoring engine)'!$K$5:$K$521,0))="","—",INDEX(Database!$BC$5:$BC$521,MATCH(LARGE('Calc (scoring engine)'!$K$5:$K$521,14),'Calc (scoring engine)'!$K$5:$K$521,0))),""))</f>
        <v/>
      </c>
      <c r="AY34" s="24">
        <f>IF(OR(14&gt;MAX(3,MIN(15,N($D$18))),IFERROR(LARGE('Calc (scoring engine)'!$K$5:$K$521,14),-999999)&lt;=-900000),"",IFERROR(IF(INDEX(Database!$BD$5:$BD$521,MATCH(LARGE('Calc (scoring engine)'!$K$5:$K$521,14),'Calc (scoring engine)'!$K$5:$K$521,0))="","—",INDEX(Database!$BD$5:$BD$521,MATCH(LARGE('Calc (scoring engine)'!$K$5:$K$521,14),'Calc (scoring engine)'!$K$5:$K$521,0))),""))</f>
        <v/>
      </c>
      <c r="AZ34" s="24">
        <f>IF(OR(14&gt;MAX(3,MIN(15,N($D$18))),IFERROR(LARGE('Calc (scoring engine)'!$K$5:$K$521,14),-999999)&lt;=-900000),"",IFERROR(IF(INDEX(Database!$BE$5:$BE$521,MATCH(LARGE('Calc (scoring engine)'!$K$5:$K$521,14),'Calc (scoring engine)'!$K$5:$K$521,0))="","—",INDEX(Database!$BE$5:$BE$521,MATCH(LARGE('Calc (scoring engine)'!$K$5:$K$521,14),'Calc (scoring engine)'!$K$5:$K$521,0))),""))</f>
        <v/>
      </c>
      <c r="BA34" s="24">
        <f>IF(OR(14&gt;MAX(3,MIN(15,N($D$18))),IFERROR(LARGE('Calc (scoring engine)'!$K$5:$K$521,14),-999999)&lt;=-900000),"",IFERROR(IF(INDEX(Database!$BF$5:$BF$521,MATCH(LARGE('Calc (scoring engine)'!$K$5:$K$521,14),'Calc (scoring engine)'!$K$5:$K$521,0))="","—",INDEX(Database!$BF$5:$BF$521,MATCH(LARGE('Calc (scoring engine)'!$K$5:$K$521,14),'Calc (scoring engine)'!$K$5:$K$521,0))),""))</f>
        <v/>
      </c>
      <c r="BB34" s="24">
        <f>IF(OR(14&gt;MAX(3,MIN(15,N($D$18))),IFERROR(LARGE('Calc (scoring engine)'!$K$5:$K$521,14),-999999)&lt;=-900000),"",IFERROR(IFERROR(BDP(TEXT(INDEX(Database!$A$5:$A$521,MATCH(LARGE('Calc (scoring engine)'!$K$5:$K$521,14),'Calc (scoring engine)'!$K$5:$K$521,0)),"0")&amp;" HK Equity","PE_RATIO"),IF(INDEX(Database!$BD$5:$BD$521,MATCH(LARGE('Calc (scoring engine)'!$K$5:$K$521,14),'Calc (scoring engine)'!$K$5:$K$521,0))="","—",INDEX(Database!$BD$5:$BD$521,MATCH(LARGE('Calc (scoring engine)'!$K$5:$K$521,14),'Calc (scoring engine)'!$K$5:$K$521,0)))),""))</f>
        <v/>
      </c>
      <c r="BC34" s="24">
        <f>IF(OR(14&gt;MAX(3,MIN(15,N($D$18))),IFERROR(LARGE('Calc (scoring engine)'!$K$5:$K$521,14),-999999)&lt;=-900000),"",IFERROR(IFERROR(BDP(TEXT(INDEX(Database!$A$5:$A$521,MATCH(LARGE('Calc (scoring engine)'!$K$5:$K$521,14),'Calc (scoring engine)'!$K$5:$K$521,0)),"0")&amp;" HK Equity","PX_TO_SALES_RATIO"),IF(INDEX(Database!$BE$5:$BE$521,MATCH(LARGE('Calc (scoring engine)'!$K$5:$K$521,14),'Calc (scoring engine)'!$K$5:$K$521,0))="","—",INDEX(Database!$BE$5:$BE$521,MATCH(LARGE('Calc (scoring engine)'!$K$5:$K$521,14),'Calc (scoring engine)'!$K$5:$K$521,0)))),""))</f>
        <v/>
      </c>
      <c r="BD34" s="10">
        <f>IF(OR(14&gt;MAX(3,MIN(15,N($D$18))),IFERROR(LARGE('Calc (scoring engine)'!$K$5:$K$521,14),-999999)&lt;=-900000),"",IFERROR(IF(INDEX(Database!$BG$5:$BG$521,MATCH(LARGE('Calc (scoring engine)'!$K$5:$K$521,14),'Calc (scoring engine)'!$K$5:$K$521,0))="","—",INDEX(Database!$BG$5:$BG$521,MATCH(LARGE('Calc (scoring engine)'!$K$5:$K$521,14),'Calc (scoring engine)'!$K$5:$K$521,0))),""))</f>
        <v/>
      </c>
      <c r="BE34" s="10">
        <f>IF(OR(14&gt;MAX(3,MIN(15,N($D$18))),IFERROR(LARGE('Calc (scoring engine)'!$K$5:$K$521,14),-999999)&lt;=-900000),"",IFERROR(IF(INDEX(Database!$BH$5:$BH$521,MATCH(LARGE('Calc (scoring engine)'!$K$5:$K$521,14),'Calc (scoring engine)'!$K$5:$K$521,0))="","—",INDEX(Database!$BH$5:$BH$521,MATCH(LARGE('Calc (scoring engine)'!$K$5:$K$521,14),'Calc (scoring engine)'!$K$5:$K$521,0))),""))</f>
        <v/>
      </c>
      <c r="BF34" s="23">
        <f>IF(OR(14&gt;MAX(3,MIN(15,N($D$18))),IFERROR(LARGE('Calc (scoring engine)'!$K$5:$K$521,14),-999999)&lt;=-900000),"",IFERROR(IF(INDEX(Database!$BI$5:$BI$521,MATCH(LARGE('Calc (scoring engine)'!$K$5:$K$521,14),'Calc (scoring engine)'!$K$5:$K$521,0))="","—",INDEX(Database!$BI$5:$BI$521,MATCH(LARGE('Calc (scoring engine)'!$K$5:$K$521,14),'Calc (scoring engine)'!$K$5:$K$521,0))),""))</f>
        <v/>
      </c>
      <c r="BG34" s="50">
        <f>IF(OR(14&gt;MAX(3,MIN(15,N($D$18))),IFERROR(LARGE('Calc (scoring engine)'!$K$5:$K$521,14),-999999)&lt;=-900000),"",IFERROR(IF(INDEX(Database!$BJ$5:$BJ$521,MATCH(LARGE('Calc (scoring engine)'!$K$5:$K$521,14),'Calc (scoring engine)'!$K$5:$K$521,0))="","—",INDEX(Database!$BJ$5:$BJ$521,MATCH(LARGE('Calc (scoring engine)'!$K$5:$K$521,14),'Calc (scoring engine)'!$K$5:$K$521,0))),""))</f>
        <v/>
      </c>
      <c r="BH34" s="53">
        <f>IF(OR(14&gt;MAX(3,MIN(15,N($D$18))),IFERROR(LARGE('Calc (scoring engine)'!$K$5:$K$521,14),-999999)&lt;=-900000),"",IFERROR(IF(INDEX(Database!$BK$5:$BK$521,MATCH(LARGE('Calc (scoring engine)'!$K$5:$K$521,14),'Calc (scoring engine)'!$K$5:$K$521,0))="","—",INDEX(Database!$BK$5:$BK$521,MATCH(LARGE('Calc (scoring engine)'!$K$5:$K$521,14),'Calc (scoring engine)'!$K$5:$K$521,0))),""))</f>
        <v/>
      </c>
      <c r="BI34" s="19">
        <f>IF(OR(14&gt;MAX(3,MIN(15,N($D$18))),IFERROR(LARGE('Calc (scoring engine)'!$K$5:$K$521,14),-999999)&lt;=-900000),"",IFERROR(IF(INDEX(Database!$BL$5:$BL$521,MATCH(LARGE('Calc (scoring engine)'!$K$5:$K$521,14),'Calc (scoring engine)'!$K$5:$K$521,0))="","—",INDEX(Database!$BL$5:$BL$521,MATCH(LARGE('Calc (scoring engine)'!$K$5:$K$521,14),'Calc (scoring engine)'!$K$5:$K$521,0))),""))</f>
        <v/>
      </c>
      <c r="BJ34" s="24">
        <f>IF(OR(14&gt;MAX(3,MIN(15,N($D$18))),IFERROR(LARGE('Calc (scoring engine)'!$K$5:$K$521,14),-999999)&lt;=-900000),"",IFERROR(IF(INDEX(Database!$BM$5:$BM$521,MATCH(LARGE('Calc (scoring engine)'!$K$5:$K$521,14),'Calc (scoring engine)'!$K$5:$K$521,0))="","—",INDEX(Database!$BM$5:$BM$521,MATCH(LARGE('Calc (scoring engine)'!$K$5:$K$521,14),'Calc (scoring engine)'!$K$5:$K$521,0))),""))</f>
        <v/>
      </c>
      <c r="BK34" s="24">
        <f>IF(OR(14&gt;MAX(3,MIN(15,N($D$18))),IFERROR(LARGE('Calc (scoring engine)'!$K$5:$K$521,14),-999999)&lt;=-900000),"",IFERROR(IF(INDEX(Database!$BN$5:$BN$521,MATCH(LARGE('Calc (scoring engine)'!$K$5:$K$521,14),'Calc (scoring engine)'!$K$5:$K$521,0))="","—",INDEX(Database!$BN$5:$BN$521,MATCH(LARGE('Calc (scoring engine)'!$K$5:$K$521,14),'Calc (scoring engine)'!$K$5:$K$521,0))),""))</f>
        <v/>
      </c>
      <c r="BL34" s="10">
        <f>IF(OR(14&gt;MAX(3,MIN(15,N($D$18))),IFERROR(LARGE('Calc (scoring engine)'!$K$5:$K$521,14),-999999)&lt;=-900000),"",IFERROR(IF(INDEX(Database!$BO$5:$BO$521,MATCH(LARGE('Calc (scoring engine)'!$K$5:$K$521,14),'Calc (scoring engine)'!$K$5:$K$521,0))="","—",INDEX(Database!$BO$5:$BO$521,MATCH(LARGE('Calc (scoring engine)'!$K$5:$K$521,14),'Calc (scoring engine)'!$K$5:$K$521,0))),""))</f>
        <v/>
      </c>
      <c r="BM34" s="10">
        <f>IF(OR(14&gt;MAX(3,MIN(15,N($D$18))),IFERROR(LARGE('Calc (scoring engine)'!$K$5:$K$521,14),-999999)&lt;=-900000),"",IFERROR(IF(INDEX(Database!$BQ$5:$BQ$521,MATCH(LARGE('Calc (scoring engine)'!$K$5:$K$521,14),'Calc (scoring engine)'!$K$5:$K$521,0))="","—",INDEX(Database!$BQ$5:$BQ$521,MATCH(LARGE('Calc (scoring engine)'!$K$5:$K$521,14),'Calc (scoring engine)'!$K$5:$K$521,0))),""))</f>
        <v/>
      </c>
      <c r="BN34" s="54">
        <f>IF(OR(14&gt;MAX(3,MIN(15,N($D$18))),IFERROR(LARGE('Calc (scoring engine)'!$K$5:$K$521,14),-999999)&lt;=-900000),"",IFERROR(IF(INDEX('Calc (scoring engine)'!$H$5:$H$521,MATCH(LARGE('Calc (scoring engine)'!$K$5:$K$521,14),'Calc (scoring engine)'!$K$5:$K$521,0))&gt;0,INDEX('Calc (scoring engine)'!$H$5:$H$521,MATCH(LARGE('Calc (scoring engine)'!$K$5:$K$521,14),'Calc (scoring engine)'!$K$5:$K$521,0)),""),""))</f>
        <v/>
      </c>
      <c r="BO34" s="10">
        <f>IF(OR(14&gt;MAX(3,MIN(15,N($D$18))),IFERROR(LARGE('Calc (scoring engine)'!$K$5:$K$521,14),-999999)&lt;=-900000),"",IF(IFERROR(INDEX('Calc (scoring engine)'!$B$5:$B$521,MATCH(LARGE('Calc (scoring engine)'!$K$5:$K$521,14),'Calc (scoring engine)'!$K$5:$K$521,0)),0)=1,"same subsector","sector only"))</f>
        <v/>
      </c>
      <c r="BP34" s="54">
        <f>IF(OR(14&gt;MAX(3,MIN(15,N($D$18))),IFERROR(LARGE('Calc (scoring engine)'!$K$5:$K$521,14),-999999)&lt;=-900000),"",ROUND(IFERROR(LARGE('Calc (scoring engine)'!$K$5:$K$521,14),0),0))</f>
        <v/>
      </c>
      <c r="BQ34" s="10">
        <f>IF(OR(14&gt;MAX(3,MIN(15,N($D$18))),IFERROR(LARGE('Calc (scoring engine)'!$K$5:$K$521,14),-999999)&lt;=-900000),"",IFERROR("sub "&amp;INDEX('Calc (scoring engine)'!$B$5:$B$521,MATCH(LARGE('Calc (scoring engine)'!$K$5:$K$521,14),'Calc (scoring engine)'!$K$5:$K$521,0))*W_SUB&amp;" + size "&amp;ROUND(INDEX('Calc (scoring engine)'!$D$5:$D$521,MATCH(LARGE('Calc (scoring engine)'!$K$5:$K$521,14),'Calc (scoring engine)'!$K$5:$K$521,0))*W_SIZE,0)&amp;" + prof "&amp;INDEX('Calc (scoring engine)'!$E$5:$E$521,MATCH(LARGE('Calc (scoring engine)'!$K$5:$K$521,14),'Calc (scoring engine)'!$K$5:$K$521,0))*W_PROF&amp;" + recency "&amp;ROUND(INDEX('Calc (scoring engine)'!$G$5:$G$521,MATCH(LARGE('Calc (scoring engine)'!$K$5:$K$521,14),'Calc (scoring engine)'!$K$5:$K$521,0))*W_REC,0)&amp;IF(INDEX('Calc (scoring engine)'!$H$5:$H$521,MATCH(LARGE('Calc (scoring engine)'!$K$5:$K$521,14),'Calc (scoring engine)'!$K$5:$K$521,0))&gt;0," + shared CS x"&amp;INDEX('Calc (scoring engine)'!$H$5:$H$521,MATCH(LARGE('Calc (scoring engine)'!$K$5:$K$521,14),'Calc (scoring engine)'!$K$5:$K$521,0)),""),""))</f>
        <v/>
      </c>
    </row>
    <row r="35">
      <c r="A35" s="48">
        <f>IF(OR(15&gt;MAX(3,MIN(15,N($D$18))),IFERROR(LARGE('Calc (scoring engine)'!$K$5:$K$521,15),-999999)&lt;=-900000),"",15)</f>
        <v/>
      </c>
      <c r="B35" s="10">
        <f>IF(OR(15&gt;MAX(3,MIN(15,N($D$18))),IFERROR(LARGE('Calc (scoring engine)'!$K$5:$K$521,15),-999999)&lt;=-900000),"",IFERROR(IF(INDEX(Database!$B$5:$B$521,MATCH(LARGE('Calc (scoring engine)'!$K$5:$K$521,15),'Calc (scoring engine)'!$K$5:$K$521,0))="","—",INDEX(Database!$B$5:$B$521,MATCH(LARGE('Calc (scoring engine)'!$K$5:$K$521,15),'Calc (scoring engine)'!$K$5:$K$521,0))),""))</f>
        <v/>
      </c>
      <c r="C35" s="49">
        <f>IF(OR(15&gt;MAX(3,MIN(15,N($D$18))),IFERROR(LARGE('Calc (scoring engine)'!$K$5:$K$521,15),-999999)&lt;=-900000),"",IFERROR(IF(INDEX(Database!$A$5:$A$521,MATCH(LARGE('Calc (scoring engine)'!$K$5:$K$521,15),'Calc (scoring engine)'!$K$5:$K$521,0))="","—",INDEX(Database!$A$5:$A$521,MATCH(LARGE('Calc (scoring engine)'!$K$5:$K$521,15),'Calc (scoring engine)'!$K$5:$K$521,0))),""))</f>
        <v/>
      </c>
      <c r="D35" s="10">
        <f>IF(OR(15&gt;MAX(3,MIN(15,N($D$18))),IFERROR(LARGE('Calc (scoring engine)'!$K$5:$K$521,15),-999999)&lt;=-900000),"",IFERROR(IF(INDEX(Database!$D$5:$D$521,MATCH(LARGE('Calc (scoring engine)'!$K$5:$K$521,15),'Calc (scoring engine)'!$K$5:$K$521,0))="","—",INDEX(Database!$D$5:$D$521,MATCH(LARGE('Calc (scoring engine)'!$K$5:$K$521,15),'Calc (scoring engine)'!$K$5:$K$521,0))),""))</f>
        <v/>
      </c>
      <c r="E35" s="10">
        <f>IF(OR(15&gt;MAX(3,MIN(15,N($D$18))),IFERROR(LARGE('Calc (scoring engine)'!$K$5:$K$521,15),-999999)&lt;=-900000),"",IFERROR(IF(INDEX(Database!$E$5:$E$521,MATCH(LARGE('Calc (scoring engine)'!$K$5:$K$521,15),'Calc (scoring engine)'!$K$5:$K$521,0))="","—",INDEX(Database!$E$5:$E$521,MATCH(LARGE('Calc (scoring engine)'!$K$5:$K$521,15),'Calc (scoring engine)'!$K$5:$K$521,0))),""))</f>
        <v/>
      </c>
      <c r="F35" s="10">
        <f>IF(OR(15&gt;MAX(3,MIN(15,N($D$18))),IFERROR(LARGE('Calc (scoring engine)'!$K$5:$K$521,15),-999999)&lt;=-900000),"",IFERROR(IF(INDEX(Database!$F$5:$F$521,MATCH(LARGE('Calc (scoring engine)'!$K$5:$K$521,15),'Calc (scoring engine)'!$K$5:$K$521,0))="","—",INDEX(Database!$F$5:$F$521,MATCH(LARGE('Calc (scoring engine)'!$K$5:$K$521,15),'Calc (scoring engine)'!$K$5:$K$521,0))),""))</f>
        <v/>
      </c>
      <c r="G35" s="10">
        <f>IF(OR(15&gt;MAX(3,MIN(15,N($D$18))),IFERROR(LARGE('Calc (scoring engine)'!$K$5:$K$521,15),-999999)&lt;=-900000),"",IFERROR(IF(INDEX(Database!$G$5:$G$521,MATCH(LARGE('Calc (scoring engine)'!$K$5:$K$521,15),'Calc (scoring engine)'!$K$5:$K$521,0))="","—",INDEX(Database!$G$5:$G$521,MATCH(LARGE('Calc (scoring engine)'!$K$5:$K$521,15),'Calc (scoring engine)'!$K$5:$K$521,0))),""))</f>
        <v/>
      </c>
      <c r="H35" s="21">
        <f>IF(OR(15&gt;MAX(3,MIN(15,N($D$18))),IFERROR(LARGE('Calc (scoring engine)'!$K$5:$K$521,15),-999999)&lt;=-900000),"",IFERROR(IF(INDEX(Database!$H$5:$H$521,MATCH(LARGE('Calc (scoring engine)'!$K$5:$K$521,15),'Calc (scoring engine)'!$K$5:$K$521,0))="","—",INDEX(Database!$H$5:$H$521,MATCH(LARGE('Calc (scoring engine)'!$K$5:$K$521,15),'Calc (scoring engine)'!$K$5:$K$521,0))),""))</f>
        <v/>
      </c>
      <c r="I35" s="19">
        <f>IF(OR(15&gt;MAX(3,MIN(15,N($D$18))),IFERROR(LARGE('Calc (scoring engine)'!$K$5:$K$521,15),-999999)&lt;=-900000),"",IFERROR(IF(INDEX(Database!$I$5:$I$521,MATCH(LARGE('Calc (scoring engine)'!$K$5:$K$521,15),'Calc (scoring engine)'!$K$5:$K$521,0))="","—",INDEX(Database!$I$5:$I$521,MATCH(LARGE('Calc (scoring engine)'!$K$5:$K$521,15),'Calc (scoring engine)'!$K$5:$K$521,0))),""))</f>
        <v/>
      </c>
      <c r="J35" s="50">
        <f>IF(OR(15&gt;MAX(3,MIN(15,N($D$18))),IFERROR(LARGE('Calc (scoring engine)'!$K$5:$K$521,15),-999999)&lt;=-900000),"",IFERROR(IF(INDEX(Database!$K$5:$K$521,MATCH(LARGE('Calc (scoring engine)'!$K$5:$K$521,15),'Calc (scoring engine)'!$K$5:$K$521,0))="","—",INDEX(Database!$K$5:$K$521,MATCH(LARGE('Calc (scoring engine)'!$K$5:$K$521,15),'Calc (scoring engine)'!$K$5:$K$521,0))),""))</f>
        <v/>
      </c>
      <c r="K35" s="50">
        <f>IF(OR(15&gt;MAX(3,MIN(15,N($D$18))),IFERROR(LARGE('Calc (scoring engine)'!$K$5:$K$521,15),-999999)&lt;=-900000),"",IFERROR(IF(INDEX(Database!$L$5:$L$521,MATCH(LARGE('Calc (scoring engine)'!$K$5:$K$521,15),'Calc (scoring engine)'!$K$5:$K$521,0))="","—",INDEX(Database!$L$5:$L$521,MATCH(LARGE('Calc (scoring engine)'!$K$5:$K$521,15),'Calc (scoring engine)'!$K$5:$K$521,0))),""))</f>
        <v/>
      </c>
      <c r="L35" s="50">
        <f>IF(OR(15&gt;MAX(3,MIN(15,N($D$18))),IFERROR(LARGE('Calc (scoring engine)'!$K$5:$K$521,15),-999999)&lt;=-900000),"",IFERROR(IF(INDEX(Database!$M$5:$M$521,MATCH(LARGE('Calc (scoring engine)'!$K$5:$K$521,15),'Calc (scoring engine)'!$K$5:$K$521,0))="","—",INDEX(Database!$M$5:$M$521,MATCH(LARGE('Calc (scoring engine)'!$K$5:$K$521,15),'Calc (scoring engine)'!$K$5:$K$521,0))),""))</f>
        <v/>
      </c>
      <c r="M35" s="10">
        <f>IF(OR(15&gt;MAX(3,MIN(15,N($D$18))),IFERROR(LARGE('Calc (scoring engine)'!$K$5:$K$521,15),-999999)&lt;=-900000),"",IFERROR(IF(INDEX(Database!$N$5:$N$521,MATCH(LARGE('Calc (scoring engine)'!$K$5:$K$521,15),'Calc (scoring engine)'!$K$5:$K$521,0))="","—",INDEX(Database!$N$5:$N$521,MATCH(LARGE('Calc (scoring engine)'!$K$5:$K$521,15),'Calc (scoring engine)'!$K$5:$K$521,0))),""))</f>
        <v/>
      </c>
      <c r="N35" s="31">
        <f>IF(OR(15&gt;MAX(3,MIN(15,N($D$18))),IFERROR(LARGE('Calc (scoring engine)'!$K$5:$K$521,15),-999999)&lt;=-900000),"",IFERROR(IF(INDEX(Database!$O$5:$O$521,MATCH(LARGE('Calc (scoring engine)'!$K$5:$K$521,15),'Calc (scoring engine)'!$K$5:$K$521,0))="","—",INDEX(Database!$O$5:$O$521,MATCH(LARGE('Calc (scoring engine)'!$K$5:$K$521,15),'Calc (scoring engine)'!$K$5:$K$521,0))),""))</f>
        <v/>
      </c>
      <c r="O35" s="31">
        <f>IF(OR(15&gt;MAX(3,MIN(15,N($D$18))),IFERROR(LARGE('Calc (scoring engine)'!$K$5:$K$521,15),-999999)&lt;=-900000),"",IFERROR(IF(INDEX(Database!$P$5:$P$521,MATCH(LARGE('Calc (scoring engine)'!$K$5:$K$521,15),'Calc (scoring engine)'!$K$5:$K$521,0))="","—",INDEX(Database!$P$5:$P$521,MATCH(LARGE('Calc (scoring engine)'!$K$5:$K$521,15),'Calc (scoring engine)'!$K$5:$K$521,0))),""))</f>
        <v/>
      </c>
      <c r="P35" s="19">
        <f>IF(OR(15&gt;MAX(3,MIN(15,N($D$18))),IFERROR(LARGE('Calc (scoring engine)'!$K$5:$K$521,15),-999999)&lt;=-900000),"",IFERROR(IF(INDEX(Database!$Q$5:$Q$521,MATCH(LARGE('Calc (scoring engine)'!$K$5:$K$521,15),'Calc (scoring engine)'!$K$5:$K$521,0))="","—",INDEX(Database!$Q$5:$Q$521,MATCH(LARGE('Calc (scoring engine)'!$K$5:$K$521,15),'Calc (scoring engine)'!$K$5:$K$521,0))),""))</f>
        <v/>
      </c>
      <c r="Q35" s="26">
        <f>IF(OR(15&gt;MAX(3,MIN(15,N($D$18))),IFERROR(LARGE('Calc (scoring engine)'!$K$5:$K$521,15),-999999)&lt;=-900000),"",IFERROR(IF(INDEX(Database!$S$5:$S$521,MATCH(LARGE('Calc (scoring engine)'!$K$5:$K$521,15),'Calc (scoring engine)'!$K$5:$K$521,0))="","—",INDEX(Database!$S$5:$S$521,MATCH(LARGE('Calc (scoring engine)'!$K$5:$K$521,15),'Calc (scoring engine)'!$K$5:$K$521,0))),""))</f>
        <v/>
      </c>
      <c r="R35" s="51">
        <f>IF(OR(15&gt;MAX(3,MIN(15,N($D$18))),IFERROR(LARGE('Calc (scoring engine)'!$K$5:$K$521,15),-999999)&lt;=-900000),"",IFERROR(IF(INDEX(Database!$T$5:$T$521,MATCH(LARGE('Calc (scoring engine)'!$K$5:$K$521,15),'Calc (scoring engine)'!$K$5:$K$521,0))="","—",INDEX(Database!$T$5:$T$521,MATCH(LARGE('Calc (scoring engine)'!$K$5:$K$521,15),'Calc (scoring engine)'!$K$5:$K$521,0))),""))</f>
        <v/>
      </c>
      <c r="S35" s="52">
        <f>IF(OR(15&gt;MAX(3,MIN(15,N($D$18))),IFERROR(LARGE('Calc (scoring engine)'!$K$5:$K$521,15),-999999)&lt;=-900000),"",IFERROR(IF(INDEX(Database!$U$5:$U$521,MATCH(LARGE('Calc (scoring engine)'!$K$5:$K$521,15),'Calc (scoring engine)'!$K$5:$K$521,0))="","—",INDEX(Database!$U$5:$U$521,MATCH(LARGE('Calc (scoring engine)'!$K$5:$K$521,15),'Calc (scoring engine)'!$K$5:$K$521,0))),""))</f>
        <v/>
      </c>
      <c r="T35" s="19">
        <f>IF(OR(15&gt;MAX(3,MIN(15,N($D$18))),IFERROR(LARGE('Calc (scoring engine)'!$K$5:$K$521,15),-999999)&lt;=-900000),"",IFERROR(IF(INDEX(Database!$V$5:$V$521,MATCH(LARGE('Calc (scoring engine)'!$K$5:$K$521,15),'Calc (scoring engine)'!$K$5:$K$521,0))="","—",INDEX(Database!$V$5:$V$521,MATCH(LARGE('Calc (scoring engine)'!$K$5:$K$521,15),'Calc (scoring engine)'!$K$5:$K$521,0))),""))</f>
        <v/>
      </c>
      <c r="U35" s="19">
        <f>IF(OR(15&gt;MAX(3,MIN(15,N($D$18))),IFERROR(LARGE('Calc (scoring engine)'!$K$5:$K$521,15),-999999)&lt;=-900000),"",IFERROR(IF(INDEX(Database!$W$5:$W$521,MATCH(LARGE('Calc (scoring engine)'!$K$5:$K$521,15),'Calc (scoring engine)'!$K$5:$K$521,0))="","—",INDEX(Database!$W$5:$W$521,MATCH(LARGE('Calc (scoring engine)'!$K$5:$K$521,15),'Calc (scoring engine)'!$K$5:$K$521,0))),""))</f>
        <v/>
      </c>
      <c r="V35" s="31">
        <f>IF(OR(15&gt;MAX(3,MIN(15,N($D$18))),IFERROR(LARGE('Calc (scoring engine)'!$K$5:$K$521,15),-999999)&lt;=-900000),"",IFERROR(IF(INDEX(Database!$X$5:$X$521,MATCH(LARGE('Calc (scoring engine)'!$K$5:$K$521,15),'Calc (scoring engine)'!$K$5:$K$521,0))="","—",INDEX(Database!$X$5:$X$521,MATCH(LARGE('Calc (scoring engine)'!$K$5:$K$521,15),'Calc (scoring engine)'!$K$5:$K$521,0))),""))</f>
        <v/>
      </c>
      <c r="W35" s="10">
        <f>IF(OR(15&gt;MAX(3,MIN(15,N($D$18))),IFERROR(LARGE('Calc (scoring engine)'!$K$5:$K$521,15),-999999)&lt;=-900000),"",IFERROR(IF(INDEX(Database!$Y$5:$Y$521,MATCH(LARGE('Calc (scoring engine)'!$K$5:$K$521,15),'Calc (scoring engine)'!$K$5:$K$521,0))="","—",INDEX(Database!$Y$5:$Y$521,MATCH(LARGE('Calc (scoring engine)'!$K$5:$K$521,15),'Calc (scoring engine)'!$K$5:$K$521,0))),""))</f>
        <v/>
      </c>
      <c r="X35" s="31">
        <f>IF(OR(15&gt;MAX(3,MIN(15,N($D$18))),IFERROR(LARGE('Calc (scoring engine)'!$K$5:$K$521,15),-999999)&lt;=-900000),"",IFERROR(IF(INDEX(Database!$AA$5:$AA$521,MATCH(LARGE('Calc (scoring engine)'!$K$5:$K$521,15),'Calc (scoring engine)'!$K$5:$K$521,0))="","—",INDEX(Database!$AA$5:$AA$521,MATCH(LARGE('Calc (scoring engine)'!$K$5:$K$521,15),'Calc (scoring engine)'!$K$5:$K$521,0))),""))</f>
        <v/>
      </c>
      <c r="Y35" s="10">
        <f>IF(OR(15&gt;MAX(3,MIN(15,N($D$18))),IFERROR(LARGE('Calc (scoring engine)'!$K$5:$K$521,15),-999999)&lt;=-900000),"",IFERROR(IF(INDEX(Database!$AB$5:$AB$521,MATCH(LARGE('Calc (scoring engine)'!$K$5:$K$521,15),'Calc (scoring engine)'!$K$5:$K$521,0))="","—",INDEX(Database!$AB$5:$AB$521,MATCH(LARGE('Calc (scoring engine)'!$K$5:$K$521,15),'Calc (scoring engine)'!$K$5:$K$521,0))),""))</f>
        <v/>
      </c>
      <c r="Z35" s="10">
        <f>IF(OR(15&gt;MAX(3,MIN(15,N($D$18))),IFERROR(LARGE('Calc (scoring engine)'!$K$5:$K$521,15),-999999)&lt;=-900000),"",IFERROR(IF(INDEX(Database!$AC$5:$AC$521,MATCH(LARGE('Calc (scoring engine)'!$K$5:$K$521,15),'Calc (scoring engine)'!$K$5:$K$521,0))="","—",INDEX(Database!$AC$5:$AC$521,MATCH(LARGE('Calc (scoring engine)'!$K$5:$K$521,15),'Calc (scoring engine)'!$K$5:$K$521,0))),""))</f>
        <v/>
      </c>
      <c r="AA35" s="10">
        <f>IF(OR(15&gt;MAX(3,MIN(15,N($D$18))),IFERROR(LARGE('Calc (scoring engine)'!$K$5:$K$521,15),-999999)&lt;=-900000),"",IFERROR(IF(INDEX(Database!$AD$5:$AD$521,MATCH(LARGE('Calc (scoring engine)'!$K$5:$K$521,15),'Calc (scoring engine)'!$K$5:$K$521,0))="","—",INDEX(Database!$AD$5:$AD$521,MATCH(LARGE('Calc (scoring engine)'!$K$5:$K$521,15),'Calc (scoring engine)'!$K$5:$K$521,0))),""))</f>
        <v/>
      </c>
      <c r="AB35" s="10">
        <f>IF(OR(15&gt;MAX(3,MIN(15,N($D$18))),IFERROR(LARGE('Calc (scoring engine)'!$K$5:$K$521,15),-999999)&lt;=-900000),"",IFERROR(IF(INDEX(Database!$AE$5:$AE$521,MATCH(LARGE('Calc (scoring engine)'!$K$5:$K$521,15),'Calc (scoring engine)'!$K$5:$K$521,0))="","—",INDEX(Database!$AE$5:$AE$521,MATCH(LARGE('Calc (scoring engine)'!$K$5:$K$521,15),'Calc (scoring engine)'!$K$5:$K$521,0))),""))</f>
        <v/>
      </c>
      <c r="AC35" s="23">
        <f>IF(OR(15&gt;MAX(3,MIN(15,N($D$18))),IFERROR(LARGE('Calc (scoring engine)'!$K$5:$K$521,15),-999999)&lt;=-900000),"",IFERROR(IF(INDEX(Database!$AF$5:$AF$521,MATCH(LARGE('Calc (scoring engine)'!$K$5:$K$521,15),'Calc (scoring engine)'!$K$5:$K$521,0))="","—",INDEX(Database!$AF$5:$AF$521,MATCH(LARGE('Calc (scoring engine)'!$K$5:$K$521,15),'Calc (scoring engine)'!$K$5:$K$521,0))),""))</f>
        <v/>
      </c>
      <c r="AD35" s="23">
        <f>IF(OR(15&gt;MAX(3,MIN(15,N($D$18))),IFERROR(LARGE('Calc (scoring engine)'!$K$5:$K$521,15),-999999)&lt;=-900000),"",IFERROR(IF(INDEX(Database!$AG$5:$AG$521,MATCH(LARGE('Calc (scoring engine)'!$K$5:$K$521,15),'Calc (scoring engine)'!$K$5:$K$521,0))="","—",INDEX(Database!$AG$5:$AG$521,MATCH(LARGE('Calc (scoring engine)'!$K$5:$K$521,15),'Calc (scoring engine)'!$K$5:$K$521,0))),""))</f>
        <v/>
      </c>
      <c r="AE35" s="23">
        <f>IF(OR(15&gt;MAX(3,MIN(15,N($D$18))),IFERROR(LARGE('Calc (scoring engine)'!$K$5:$K$521,15),-999999)&lt;=-900000),"",IFERROR(IF(INDEX(Database!$AH$5:$AH$521,MATCH(LARGE('Calc (scoring engine)'!$K$5:$K$521,15),'Calc (scoring engine)'!$K$5:$K$521,0))="","—",INDEX(Database!$AH$5:$AH$521,MATCH(LARGE('Calc (scoring engine)'!$K$5:$K$521,15),'Calc (scoring engine)'!$K$5:$K$521,0))),""))</f>
        <v/>
      </c>
      <c r="AF35" s="23">
        <f>IF(OR(15&gt;MAX(3,MIN(15,N($D$18))),IFERROR(LARGE('Calc (scoring engine)'!$K$5:$K$521,15),-999999)&lt;=-900000),"",IFERROR(IF(INDEX(Database!$AI$5:$AI$521,MATCH(LARGE('Calc (scoring engine)'!$K$5:$K$521,15),'Calc (scoring engine)'!$K$5:$K$521,0))="","—",INDEX(Database!$AI$5:$AI$521,MATCH(LARGE('Calc (scoring engine)'!$K$5:$K$521,15),'Calc (scoring engine)'!$K$5:$K$521,0))),""))</f>
        <v/>
      </c>
      <c r="AG35" s="23">
        <f>IF(OR(15&gt;MAX(3,MIN(15,N($D$18))),IFERROR(LARGE('Calc (scoring engine)'!$K$5:$K$521,15),-999999)&lt;=-900000),"",IFERROR(IF(INDEX(Database!$AJ$5:$AJ$521,MATCH(LARGE('Calc (scoring engine)'!$K$5:$K$521,15),'Calc (scoring engine)'!$K$5:$K$521,0))="","—",INDEX(Database!$AJ$5:$AJ$521,MATCH(LARGE('Calc (scoring engine)'!$K$5:$K$521,15),'Calc (scoring engine)'!$K$5:$K$521,0))),""))</f>
        <v/>
      </c>
      <c r="AH35" s="23">
        <f>IF(OR(15&gt;MAX(3,MIN(15,N($D$18))),IFERROR(LARGE('Calc (scoring engine)'!$K$5:$K$521,15),-999999)&lt;=-900000),"",IFERROR(IF(INDEX(Database!$AK$5:$AK$521,MATCH(LARGE('Calc (scoring engine)'!$K$5:$K$521,15),'Calc (scoring engine)'!$K$5:$K$521,0))="","—",INDEX(Database!$AK$5:$AK$521,MATCH(LARGE('Calc (scoring engine)'!$K$5:$K$521,15),'Calc (scoring engine)'!$K$5:$K$521,0))),""))</f>
        <v/>
      </c>
      <c r="AI35" s="23">
        <f>IF(OR(15&gt;MAX(3,MIN(15,N($D$18))),IFERROR(LARGE('Calc (scoring engine)'!$K$5:$K$521,15),-999999)&lt;=-900000),"",IFERROR(IF(INDEX(Database!$AL$5:$AL$521,MATCH(LARGE('Calc (scoring engine)'!$K$5:$K$521,15),'Calc (scoring engine)'!$K$5:$K$521,0))="","—",INDEX(Database!$AL$5:$AL$521,MATCH(LARGE('Calc (scoring engine)'!$K$5:$K$521,15),'Calc (scoring engine)'!$K$5:$K$521,0))),""))</f>
        <v/>
      </c>
      <c r="AJ35" s="23">
        <f>IF(OR(15&gt;MAX(3,MIN(15,N($D$18))),IFERROR(LARGE('Calc (scoring engine)'!$K$5:$K$521,15),-999999)&lt;=-900000),"",IFERROR(IF(INDEX(Database!$AM$5:$AM$521,MATCH(LARGE('Calc (scoring engine)'!$K$5:$K$521,15),'Calc (scoring engine)'!$K$5:$K$521,0))="","—",INDEX(Database!$AM$5:$AM$521,MATCH(LARGE('Calc (scoring engine)'!$K$5:$K$521,15),'Calc (scoring engine)'!$K$5:$K$521,0))),""))</f>
        <v/>
      </c>
      <c r="AK35" s="23">
        <f>IF(OR(15&gt;MAX(3,MIN(15,N($D$18))),IFERROR(LARGE('Calc (scoring engine)'!$K$5:$K$521,15),-999999)&lt;=-900000),"",IFERROR(IF(INDEX(Database!$AN$5:$AN$521,MATCH(LARGE('Calc (scoring engine)'!$K$5:$K$521,15),'Calc (scoring engine)'!$K$5:$K$521,0))="","—",INDEX(Database!$AN$5:$AN$521,MATCH(LARGE('Calc (scoring engine)'!$K$5:$K$521,15),'Calc (scoring engine)'!$K$5:$K$521,0))),""))</f>
        <v/>
      </c>
      <c r="AL35" s="23">
        <f>IF(OR(15&gt;MAX(3,MIN(15,N($D$18))),IFERROR(LARGE('Calc (scoring engine)'!$K$5:$K$521,15),-999999)&lt;=-900000),"",IFERROR(IF(INDEX(Database!$AO$5:$AO$521,MATCH(LARGE('Calc (scoring engine)'!$K$5:$K$521,15),'Calc (scoring engine)'!$K$5:$K$521,0))="","—",INDEX(Database!$AO$5:$AO$521,MATCH(LARGE('Calc (scoring engine)'!$K$5:$K$521,15),'Calc (scoring engine)'!$K$5:$K$521,0))),""))</f>
        <v/>
      </c>
      <c r="AM35" s="23">
        <f>IF(OR(15&gt;MAX(3,MIN(15,N($D$18))),IFERROR(LARGE('Calc (scoring engine)'!$K$5:$K$521,15),-999999)&lt;=-900000),"",IFERROR(IF(INDEX(Database!$AP$5:$AP$521,MATCH(LARGE('Calc (scoring engine)'!$K$5:$K$521,15),'Calc (scoring engine)'!$K$5:$K$521,0))="","—",INDEX(Database!$AP$5:$AP$521,MATCH(LARGE('Calc (scoring engine)'!$K$5:$K$521,15),'Calc (scoring engine)'!$K$5:$K$521,0))),""))</f>
        <v/>
      </c>
      <c r="AN35" s="23">
        <f>IF(OR(15&gt;MAX(3,MIN(15,N($D$18))),IFERROR(LARGE('Calc (scoring engine)'!$K$5:$K$521,15),-999999)&lt;=-900000),"",IFERROR(IF(INDEX(Database!$AQ$5:$AQ$521,MATCH(LARGE('Calc (scoring engine)'!$K$5:$K$521,15),'Calc (scoring engine)'!$K$5:$K$521,0))="","—",INDEX(Database!$AQ$5:$AQ$521,MATCH(LARGE('Calc (scoring engine)'!$K$5:$K$521,15),'Calc (scoring engine)'!$K$5:$K$521,0))),""))</f>
        <v/>
      </c>
      <c r="AO35" s="23">
        <f>IF(OR(15&gt;MAX(3,MIN(15,N($D$18))),IFERROR(LARGE('Calc (scoring engine)'!$K$5:$K$521,15),-999999)&lt;=-900000),"",IFERROR(IF(INDEX(Database!$AR$5:$AR$521,MATCH(LARGE('Calc (scoring engine)'!$K$5:$K$521,15),'Calc (scoring engine)'!$K$5:$K$521,0))="","—",INDEX(Database!$AR$5:$AR$521,MATCH(LARGE('Calc (scoring engine)'!$K$5:$K$521,15),'Calc (scoring engine)'!$K$5:$K$521,0))),""))</f>
        <v/>
      </c>
      <c r="AP35" s="23">
        <f>IF(OR(15&gt;MAX(3,MIN(15,N($D$18))),IFERROR(LARGE('Calc (scoring engine)'!$K$5:$K$521,15),-999999)&lt;=-900000),"",IFERROR(IF(INDEX(Database!$AS$5:$AS$521,MATCH(LARGE('Calc (scoring engine)'!$K$5:$K$521,15),'Calc (scoring engine)'!$K$5:$K$521,0))="","—",INDEX(Database!$AS$5:$AS$521,MATCH(LARGE('Calc (scoring engine)'!$K$5:$K$521,15),'Calc (scoring engine)'!$K$5:$K$521,0))),""))</f>
        <v/>
      </c>
      <c r="AQ35" s="23">
        <f>IF(OR(15&gt;MAX(3,MIN(15,N($D$18))),IFERROR(LARGE('Calc (scoring engine)'!$K$5:$K$521,15),-999999)&lt;=-900000),"",IFERROR(IF(INDEX(Database!$AT$5:$AT$521,MATCH(LARGE('Calc (scoring engine)'!$K$5:$K$521,15),'Calc (scoring engine)'!$K$5:$K$521,0))="","—",INDEX(Database!$AT$5:$AT$521,MATCH(LARGE('Calc (scoring engine)'!$K$5:$K$521,15),'Calc (scoring engine)'!$K$5:$K$521,0))),""))</f>
        <v/>
      </c>
      <c r="AR35" s="23">
        <f>IF(OR(15&gt;MAX(3,MIN(15,N($D$18))),IFERROR(LARGE('Calc (scoring engine)'!$K$5:$K$521,15),-999999)&lt;=-900000),"",IFERROR(IF(INDEX(Database!$AU$5:$AU$521,MATCH(LARGE('Calc (scoring engine)'!$K$5:$K$521,15),'Calc (scoring engine)'!$K$5:$K$521,0))="","—",INDEX(Database!$AU$5:$AU$521,MATCH(LARGE('Calc (scoring engine)'!$K$5:$K$521,15),'Calc (scoring engine)'!$K$5:$K$521,0))),""))</f>
        <v/>
      </c>
      <c r="AS35" s="23">
        <f>IF(OR(15&gt;MAX(3,MIN(15,N($D$18))),IFERROR(LARGE('Calc (scoring engine)'!$K$5:$K$521,15),-999999)&lt;=-900000),"",IFERROR(IF(INDEX(Database!$AW$5:$AW$521,MATCH(LARGE('Calc (scoring engine)'!$K$5:$K$521,15),'Calc (scoring engine)'!$K$5:$K$521,0))="","—",INDEX(Database!$AW$5:$AW$521,MATCH(LARGE('Calc (scoring engine)'!$K$5:$K$521,15),'Calc (scoring engine)'!$K$5:$K$521,0))),""))</f>
        <v/>
      </c>
      <c r="AT35" s="19">
        <f>IF(OR(15&gt;MAX(3,MIN(15,N($D$18))),IFERROR(LARGE('Calc (scoring engine)'!$K$5:$K$521,15),-999999)&lt;=-900000),"",IFERROR(IF(INDEX(Database!$AY$5:$AY$521,MATCH(LARGE('Calc (scoring engine)'!$K$5:$K$521,15),'Calc (scoring engine)'!$K$5:$K$521,0))="","—",INDEX(Database!$AY$5:$AY$521,MATCH(LARGE('Calc (scoring engine)'!$K$5:$K$521,15),'Calc (scoring engine)'!$K$5:$K$521,0))),""))</f>
        <v/>
      </c>
      <c r="AU35" s="19">
        <f>IF(OR(15&gt;MAX(3,MIN(15,N($D$18))),IFERROR(LARGE('Calc (scoring engine)'!$K$5:$K$521,15),-999999)&lt;=-900000),"",IFERROR(IF(INDEX(Database!$AZ$5:$AZ$521,MATCH(LARGE('Calc (scoring engine)'!$K$5:$K$521,15),'Calc (scoring engine)'!$K$5:$K$521,0))="","—",INDEX(Database!$AZ$5:$AZ$521,MATCH(LARGE('Calc (scoring engine)'!$K$5:$K$521,15),'Calc (scoring engine)'!$K$5:$K$521,0))),""))</f>
        <v/>
      </c>
      <c r="AV35" s="10">
        <f>IF(OR(15&gt;MAX(3,MIN(15,N($D$18))),IFERROR(LARGE('Calc (scoring engine)'!$K$5:$K$521,15),-999999)&lt;=-900000),"",IFERROR(IF(INDEX(Database!$BA$5:$BA$521,MATCH(LARGE('Calc (scoring engine)'!$K$5:$K$521,15),'Calc (scoring engine)'!$K$5:$K$521,0))="","—",INDEX(Database!$BA$5:$BA$521,MATCH(LARGE('Calc (scoring engine)'!$K$5:$K$521,15),'Calc (scoring engine)'!$K$5:$K$521,0))),""))</f>
        <v/>
      </c>
      <c r="AW35" s="24">
        <f>IF(OR(15&gt;MAX(3,MIN(15,N($D$18))),IFERROR(LARGE('Calc (scoring engine)'!$K$5:$K$521,15),-999999)&lt;=-900000),"",IFERROR(IF(N(INDEX(Database!$BB$5:$BB$521,MATCH(LARGE('Calc (scoring engine)'!$K$5:$K$521,15),'Calc (scoring engine)'!$K$5:$K$521,0)))&lt;=0,IF(INDEX(Database!$BA$5:$BA$521,MATCH(LARGE('Calc (scoring engine)'!$K$5:$K$521,15),'Calc (scoring engine)'!$K$5:$K$521,0))="N","n/m","—"),INDEX(Database!$BB$5:$BB$521,MATCH(LARGE('Calc (scoring engine)'!$K$5:$K$521,15),'Calc (scoring engine)'!$K$5:$K$521,0))),""))</f>
        <v/>
      </c>
      <c r="AX35" s="24">
        <f>IF(OR(15&gt;MAX(3,MIN(15,N($D$18))),IFERROR(LARGE('Calc (scoring engine)'!$K$5:$K$521,15),-999999)&lt;=-900000),"",IFERROR(IF(INDEX(Database!$BC$5:$BC$521,MATCH(LARGE('Calc (scoring engine)'!$K$5:$K$521,15),'Calc (scoring engine)'!$K$5:$K$521,0))="","—",INDEX(Database!$BC$5:$BC$521,MATCH(LARGE('Calc (scoring engine)'!$K$5:$K$521,15),'Calc (scoring engine)'!$K$5:$K$521,0))),""))</f>
        <v/>
      </c>
      <c r="AY35" s="24">
        <f>IF(OR(15&gt;MAX(3,MIN(15,N($D$18))),IFERROR(LARGE('Calc (scoring engine)'!$K$5:$K$521,15),-999999)&lt;=-900000),"",IFERROR(IF(INDEX(Database!$BD$5:$BD$521,MATCH(LARGE('Calc (scoring engine)'!$K$5:$K$521,15),'Calc (scoring engine)'!$K$5:$K$521,0))="","—",INDEX(Database!$BD$5:$BD$521,MATCH(LARGE('Calc (scoring engine)'!$K$5:$K$521,15),'Calc (scoring engine)'!$K$5:$K$521,0))),""))</f>
        <v/>
      </c>
      <c r="AZ35" s="24">
        <f>IF(OR(15&gt;MAX(3,MIN(15,N($D$18))),IFERROR(LARGE('Calc (scoring engine)'!$K$5:$K$521,15),-999999)&lt;=-900000),"",IFERROR(IF(INDEX(Database!$BE$5:$BE$521,MATCH(LARGE('Calc (scoring engine)'!$K$5:$K$521,15),'Calc (scoring engine)'!$K$5:$K$521,0))="","—",INDEX(Database!$BE$5:$BE$521,MATCH(LARGE('Calc (scoring engine)'!$K$5:$K$521,15),'Calc (scoring engine)'!$K$5:$K$521,0))),""))</f>
        <v/>
      </c>
      <c r="BA35" s="24">
        <f>IF(OR(15&gt;MAX(3,MIN(15,N($D$18))),IFERROR(LARGE('Calc (scoring engine)'!$K$5:$K$521,15),-999999)&lt;=-900000),"",IFERROR(IF(INDEX(Database!$BF$5:$BF$521,MATCH(LARGE('Calc (scoring engine)'!$K$5:$K$521,15),'Calc (scoring engine)'!$K$5:$K$521,0))="","—",INDEX(Database!$BF$5:$BF$521,MATCH(LARGE('Calc (scoring engine)'!$K$5:$K$521,15),'Calc (scoring engine)'!$K$5:$K$521,0))),""))</f>
        <v/>
      </c>
      <c r="BB35" s="24">
        <f>IF(OR(15&gt;MAX(3,MIN(15,N($D$18))),IFERROR(LARGE('Calc (scoring engine)'!$K$5:$K$521,15),-999999)&lt;=-900000),"",IFERROR(IFERROR(BDP(TEXT(INDEX(Database!$A$5:$A$521,MATCH(LARGE('Calc (scoring engine)'!$K$5:$K$521,15),'Calc (scoring engine)'!$K$5:$K$521,0)),"0")&amp;" HK Equity","PE_RATIO"),IF(INDEX(Database!$BD$5:$BD$521,MATCH(LARGE('Calc (scoring engine)'!$K$5:$K$521,15),'Calc (scoring engine)'!$K$5:$K$521,0))="","—",INDEX(Database!$BD$5:$BD$521,MATCH(LARGE('Calc (scoring engine)'!$K$5:$K$521,15),'Calc (scoring engine)'!$K$5:$K$521,0)))),""))</f>
        <v/>
      </c>
      <c r="BC35" s="24">
        <f>IF(OR(15&gt;MAX(3,MIN(15,N($D$18))),IFERROR(LARGE('Calc (scoring engine)'!$K$5:$K$521,15),-999999)&lt;=-900000),"",IFERROR(IFERROR(BDP(TEXT(INDEX(Database!$A$5:$A$521,MATCH(LARGE('Calc (scoring engine)'!$K$5:$K$521,15),'Calc (scoring engine)'!$K$5:$K$521,0)),"0")&amp;" HK Equity","PX_TO_SALES_RATIO"),IF(INDEX(Database!$BE$5:$BE$521,MATCH(LARGE('Calc (scoring engine)'!$K$5:$K$521,15),'Calc (scoring engine)'!$K$5:$K$521,0))="","—",INDEX(Database!$BE$5:$BE$521,MATCH(LARGE('Calc (scoring engine)'!$K$5:$K$521,15),'Calc (scoring engine)'!$K$5:$K$521,0)))),""))</f>
        <v/>
      </c>
      <c r="BD35" s="10">
        <f>IF(OR(15&gt;MAX(3,MIN(15,N($D$18))),IFERROR(LARGE('Calc (scoring engine)'!$K$5:$K$521,15),-999999)&lt;=-900000),"",IFERROR(IF(INDEX(Database!$BG$5:$BG$521,MATCH(LARGE('Calc (scoring engine)'!$K$5:$K$521,15),'Calc (scoring engine)'!$K$5:$K$521,0))="","—",INDEX(Database!$BG$5:$BG$521,MATCH(LARGE('Calc (scoring engine)'!$K$5:$K$521,15),'Calc (scoring engine)'!$K$5:$K$521,0))),""))</f>
        <v/>
      </c>
      <c r="BE35" s="10">
        <f>IF(OR(15&gt;MAX(3,MIN(15,N($D$18))),IFERROR(LARGE('Calc (scoring engine)'!$K$5:$K$521,15),-999999)&lt;=-900000),"",IFERROR(IF(INDEX(Database!$BH$5:$BH$521,MATCH(LARGE('Calc (scoring engine)'!$K$5:$K$521,15),'Calc (scoring engine)'!$K$5:$K$521,0))="","—",INDEX(Database!$BH$5:$BH$521,MATCH(LARGE('Calc (scoring engine)'!$K$5:$K$521,15),'Calc (scoring engine)'!$K$5:$K$521,0))),""))</f>
        <v/>
      </c>
      <c r="BF35" s="23">
        <f>IF(OR(15&gt;MAX(3,MIN(15,N($D$18))),IFERROR(LARGE('Calc (scoring engine)'!$K$5:$K$521,15),-999999)&lt;=-900000),"",IFERROR(IF(INDEX(Database!$BI$5:$BI$521,MATCH(LARGE('Calc (scoring engine)'!$K$5:$K$521,15),'Calc (scoring engine)'!$K$5:$K$521,0))="","—",INDEX(Database!$BI$5:$BI$521,MATCH(LARGE('Calc (scoring engine)'!$K$5:$K$521,15),'Calc (scoring engine)'!$K$5:$K$521,0))),""))</f>
        <v/>
      </c>
      <c r="BG35" s="50">
        <f>IF(OR(15&gt;MAX(3,MIN(15,N($D$18))),IFERROR(LARGE('Calc (scoring engine)'!$K$5:$K$521,15),-999999)&lt;=-900000),"",IFERROR(IF(INDEX(Database!$BJ$5:$BJ$521,MATCH(LARGE('Calc (scoring engine)'!$K$5:$K$521,15),'Calc (scoring engine)'!$K$5:$K$521,0))="","—",INDEX(Database!$BJ$5:$BJ$521,MATCH(LARGE('Calc (scoring engine)'!$K$5:$K$521,15),'Calc (scoring engine)'!$K$5:$K$521,0))),""))</f>
        <v/>
      </c>
      <c r="BH35" s="53">
        <f>IF(OR(15&gt;MAX(3,MIN(15,N($D$18))),IFERROR(LARGE('Calc (scoring engine)'!$K$5:$K$521,15),-999999)&lt;=-900000),"",IFERROR(IF(INDEX(Database!$BK$5:$BK$521,MATCH(LARGE('Calc (scoring engine)'!$K$5:$K$521,15),'Calc (scoring engine)'!$K$5:$K$521,0))="","—",INDEX(Database!$BK$5:$BK$521,MATCH(LARGE('Calc (scoring engine)'!$K$5:$K$521,15),'Calc (scoring engine)'!$K$5:$K$521,0))),""))</f>
        <v/>
      </c>
      <c r="BI35" s="19">
        <f>IF(OR(15&gt;MAX(3,MIN(15,N($D$18))),IFERROR(LARGE('Calc (scoring engine)'!$K$5:$K$521,15),-999999)&lt;=-900000),"",IFERROR(IF(INDEX(Database!$BL$5:$BL$521,MATCH(LARGE('Calc (scoring engine)'!$K$5:$K$521,15),'Calc (scoring engine)'!$K$5:$K$521,0))="","—",INDEX(Database!$BL$5:$BL$521,MATCH(LARGE('Calc (scoring engine)'!$K$5:$K$521,15),'Calc (scoring engine)'!$K$5:$K$521,0))),""))</f>
        <v/>
      </c>
      <c r="BJ35" s="24">
        <f>IF(OR(15&gt;MAX(3,MIN(15,N($D$18))),IFERROR(LARGE('Calc (scoring engine)'!$K$5:$K$521,15),-999999)&lt;=-900000),"",IFERROR(IF(INDEX(Database!$BM$5:$BM$521,MATCH(LARGE('Calc (scoring engine)'!$K$5:$K$521,15),'Calc (scoring engine)'!$K$5:$K$521,0))="","—",INDEX(Database!$BM$5:$BM$521,MATCH(LARGE('Calc (scoring engine)'!$K$5:$K$521,15),'Calc (scoring engine)'!$K$5:$K$521,0))),""))</f>
        <v/>
      </c>
      <c r="BK35" s="24">
        <f>IF(OR(15&gt;MAX(3,MIN(15,N($D$18))),IFERROR(LARGE('Calc (scoring engine)'!$K$5:$K$521,15),-999999)&lt;=-900000),"",IFERROR(IF(INDEX(Database!$BN$5:$BN$521,MATCH(LARGE('Calc (scoring engine)'!$K$5:$K$521,15),'Calc (scoring engine)'!$K$5:$K$521,0))="","—",INDEX(Database!$BN$5:$BN$521,MATCH(LARGE('Calc (scoring engine)'!$K$5:$K$521,15),'Calc (scoring engine)'!$K$5:$K$521,0))),""))</f>
        <v/>
      </c>
      <c r="BL35" s="10">
        <f>IF(OR(15&gt;MAX(3,MIN(15,N($D$18))),IFERROR(LARGE('Calc (scoring engine)'!$K$5:$K$521,15),-999999)&lt;=-900000),"",IFERROR(IF(INDEX(Database!$BO$5:$BO$521,MATCH(LARGE('Calc (scoring engine)'!$K$5:$K$521,15),'Calc (scoring engine)'!$K$5:$K$521,0))="","—",INDEX(Database!$BO$5:$BO$521,MATCH(LARGE('Calc (scoring engine)'!$K$5:$K$521,15),'Calc (scoring engine)'!$K$5:$K$521,0))),""))</f>
        <v/>
      </c>
      <c r="BM35" s="10">
        <f>IF(OR(15&gt;MAX(3,MIN(15,N($D$18))),IFERROR(LARGE('Calc (scoring engine)'!$K$5:$K$521,15),-999999)&lt;=-900000),"",IFERROR(IF(INDEX(Database!$BQ$5:$BQ$521,MATCH(LARGE('Calc (scoring engine)'!$K$5:$K$521,15),'Calc (scoring engine)'!$K$5:$K$521,0))="","—",INDEX(Database!$BQ$5:$BQ$521,MATCH(LARGE('Calc (scoring engine)'!$K$5:$K$521,15),'Calc (scoring engine)'!$K$5:$K$521,0))),""))</f>
        <v/>
      </c>
      <c r="BN35" s="54">
        <f>IF(OR(15&gt;MAX(3,MIN(15,N($D$18))),IFERROR(LARGE('Calc (scoring engine)'!$K$5:$K$521,15),-999999)&lt;=-900000),"",IFERROR(IF(INDEX('Calc (scoring engine)'!$H$5:$H$521,MATCH(LARGE('Calc (scoring engine)'!$K$5:$K$521,15),'Calc (scoring engine)'!$K$5:$K$521,0))&gt;0,INDEX('Calc (scoring engine)'!$H$5:$H$521,MATCH(LARGE('Calc (scoring engine)'!$K$5:$K$521,15),'Calc (scoring engine)'!$K$5:$K$521,0)),""),""))</f>
        <v/>
      </c>
      <c r="BO35" s="10">
        <f>IF(OR(15&gt;MAX(3,MIN(15,N($D$18))),IFERROR(LARGE('Calc (scoring engine)'!$K$5:$K$521,15),-999999)&lt;=-900000),"",IF(IFERROR(INDEX('Calc (scoring engine)'!$B$5:$B$521,MATCH(LARGE('Calc (scoring engine)'!$K$5:$K$521,15),'Calc (scoring engine)'!$K$5:$K$521,0)),0)=1,"same subsector","sector only"))</f>
        <v/>
      </c>
      <c r="BP35" s="54">
        <f>IF(OR(15&gt;MAX(3,MIN(15,N($D$18))),IFERROR(LARGE('Calc (scoring engine)'!$K$5:$K$521,15),-999999)&lt;=-900000),"",ROUND(IFERROR(LARGE('Calc (scoring engine)'!$K$5:$K$521,15),0),0))</f>
        <v/>
      </c>
      <c r="BQ35" s="10">
        <f>IF(OR(15&gt;MAX(3,MIN(15,N($D$18))),IFERROR(LARGE('Calc (scoring engine)'!$K$5:$K$521,15),-999999)&lt;=-900000),"",IFERROR("sub "&amp;INDEX('Calc (scoring engine)'!$B$5:$B$521,MATCH(LARGE('Calc (scoring engine)'!$K$5:$K$521,15),'Calc (scoring engine)'!$K$5:$K$521,0))*W_SUB&amp;" + size "&amp;ROUND(INDEX('Calc (scoring engine)'!$D$5:$D$521,MATCH(LARGE('Calc (scoring engine)'!$K$5:$K$521,15),'Calc (scoring engine)'!$K$5:$K$521,0))*W_SIZE,0)&amp;" + prof "&amp;INDEX('Calc (scoring engine)'!$E$5:$E$521,MATCH(LARGE('Calc (scoring engine)'!$K$5:$K$521,15),'Calc (scoring engine)'!$K$5:$K$521,0))*W_PROF&amp;" + recency "&amp;ROUND(INDEX('Calc (scoring engine)'!$G$5:$G$521,MATCH(LARGE('Calc (scoring engine)'!$K$5:$K$521,15),'Calc (scoring engine)'!$K$5:$K$521,0))*W_REC,0)&amp;IF(INDEX('Calc (scoring engine)'!$H$5:$H$521,MATCH(LARGE('Calc (scoring engine)'!$K$5:$K$521,15),'Calc (scoring engine)'!$K$5:$K$521,0))&gt;0," + shared CS x"&amp;INDEX('Calc (scoring engine)'!$H$5:$H$521,MATCH(LARGE('Calc (scoring engine)'!$K$5:$K$521,15),'Calc (scoring engine)'!$K$5:$K$521,0)),""),""))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line",IFERROR(BDP($F$54,"PX_LAST"),IFERROR(INDEX(Pipeline!$S$6:$S$18,MATCH($B$5,Pipeline!$B$6:$B$18,0)),"run on terminal")))</f>
        <v/>
      </c>
      <c r="F53" s="10">
        <f>IFERROR(INDEX(Database!$BH$5:$BH$521,MATCH($B$5,Database!$B$5:$B$521,0)),IFERROR(INDEX(Pipeline!$R$6:$R$18,MATCH($B$5,Pipeline!$B$6:$B$18,0)),""))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IF($F$54="","n/a",IFERROR(BDP($F$54,"PE_RATIO"),IFERROR(INDEX(Pipeline!$T$6:$T$18,MATCH($B$5,Pipeline!$B$6:$B$18,0)),"run on terminal")))</f>
        <v/>
      </c>
      <c r="F56" s="10">
        <f>IF($F$54="","no A-share for this pick",BDH($F$54,"PX_LAST",TEXT(TODAY()-31,"yyyymmdd"),TEXT(TODAY(),"yyyymmdd")))</f>
        <v/>
      </c>
    </row>
    <row r="57">
      <c r="A57" s="17" t="inlineStr">
        <is>
          <t>H offer / cap (HK$)</t>
        </is>
      </c>
      <c r="B57" s="51">
        <f>IFERROR(INDEX(Database!$M$5:$M$521,MATCH($B$5,Database!$B$5:$B$521,0)),IFERROR(INDEX(Pipeline!$L$6:$L$18,MATCH($B$5,Pipeline!$B$6:$B$18,0)),""))</f>
        <v/>
      </c>
    </row>
    <row r="58">
      <c r="A58" s="17" t="inlineStr">
        <is>
          <t>A premium vs H (+ = A above)</t>
        </is>
      </c>
      <c r="B58" s="53">
        <f>IFERROR(IF(OR(N(A_HKD)&lt;=0,N(H_TRM)&lt;=0),"n/a",A_HKD/H_TRM-1),"n/a")</f>
        <v/>
      </c>
    </row>
    <row r="59">
      <c r="A59" s="17" t="inlineStr">
        <is>
          <t>H P/E now (TTM)</t>
        </is>
      </c>
      <c r="B59" s="24">
        <f>IF(IFERROR(TEXT(N(IFERROR(INDEX(Database!$A$5:$A$521,MATCH($B$5,Database!$B$5:$B$521,0)),IFERROR(INDEX(Pipeline!$A$6:$A$18,MATCH($B$5,Pipeline!$B$6:$B$18,0)),""))),"0")&amp;" HK Equity","")="","n/a",IFERROR(BDP(IFERROR(TEXT(N(IFERROR(INDEX(Database!$A$5:$A$521,MATCH($B$5,Database!$B$5:$B$521,0)),IFERROR(INDEX(Pipeline!$A$6:$A$18,MATCH($B$5,Pipeline!$B$6:$B$18,0)),""))),"0")&amp;" HK Equity",""),"PE_RATIO"),IFERROR(INDEX(Database!$BD$5:$BD$521,MATCH($B$5,Database!$B$5:$B$521,0)),"run on terminal")))</f>
        <v/>
      </c>
    </row>
    <row r="60">
      <c r="A60" s="17" t="inlineStr">
        <is>
          <t>H P/S now</t>
        </is>
      </c>
      <c r="B60" s="24">
        <f>IF(IFERROR(TEXT(N(IFERROR(INDEX(Database!$A$5:$A$521,MATCH($B$5,Database!$B$5:$B$521,0)),IFERROR(INDEX(Pipeline!$A$6:$A$18,MATCH($B$5,Pipeline!$B$6:$B$18,0)),""))),"0")&amp;" HK Equity","")="","n/a",IFERROR(BDP(IFERROR(TEXT(N(IFERROR(INDEX(Database!$A$5:$A$521,MATCH($B$5,Database!$B$5:$B$521,0)),IFERROR(INDEX(Pipeline!$A$6:$A$18,MATCH($B$5,Pipeline!$B$6:$B$18,0)),""))),"0")&amp;" HK Equity",""),"PX_TO_SALES_RATIO"),IFERROR(INDEX(Database!$BE$5:$BE$521,MATCH($B$5,Database!$B$5:$B$521,0)),"run on terminal")))</f>
        <v/>
      </c>
    </row>
    <row r="61">
      <c r="A61" s="17" t="inlineStr">
        <is>
          <t>A-line company mkt cap (HK$m)</t>
        </is>
      </c>
      <c r="B61" s="19">
        <f>IF($F$54="","no A line",IFERROR(BDP($F$54,"CUR_MKT_CAP")*IF(N(A_FX)&gt;0,A_FX,1.10)/1000000,IFERROR(INDEX(Database!$BL$5:$BL$521,MATCH($B$5,Database!$B$5:$B$521,0)),"run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E21:AE35">
    <cfRule type="colorScale" priority="1">
      <colorScale>
        <cfvo type="num" val="-60"/>
        <cfvo type="num" val="0"/>
        <cfvo type="num" val="60"/>
        <color rgb="00F8696B"/>
        <color rgb="00FFFFFF"/>
        <color rgb="0063BE7B"/>
      </colorScale>
    </cfRule>
  </conditionalFormatting>
  <conditionalFormatting sqref="AL21:AL35">
    <cfRule type="colorScale" priority="2">
      <colorScale>
        <cfvo type="num" val="-60"/>
        <cfvo type="num" val="0"/>
        <cfvo type="num" val="60"/>
        <color rgb="00F8696B"/>
        <color rgb="00FFFFFF"/>
        <color rgb="0063BE7B"/>
      </colorScale>
    </cfRule>
  </conditionalFormatting>
  <conditionalFormatting sqref="AP21:AP35">
    <cfRule type="colorScale" priority="3">
      <colorScale>
        <cfvo type="num" val="-60"/>
        <cfvo type="num" val="0"/>
        <cfvo type="num" val="60"/>
        <color rgb="00F8696B"/>
        <color rgb="00FFFFFF"/>
        <color rgb="0063BE7B"/>
      </colorScale>
    </cfRule>
  </conditionalFormatting>
  <conditionalFormatting sqref="AC21:AC35">
    <cfRule type="colorScale" priority="4">
      <colorScale>
        <cfvo type="num" val="-60"/>
        <cfvo type="num" val="0"/>
        <cfvo type="num" val="60"/>
        <color rgb="00F8696B"/>
        <color rgb="00FFFFFF"/>
        <color rgb="0063BE7B"/>
      </colorScale>
    </cfRule>
  </conditionalFormatting>
  <conditionalFormatting sqref="AK21:AK35">
    <cfRule type="colorScale" priority="5">
      <colorScale>
        <cfvo type="num" val="-60"/>
        <cfvo type="num" val="0"/>
        <cfvo type="num" val="60"/>
        <color rgb="00F8696B"/>
        <color rgb="00FFFFFF"/>
        <color rgb="0063BE7B"/>
      </colorScale>
    </cfRule>
  </conditionalFormatting>
  <conditionalFormatting sqref="BF21:BF35">
    <cfRule type="colorScale" priority="6">
      <colorScale>
        <cfvo type="num" val="-60"/>
        <cfvo type="num" val="0"/>
        <cfvo type="num" val="60"/>
        <color rgb="00F8696B"/>
        <color rgb="00FFFFFF"/>
        <color rgb="0063BE7B"/>
      </colorScale>
    </cfRule>
  </conditionalFormatting>
  <conditionalFormatting sqref="AO21:AO35">
    <cfRule type="colorScale" priority="7">
      <colorScale>
        <cfvo type="num" val="-60"/>
        <cfvo type="num" val="0"/>
        <cfvo type="num" val="60"/>
        <color rgb="00F8696B"/>
        <color rgb="00FFFFFF"/>
        <color rgb="0063BE7B"/>
      </colorScale>
    </cfRule>
  </conditionalFormatting>
  <conditionalFormatting sqref="AM21:AM35">
    <cfRule type="colorScale" priority="8">
      <colorScale>
        <cfvo type="num" val="-60"/>
        <cfvo type="num" val="0"/>
        <cfvo type="num" val="60"/>
        <color rgb="00F8696B"/>
        <color rgb="00FFFFFF"/>
        <color rgb="0063BE7B"/>
      </colorScale>
    </cfRule>
  </conditionalFormatting>
  <conditionalFormatting sqref="AD21:AD35">
    <cfRule type="colorScale" priority="9">
      <colorScale>
        <cfvo type="num" val="-60"/>
        <cfvo type="num" val="0"/>
        <cfvo type="num" val="60"/>
        <color rgb="00F8696B"/>
        <color rgb="00FFFFFF"/>
        <color rgb="0063BE7B"/>
      </colorScale>
    </cfRule>
  </conditionalFormatting>
  <conditionalFormatting sqref="AG21:AG35">
    <cfRule type="colorScale" priority="10">
      <colorScale>
        <cfvo type="num" val="-60"/>
        <cfvo type="num" val="0"/>
        <cfvo type="num" val="60"/>
        <color rgb="00F8696B"/>
        <color rgb="00FFFFFF"/>
        <color rgb="0063BE7B"/>
      </colorScale>
    </cfRule>
  </conditionalFormatting>
  <conditionalFormatting sqref="BH21:BH35">
    <cfRule type="colorScale" priority="11">
      <colorScale>
        <cfvo type="num" val="-60"/>
        <cfvo type="num" val="0"/>
        <cfvo type="num" val="60"/>
        <color rgb="00F8696B"/>
        <color rgb="00FFFFFF"/>
        <color rgb="0063BE7B"/>
      </colorScale>
    </cfRule>
  </conditionalFormatting>
  <conditionalFormatting sqref="AJ21:AJ35">
    <cfRule type="colorScale" priority="12">
      <colorScale>
        <cfvo type="num" val="-60"/>
        <cfvo type="num" val="0"/>
        <cfvo type="num" val="60"/>
        <color rgb="00F8696B"/>
        <color rgb="00FFFFFF"/>
        <color rgb="0063BE7B"/>
      </colorScale>
    </cfRule>
  </conditionalFormatting>
  <conditionalFormatting sqref="AQ21:AQ35">
    <cfRule type="colorScale" priority="13">
      <colorScale>
        <cfvo type="num" val="-60"/>
        <cfvo type="num" val="0"/>
        <cfvo type="num" val="60"/>
        <color rgb="00F8696B"/>
        <color rgb="00FFFFFF"/>
        <color rgb="0063BE7B"/>
      </colorScale>
    </cfRule>
  </conditionalFormatting>
  <conditionalFormatting sqref="AN21:AN35">
    <cfRule type="colorScale" priority="14">
      <colorScale>
        <cfvo type="num" val="-60"/>
        <cfvo type="num" val="0"/>
        <cfvo type="num" val="60"/>
        <color rgb="00F8696B"/>
        <color rgb="00FFFFFF"/>
        <color rgb="0063BE7B"/>
      </colorScale>
    </cfRule>
  </conditionalFormatting>
  <conditionalFormatting sqref="AR21:AR35">
    <cfRule type="colorScale" priority="15">
      <colorScale>
        <cfvo type="num" val="-60"/>
        <cfvo type="num" val="0"/>
        <cfvo type="num" val="60"/>
        <color rgb="00F8696B"/>
        <color rgb="00FFFFFF"/>
        <color rgb="0063BE7B"/>
      </colorScale>
    </cfRule>
  </conditionalFormatting>
  <conditionalFormatting sqref="AF21:AF35">
    <cfRule type="colorScale" priority="16">
      <colorScale>
        <cfvo type="num" val="-60"/>
        <cfvo type="num" val="0"/>
        <cfvo type="num" val="60"/>
        <color rgb="00F8696B"/>
        <color rgb="00FFFFFF"/>
        <color rgb="0063BE7B"/>
      </colorScale>
    </cfRule>
  </conditionalFormatting>
  <conditionalFormatting sqref="AH21:AH35">
    <cfRule type="colorScale" priority="17">
      <colorScale>
        <cfvo type="num" val="-60"/>
        <cfvo type="num" val="0"/>
        <cfvo type="num" val="60"/>
        <color rgb="00F8696B"/>
        <color rgb="00FFFFFF"/>
        <color rgb="0063BE7B"/>
      </colorScale>
    </cfRule>
  </conditionalFormatting>
  <conditionalFormatting sqref="AS21:AS35">
    <cfRule type="colorScale" priority="18">
      <colorScale>
        <cfvo type="num" val="-60"/>
        <cfvo type="num" val="0"/>
        <cfvo type="num" val="60"/>
        <color rgb="00F8696B"/>
        <color rgb="00FFFFFF"/>
        <color rgb="0063BE7B"/>
      </colorScale>
    </cfRule>
  </conditionalFormatting>
  <conditionalFormatting sqref="AI21:AI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2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-96.97</v>
      </c>
      <c r="AX5" s="71" t="inlineStr">
        <is>
          <t>2026-09-14</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-76.15000000000001</v>
      </c>
      <c r="AX6" s="71" t="inlineStr">
        <is>
          <t>2026-09-14</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3895</v>
      </c>
      <c r="AX7" s="71" t="inlineStr">
        <is>
          <t>2026-09-14</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-39.75</v>
      </c>
      <c r="AX8" s="71" t="inlineStr">
        <is>
          <t>2026-09-14</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-43.64</v>
      </c>
      <c r="AX9" s="71" t="inlineStr">
        <is>
          <t>2026-09-14</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-34.75</v>
      </c>
      <c r="AX10" s="71" t="inlineStr">
        <is>
          <t>2026-09-14</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-84.58</v>
      </c>
      <c r="AX11" s="71" t="inlineStr">
        <is>
          <t>2026-09-14</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-94.81</v>
      </c>
      <c r="AX12" s="71" t="inlineStr">
        <is>
          <t>2026-09-14</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-86.58</v>
      </c>
      <c r="AX13" s="71" t="inlineStr">
        <is>
          <t>2026-09-14</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-78.05</v>
      </c>
      <c r="AX14" s="71" t="inlineStr">
        <is>
          <t>2026-09-14</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-80</v>
      </c>
      <c r="AX15" s="71" t="inlineStr">
        <is>
          <t>2026-09-14</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-43.33</v>
      </c>
      <c r="AX16" s="71" t="inlineStr">
        <is>
          <t>2026-09-14</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-63.47</v>
      </c>
      <c r="AX17" s="71" t="inlineStr">
        <is>
          <t>2026-09-14</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37.5</v>
      </c>
      <c r="AX19" s="71" t="inlineStr">
        <is>
          <t>2026-09-14</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-73.41</v>
      </c>
      <c r="AX20" s="71" t="inlineStr">
        <is>
          <t>2026-09-14</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-95.25</v>
      </c>
      <c r="AX21" s="71" t="inlineStr">
        <is>
          <t>2026-09-14</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106.25</v>
      </c>
      <c r="AX22" s="71" t="inlineStr">
        <is>
          <t>2026-09-14</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linked; outcome wording not recognised, result left blank</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-59.4</v>
      </c>
      <c r="AX23" s="71" t="inlineStr">
        <is>
          <t>2026-09-14</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1.2396</v>
      </c>
      <c r="BL23" s="75" t="n">
        <v>37499.5</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-76.3</v>
      </c>
      <c r="AX24" s="71" t="inlineStr">
        <is>
          <t>2026-09-14</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-91</v>
      </c>
      <c r="AX25" s="71" t="inlineStr">
        <is>
          <t>2026-09-14</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-76.73</v>
      </c>
      <c r="AX26" s="71" t="inlineStr">
        <is>
          <t>2026-09-14</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-58</v>
      </c>
      <c r="AX27" s="71" t="inlineStr">
        <is>
          <t>2026-09-14</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linked; outcome wording not recognised, result left blank</t>
        </is>
      </c>
    </row>
    <row r="28" ht="15" customHeight="1">
      <c r="A28" s="69" t="inlineStr">
        <is>
          <t>9888</t>
        </is>
      </c>
      <c r="B28" s="70" t="inlineStr">
        <is>
          <t>BIDU-SW</t>
        </is>
      </c>
      <c r="C28" s="70" t="inlineStr">
        <is>
          <t>百度集團－Ｗ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-64.56</v>
      </c>
      <c r="AX28" s="71" t="inlineStr">
        <is>
          <t>2026-09-14</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linked; outcome wording not recognised, result left blank</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2026-09-14</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-84.93000000000001</v>
      </c>
      <c r="AX30" s="71" t="inlineStr">
        <is>
          <t>2026-09-14</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-6.35</v>
      </c>
      <c r="AX31" s="71" t="inlineStr">
        <is>
          <t>2026-09-14</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-85.34999999999999</v>
      </c>
      <c r="AX32" s="71" t="inlineStr">
        <is>
          <t>2026-09-14</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-95.36</v>
      </c>
      <c r="AX33" s="71" t="inlineStr">
        <is>
          <t>2026-09-14</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-87.23</v>
      </c>
      <c r="AX34" s="71" t="inlineStr">
        <is>
          <t>2026-09-14</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15.9</v>
      </c>
      <c r="AX35" s="71" t="inlineStr">
        <is>
          <t>2026-09-14</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-85.12</v>
      </c>
      <c r="AX36" s="71" t="inlineStr">
        <is>
          <t>2026-09-14</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v>
      </c>
      <c r="AX37" s="71" t="inlineStr">
        <is>
          <t>2026-09-14</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-55.26</v>
      </c>
      <c r="AX38" s="71" t="inlineStr">
        <is>
          <t>2026-09-14</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-72.97</v>
      </c>
      <c r="AX39" s="71" t="inlineStr">
        <is>
          <t>2026-09-14</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-96.59999999999999</v>
      </c>
      <c r="AX40" s="71" t="inlineStr">
        <is>
          <t>2026-09-14</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-49.02</v>
      </c>
      <c r="AX41" s="71" t="inlineStr">
        <is>
          <t>2026-09-14</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-61.16</v>
      </c>
      <c r="AX42" s="71" t="inlineStr">
        <is>
          <t>2026-09-14</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-38.75</v>
      </c>
      <c r="AX43" s="71" t="inlineStr">
        <is>
          <t>2026-09-14</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189.31</v>
      </c>
      <c r="AX44" s="71" t="inlineStr">
        <is>
          <t>2026-09-14</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-62.91</v>
      </c>
      <c r="AX45" s="71" t="inlineStr">
        <is>
          <t>2026-09-14</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-46.63</v>
      </c>
      <c r="AX46" s="71" t="inlineStr">
        <is>
          <t>2026-09-14</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-96.52</v>
      </c>
      <c r="AX47" s="71" t="inlineStr">
        <is>
          <t>2026-09-14</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-93.11</v>
      </c>
      <c r="AX48" s="71" t="inlineStr">
        <is>
          <t>2026-09-14</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-51.48</v>
      </c>
      <c r="AX49" s="71" t="inlineStr">
        <is>
          <t>2026-09-14</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-76.7</v>
      </c>
      <c r="AX50" s="71" t="inlineStr">
        <is>
          <t>2026-09-14</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-74.53</v>
      </c>
      <c r="AX51" s="71" t="inlineStr">
        <is>
          <t>2026-09-14</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-95.75</v>
      </c>
      <c r="AX52" s="71" t="inlineStr">
        <is>
          <t>2026-09-14</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40.62</v>
      </c>
      <c r="AX53" s="71" t="inlineStr">
        <is>
          <t>2026-09-14</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11.13</v>
      </c>
      <c r="AX54" s="71" t="inlineStr">
        <is>
          <t>2026-09-14</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-64.2</v>
      </c>
      <c r="AX55" s="71" t="inlineStr">
        <is>
          <t>2026-09-11</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-81.16</v>
      </c>
      <c r="AX56" s="71" t="inlineStr">
        <is>
          <t>2026-09-14</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-94.20999999999999</v>
      </c>
      <c r="AX57" s="71" t="inlineStr">
        <is>
          <t>2026-09-14</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-96.04000000000001</v>
      </c>
      <c r="AX58" s="71" t="inlineStr">
        <is>
          <t>2026-09-14</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-74.5</v>
      </c>
      <c r="AX59" s="71" t="inlineStr">
        <is>
          <t>2026-09-14</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-95.36</v>
      </c>
      <c r="AX60" s="71" t="inlineStr">
        <is>
          <t>2026-09-14</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-93.63</v>
      </c>
      <c r="AX61" s="71" t="inlineStr">
        <is>
          <t>2026-09-14</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-90.48999999999999</v>
      </c>
      <c r="AX62" s="71" t="inlineStr">
        <is>
          <t>2026-09-14</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-38.89</v>
      </c>
      <c r="AX63" s="71" t="inlineStr">
        <is>
          <t>2026-09-14</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-85.19</v>
      </c>
      <c r="AX64" s="71" t="inlineStr">
        <is>
          <t>2026-09-11</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198.31</v>
      </c>
      <c r="AX65" s="71" t="inlineStr">
        <is>
          <t>2026-09-14</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2026-09-11</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-59.73</v>
      </c>
      <c r="AX67" s="71" t="inlineStr">
        <is>
          <t>2026-09-14</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-70.89</v>
      </c>
      <c r="AX68" s="71" t="inlineStr">
        <is>
          <t>2026-09-14</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-75.55</v>
      </c>
      <c r="AX69" s="71" t="inlineStr">
        <is>
          <t>2026-09-14</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-93.73</v>
      </c>
      <c r="AX70" s="71" t="inlineStr">
        <is>
          <t>2026-09-14</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-96.81999999999999</v>
      </c>
      <c r="AX71" s="71" t="inlineStr">
        <is>
          <t>2026-09-14</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-60.16</v>
      </c>
      <c r="AX72" s="71" t="inlineStr">
        <is>
          <t>2026-09-14</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-95</v>
      </c>
      <c r="AX73" s="71" t="inlineStr">
        <is>
          <t>2026-09-14</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-28.09</v>
      </c>
      <c r="AX74" s="71" t="inlineStr">
        <is>
          <t>2026-09-14</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-30.14</v>
      </c>
      <c r="AX75" s="71" t="inlineStr">
        <is>
          <t>2026-09-14</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-77.66</v>
      </c>
      <c r="AX76" s="71" t="inlineStr">
        <is>
          <t>2026-09-14</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-50.97</v>
      </c>
      <c r="AX77" s="71" t="inlineStr">
        <is>
          <t>2026-08-31</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-89.36</v>
      </c>
      <c r="AX78" s="71" t="inlineStr">
        <is>
          <t>2026-09-14</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-85.16</v>
      </c>
      <c r="AX79" s="71" t="inlineStr">
        <is>
          <t>2026-09-14</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-40.45</v>
      </c>
      <c r="AX80" s="71" t="inlineStr">
        <is>
          <t>2026-09-11</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-75.72</v>
      </c>
      <c r="AX81" s="71" t="inlineStr">
        <is>
          <t>2026-09-14</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12.75</v>
      </c>
      <c r="AX82" s="71" t="inlineStr">
        <is>
          <t>2026-09-14</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-57.39</v>
      </c>
      <c r="AX83" s="71" t="inlineStr">
        <is>
          <t>2026-09-14</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-80.83</v>
      </c>
      <c r="AX84" s="71" t="inlineStr">
        <is>
          <t>2026-09-14</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-85.06</v>
      </c>
      <c r="AX85" s="71" t="inlineStr">
        <is>
          <t>2026-09-14</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-6.69</v>
      </c>
      <c r="AX86" s="71" t="inlineStr">
        <is>
          <t>2026-09-14</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-44.69</v>
      </c>
      <c r="AX87" s="71" t="inlineStr">
        <is>
          <t>2026-09-14</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0.3545</v>
      </c>
      <c r="BL87" s="75" t="n">
        <v>74893.7</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-87.5</v>
      </c>
      <c r="AX88" s="71" t="inlineStr">
        <is>
          <t>2026-09-14</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-45.13</v>
      </c>
      <c r="AX89" s="71" t="inlineStr">
        <is>
          <t>2026-09-14</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823.77</v>
      </c>
      <c r="AX90" s="71" t="inlineStr">
        <is>
          <t>2026-09-14</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-71.43000000000001</v>
      </c>
      <c r="AX91" s="71" t="inlineStr">
        <is>
          <t>2026-09-11</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494.59</v>
      </c>
      <c r="AX92" s="71" t="inlineStr">
        <is>
          <t>2026-09-11</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-92.19</v>
      </c>
      <c r="AX93" s="71" t="inlineStr">
        <is>
          <t>2026-09-14</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-42.25</v>
      </c>
      <c r="AX94" s="71" t="inlineStr">
        <is>
          <t>2026-09-14</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-94.02</v>
      </c>
      <c r="AX95" s="71" t="inlineStr">
        <is>
          <t>2026-09-14</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-67.14</v>
      </c>
      <c r="AX96" s="71" t="inlineStr">
        <is>
          <t>2026-09-14</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1.23</v>
      </c>
      <c r="AX97" s="71" t="inlineStr">
        <is>
          <t>2026-09-11</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-25.3</v>
      </c>
      <c r="AX98" s="71" t="inlineStr">
        <is>
          <t>2026-09-14</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0.8396</v>
      </c>
      <c r="BL98" s="75" t="n">
        <v>40118.7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-82.93000000000001</v>
      </c>
      <c r="AX99" s="71" t="inlineStr">
        <is>
          <t>2026-09-14</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-88.52</v>
      </c>
      <c r="AX100" s="71" t="inlineStr">
        <is>
          <t>2026-09-14</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-84.26000000000001</v>
      </c>
      <c r="AX101" s="71" t="inlineStr">
        <is>
          <t>2026-09-14</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2026-09-11</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-44.11</v>
      </c>
      <c r="AX103" s="71" t="inlineStr">
        <is>
          <t>2026-09-14</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2026-09-11</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2026-09-11</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-80.23999999999999</v>
      </c>
      <c r="AX106" s="71" t="inlineStr">
        <is>
          <t>2026-09-11</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-69.51000000000001</v>
      </c>
      <c r="AX107" s="71" t="inlineStr">
        <is>
          <t>2026-09-14</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-77.17</v>
      </c>
      <c r="AX108" s="71" t="inlineStr">
        <is>
          <t>2026-09-14</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-67.23</v>
      </c>
      <c r="AX109" s="71" t="inlineStr">
        <is>
          <t>2026-09-14</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-93.84999999999999</v>
      </c>
      <c r="AX110" s="71" t="inlineStr">
        <is>
          <t>2026-09-14</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-64.29000000000001</v>
      </c>
      <c r="AX111" s="71" t="inlineStr">
        <is>
          <t>2026-09-14</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-60.31</v>
      </c>
      <c r="AX112" s="71" t="inlineStr">
        <is>
          <t>2026-09-14</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-99.45</v>
      </c>
      <c r="AX113" s="71" t="inlineStr">
        <is>
          <t>2026-09-14</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-61.17</v>
      </c>
      <c r="AX114" s="71" t="inlineStr">
        <is>
          <t>2026-09-14</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54.76</v>
      </c>
      <c r="AX115" s="71" t="inlineStr">
        <is>
          <t>2026-09-14</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-31.09</v>
      </c>
      <c r="AX116" s="71" t="inlineStr">
        <is>
          <t>2026-09-14</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-98.33</v>
      </c>
      <c r="AX117" s="71" t="inlineStr">
        <is>
          <t>2026-09-14</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-61.15</v>
      </c>
      <c r="AX118" s="71" t="inlineStr">
        <is>
          <t>2026-09-14</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-83.97</v>
      </c>
      <c r="AX119" s="71" t="inlineStr">
        <is>
          <t>2026-09-14</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-97.47</v>
      </c>
      <c r="AX120" s="71" t="inlineStr">
        <is>
          <t>2026-09-14</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-24.72</v>
      </c>
      <c r="AX121" s="71" t="inlineStr">
        <is>
          <t>2026-09-14</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-31.18</v>
      </c>
      <c r="AX122" s="71" t="inlineStr">
        <is>
          <t>2026-09-14</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28.77</v>
      </c>
      <c r="AX123" s="71" t="inlineStr">
        <is>
          <t>2026-09-14</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2026-09-11</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-53.46</v>
      </c>
      <c r="AX125" s="71" t="inlineStr">
        <is>
          <t>2026-09-14</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-61.24</v>
      </c>
      <c r="AX126" s="71" t="inlineStr">
        <is>
          <t>2026-09-14</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0.5808</v>
      </c>
      <c r="BL126" s="75" t="n">
        <v>86072.2</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57.5</v>
      </c>
      <c r="AX127" s="71" t="inlineStr">
        <is>
          <t>2026-09-14</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70.37</v>
      </c>
      <c r="AX128" s="71" t="inlineStr">
        <is>
          <t>2026-09-11</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-67.31</v>
      </c>
      <c r="AX129" s="71" t="inlineStr">
        <is>
          <t>2026-09-11</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-41.54</v>
      </c>
      <c r="AX130" s="71" t="inlineStr">
        <is>
          <t>2026-09-11</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-89.59</v>
      </c>
      <c r="AX131" s="71" t="inlineStr">
        <is>
          <t>2026-09-14</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-10.71</v>
      </c>
      <c r="AX132" s="71" t="inlineStr">
        <is>
          <t>2026-09-11</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-44.3</v>
      </c>
      <c r="AX133" s="71" t="inlineStr">
        <is>
          <t>2026-09-11</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-70.66</v>
      </c>
      <c r="AX134" s="71" t="inlineStr">
        <is>
          <t>2026-09-14</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0.3041</v>
      </c>
      <c r="BL134" s="75" t="n">
        <v>125629.6</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135.73</v>
      </c>
      <c r="AX135" s="71" t="inlineStr">
        <is>
          <t>2026-09-14</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1.4248</v>
      </c>
      <c r="BL135" s="75" t="n">
        <v>64428.4</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-93.33</v>
      </c>
      <c r="AX136" s="71" t="inlineStr">
        <is>
          <t>2026-09-14</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-12.94</v>
      </c>
      <c r="AX137" s="71" t="inlineStr">
        <is>
          <t>2026-09-14</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-23.17</v>
      </c>
      <c r="AX138" s="71" t="inlineStr">
        <is>
          <t>2026-09-14</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-60.53</v>
      </c>
      <c r="AX139" s="71" t="inlineStr">
        <is>
          <t>2026-09-14</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-89.67</v>
      </c>
      <c r="AX140" s="71" t="inlineStr">
        <is>
          <t>2026-09-14</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-55.66</v>
      </c>
      <c r="AX141" s="71" t="inlineStr">
        <is>
          <t>2026-09-14</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-74.28</v>
      </c>
      <c r="AX142" s="71" t="inlineStr">
        <is>
          <t>2026-09-14</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644</v>
      </c>
      <c r="AX143" s="71" t="inlineStr">
        <is>
          <t>2026-09-14</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210.16</v>
      </c>
      <c r="AX144" s="71" t="inlineStr">
        <is>
          <t>2026-09-14</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-98.11</v>
      </c>
      <c r="AX145" s="71" t="inlineStr">
        <is>
          <t>2026-09-14</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4.36</v>
      </c>
      <c r="AX146" s="71" t="inlineStr">
        <is>
          <t>2026-09-14</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-62.44</v>
      </c>
      <c r="AX147" s="71" t="inlineStr">
        <is>
          <t>2026-09-14</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-28.12</v>
      </c>
      <c r="AX149" s="71" t="inlineStr">
        <is>
          <t>2026-09-14</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-50.7</v>
      </c>
      <c r="AX150" s="71" t="inlineStr">
        <is>
          <t>2026-09-14</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146.05</v>
      </c>
      <c r="AX151" s="71" t="inlineStr">
        <is>
          <t>2026-09-14</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-33.56</v>
      </c>
      <c r="AX152" s="71" t="inlineStr">
        <is>
          <t>2026-09-14</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linked; outcome wording not recognised, result left blank</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11.9</v>
      </c>
      <c r="AX153" s="71" t="inlineStr">
        <is>
          <t>2026-09-14</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-36.19</v>
      </c>
      <c r="AX154" s="71" t="inlineStr">
        <is>
          <t>2026-09-14</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-90.95</v>
      </c>
      <c r="AX155" s="71" t="inlineStr">
        <is>
          <t>2026-09-14</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-70.33</v>
      </c>
      <c r="AX156" s="71" t="inlineStr">
        <is>
          <t>2026-09-14</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-30.36</v>
      </c>
      <c r="AX157" s="71" t="inlineStr">
        <is>
          <t>2026-09-11</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-90.93000000000001</v>
      </c>
      <c r="AX158" s="71" t="inlineStr">
        <is>
          <t>2026-09-14</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-33</v>
      </c>
      <c r="AX159" s="71" t="inlineStr">
        <is>
          <t>2026-09-14</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-21</v>
      </c>
      <c r="AX160" s="71" t="inlineStr">
        <is>
          <t>2026-09-14</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-12.22</v>
      </c>
      <c r="AX161" s="71" t="inlineStr">
        <is>
          <t>2026-09-14</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-91.42</v>
      </c>
      <c r="AX162" s="71" t="inlineStr">
        <is>
          <t>2026-09-14</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-58.13</v>
      </c>
      <c r="AX163" s="71" t="inlineStr">
        <is>
          <t>2026-09-14</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433.96</v>
      </c>
      <c r="AX164" s="71" t="inlineStr">
        <is>
          <t>2026-09-14</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-96.81</v>
      </c>
      <c r="AX165" s="71" t="inlineStr">
        <is>
          <t>2026-09-14</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-72.5</v>
      </c>
      <c r="AX166" s="71" t="inlineStr">
        <is>
          <t>2026-09-11</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-86.01000000000001</v>
      </c>
      <c r="AX167" s="71" t="inlineStr">
        <is>
          <t>2026-09-14</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-85.95999999999999</v>
      </c>
      <c r="AX168" s="71" t="inlineStr">
        <is>
          <t>2026-09-14</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-97.12</v>
      </c>
      <c r="AX169" s="71" t="inlineStr">
        <is>
          <t>2026-09-14</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-63.09</v>
      </c>
      <c r="AX170" s="71" t="inlineStr">
        <is>
          <t>2026-09-14</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0.8025</v>
      </c>
      <c r="BL170" s="75" t="n">
        <v>4899.4</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-94.70999999999999</v>
      </c>
      <c r="AX171" s="71" t="inlineStr">
        <is>
          <t>2026-09-14</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-74.73</v>
      </c>
      <c r="AX172" s="71" t="inlineStr">
        <is>
          <t>2026-09-14</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-4.81</v>
      </c>
      <c r="AX173" s="71" t="inlineStr">
        <is>
          <t>2026-09-14</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6.15</v>
      </c>
      <c r="AX174" s="71" t="inlineStr">
        <is>
          <t>2026-09-14</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-95.91</v>
      </c>
      <c r="AX175" s="71" t="inlineStr">
        <is>
          <t>2026-09-14</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-59.12</v>
      </c>
      <c r="AX176" s="71" t="inlineStr">
        <is>
          <t>2026-09-14</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-52.94</v>
      </c>
      <c r="AX177" s="71" t="inlineStr">
        <is>
          <t>2026-09-14</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350.26</v>
      </c>
      <c r="AX178" s="71" t="inlineStr">
        <is>
          <t>2026-09-14</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-89.66</v>
      </c>
      <c r="AX179" s="71" t="inlineStr">
        <is>
          <t>2026-09-11</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65.53</v>
      </c>
      <c r="AX180" s="71" t="inlineStr">
        <is>
          <t>2026-09-14</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-34.22</v>
      </c>
      <c r="AX181" s="71" t="inlineStr">
        <is>
          <t>2026-09-14</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33.18</v>
      </c>
      <c r="AX182" s="71" t="inlineStr">
        <is>
          <t>2026-09-14</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-94.41</v>
      </c>
      <c r="AX183" s="71" t="inlineStr">
        <is>
          <t>2026-09-14</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-53.57</v>
      </c>
      <c r="AX184" s="71" t="inlineStr">
        <is>
          <t>2026-09-14</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-78.86</v>
      </c>
      <c r="AX185" s="71" t="inlineStr">
        <is>
          <t>2026-09-14</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-89.90000000000001</v>
      </c>
      <c r="AX186" s="71" t="inlineStr">
        <is>
          <t>2026-09-14</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-29.85</v>
      </c>
      <c r="AX187" s="71" t="inlineStr">
        <is>
          <t>2026-09-14</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-91.65000000000001</v>
      </c>
      <c r="AX188" s="71" t="inlineStr">
        <is>
          <t>2026-09-14</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-57.93</v>
      </c>
      <c r="AX189" s="71" t="inlineStr">
        <is>
          <t>2026-09-14</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10837.5</v>
      </c>
      <c r="AX190" s="71" t="inlineStr">
        <is>
          <t>2026-09-14</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-68.25</v>
      </c>
      <c r="AX191" s="71" t="inlineStr">
        <is>
          <t>2026-09-14</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-84.73</v>
      </c>
      <c r="AX192" s="71" t="inlineStr">
        <is>
          <t>2026-09-14</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-69.19</v>
      </c>
      <c r="AX193" s="71" t="inlineStr">
        <is>
          <t>2026-09-14</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-93.59</v>
      </c>
      <c r="AX194" s="71" t="inlineStr">
        <is>
          <t>2026-09-14</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-82.5</v>
      </c>
      <c r="AX195" s="71" t="inlineStr">
        <is>
          <t>2026-09-14</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-46.54</v>
      </c>
      <c r="AX196" s="71" t="inlineStr">
        <is>
          <t>2026-09-14</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-67.53</v>
      </c>
      <c r="AX197" s="71" t="inlineStr">
        <is>
          <t>2026-09-11</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-30.56</v>
      </c>
      <c r="AX198" s="71" t="inlineStr">
        <is>
          <t>2026-09-11</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694.0599999999999</v>
      </c>
      <c r="AX199" s="71" t="inlineStr">
        <is>
          <t>2026-09-14</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-95.33</v>
      </c>
      <c r="AX200" s="71" t="inlineStr">
        <is>
          <t>2026-09-14</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-13.53</v>
      </c>
      <c r="AX201" s="71" t="inlineStr">
        <is>
          <t>2026-09-14</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-36.41</v>
      </c>
      <c r="AX202" s="71" t="inlineStr">
        <is>
          <t>2026-09-14</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153.81</v>
      </c>
      <c r="AX203" s="71" t="inlineStr">
        <is>
          <t>2026-09-14</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-82.95999999999999</v>
      </c>
      <c r="AX204" s="71" t="inlineStr">
        <is>
          <t>2026-09-14</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2026-09-11</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樂艙控股</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60.62</v>
      </c>
      <c r="AX206" s="71" t="inlineStr">
        <is>
          <t>2026-09-14</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-55.29</v>
      </c>
      <c r="AX207" s="71" t="inlineStr">
        <is>
          <t>2026-09-14</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-78.98999999999999</v>
      </c>
      <c r="AX208" s="71" t="inlineStr">
        <is>
          <t>2026-09-11</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-35.07</v>
      </c>
      <c r="AX209" s="71" t="inlineStr">
        <is>
          <t>2026-09-14</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-54.14</v>
      </c>
      <c r="AX210" s="71" t="inlineStr">
        <is>
          <t>2026-09-14</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-71.15000000000001</v>
      </c>
      <c r="AX211" s="71" t="inlineStr">
        <is>
          <t>2026-09-11</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50.85</v>
      </c>
      <c r="AX212" s="71" t="inlineStr">
        <is>
          <t>2026-09-14</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-71.88</v>
      </c>
      <c r="AX213" s="71" t="inlineStr">
        <is>
          <t>2026-09-14</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82.90000000000001</v>
      </c>
      <c r="AX214" s="71" t="inlineStr">
        <is>
          <t>2026-09-14</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-22.5</v>
      </c>
      <c r="AX215" s="71" t="inlineStr">
        <is>
          <t>2026-09-14</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-74.41</v>
      </c>
      <c r="AX216" s="71" t="inlineStr">
        <is>
          <t>2026-09-14</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-80.39</v>
      </c>
      <c r="AX217" s="71" t="inlineStr">
        <is>
          <t>2026-09-14</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25.45</v>
      </c>
      <c r="AX218" s="71" t="inlineStr">
        <is>
          <t>2026-09-14</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2026-09-14</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-59.73</v>
      </c>
      <c r="AX220" s="71" t="inlineStr">
        <is>
          <t>2026-09-14</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267.96</v>
      </c>
      <c r="AX221" s="71" t="inlineStr">
        <is>
          <t>2026-09-14</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11.7</v>
      </c>
      <c r="AX222" s="71" t="inlineStr">
        <is>
          <t>2026-09-11</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192.19</v>
      </c>
      <c r="AX223" s="71" t="inlineStr">
        <is>
          <t>2026-09-14</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-88.81</v>
      </c>
      <c r="AX224" s="71" t="inlineStr">
        <is>
          <t>2026-09-14</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v>
      </c>
      <c r="AX225" s="71" t="inlineStr">
        <is>
          <t>2026-09-14</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58.59</v>
      </c>
      <c r="AX226" s="71" t="inlineStr">
        <is>
          <t>2026-09-14</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-30.31</v>
      </c>
      <c r="AX227" s="71" t="inlineStr">
        <is>
          <t>2026-09-14</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-49.56</v>
      </c>
      <c r="AX228" s="71" t="inlineStr">
        <is>
          <t>2026-09-14</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-50</v>
      </c>
      <c r="AX229" s="71" t="inlineStr">
        <is>
          <t>2026-09-11</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-92.34</v>
      </c>
      <c r="AX230" s="71" t="inlineStr">
        <is>
          <t>2026-09-14</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-21.67</v>
      </c>
      <c r="AX231" s="71" t="inlineStr">
        <is>
          <t>2026-09-14</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50.91</v>
      </c>
      <c r="AX232" s="71" t="inlineStr">
        <is>
          <t>2026-09-14</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-71.04000000000001</v>
      </c>
      <c r="AX233" s="71" t="inlineStr">
        <is>
          <t>2026-09-14</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-64.95</v>
      </c>
      <c r="AX234" s="71" t="inlineStr">
        <is>
          <t>2026-09-14</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17.51</v>
      </c>
      <c r="AX235" s="71" t="inlineStr">
        <is>
          <t>2026-09-14</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-12.33</v>
      </c>
      <c r="AX236" s="71" t="inlineStr">
        <is>
          <t>2026-09-14</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-61.72</v>
      </c>
      <c r="AX237" s="71" t="inlineStr">
        <is>
          <t>2026-09-14</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-94.75</v>
      </c>
      <c r="AX238" s="71" t="inlineStr">
        <is>
          <t>2026-09-14</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-75.09999999999999</v>
      </c>
      <c r="AX239" s="71" t="inlineStr">
        <is>
          <t>2026-09-14</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-47.65</v>
      </c>
      <c r="AX240" s="71" t="inlineStr">
        <is>
          <t>2026-09-14</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72</v>
      </c>
      <c r="AX241" s="71" t="inlineStr">
        <is>
          <t>2026-09-14</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162</v>
      </c>
      <c r="AX242" s="71" t="inlineStr">
        <is>
          <t>2026-09-14</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-27.27</v>
      </c>
      <c r="AX243" s="71" t="inlineStr">
        <is>
          <t>2026-09-11</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-16.52</v>
      </c>
      <c r="AX244" s="71" t="inlineStr">
        <is>
          <t>2026-09-14</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125.25</v>
      </c>
      <c r="AX245" s="71" t="inlineStr">
        <is>
          <t>2026-09-14</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-77.31</v>
      </c>
      <c r="AX246" s="71" t="inlineStr">
        <is>
          <t>2026-09-14</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-51.85</v>
      </c>
      <c r="AX247" s="71" t="inlineStr">
        <is>
          <t>2026-09-14</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-64.68000000000001</v>
      </c>
      <c r="AX248" s="71" t="inlineStr">
        <is>
          <t>2026-09-14</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108.2</v>
      </c>
      <c r="AX249" s="71" t="inlineStr">
        <is>
          <t>2026-09-14</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-76.83</v>
      </c>
      <c r="AX250" s="71" t="inlineStr">
        <is>
          <t>2026-09-14</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2026-09-14</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19.72</v>
      </c>
      <c r="AX252" s="71" t="inlineStr">
        <is>
          <t>2026-09-14</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-14.84</v>
      </c>
      <c r="AX253" s="71" t="inlineStr">
        <is>
          <t>2026-09-11</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2026-09-11</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-68.40000000000001</v>
      </c>
      <c r="AX255" s="71" t="inlineStr">
        <is>
          <t>2026-09-14</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-73.25</v>
      </c>
      <c r="AX256" s="71" t="inlineStr">
        <is>
          <t>2026-09-11</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-88.09</v>
      </c>
      <c r="AX257" s="71" t="inlineStr">
        <is>
          <t>2026-09-14</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-66.92</v>
      </c>
      <c r="AX258" s="71" t="inlineStr">
        <is>
          <t>2026-09-14</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-65.78</v>
      </c>
      <c r="AX259" s="71" t="inlineStr">
        <is>
          <t>2026-09-14</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29.45</v>
      </c>
      <c r="AX260" s="71" t="inlineStr">
        <is>
          <t>2026-09-14</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-40</v>
      </c>
      <c r="AX261" s="71" t="inlineStr">
        <is>
          <t>2026-09-14</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81.81999999999999</v>
      </c>
      <c r="AX262" s="71" t="inlineStr">
        <is>
          <t>2026-09-14</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嘀嗒出行－ＰＦ</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-81.17</v>
      </c>
      <c r="AX263" s="71" t="inlineStr">
        <is>
          <t>2026-09-14</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2026-09-11</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811.11</v>
      </c>
      <c r="AX265" s="71" t="inlineStr">
        <is>
          <t>2026-09-14</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-67.2</v>
      </c>
      <c r="AX266" s="71" t="inlineStr">
        <is>
          <t>2026-09-14</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-64.87</v>
      </c>
      <c r="AX267" s="71" t="inlineStr">
        <is>
          <t>2026-09-14</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-67.61</v>
      </c>
      <c r="AX268" s="71" t="inlineStr">
        <is>
          <t>2026-09-14</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-91.38</v>
      </c>
      <c r="AX269" s="71" t="inlineStr">
        <is>
          <t>2026-09-14</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-12.86</v>
      </c>
      <c r="AX270" s="71" t="inlineStr">
        <is>
          <t>2026-09-14</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-82.12</v>
      </c>
      <c r="AX271" s="71" t="inlineStr">
        <is>
          <t>2026-09-14</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-81.43000000000001</v>
      </c>
      <c r="AX272" s="71" t="inlineStr">
        <is>
          <t>2026-09-11</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62.98</v>
      </c>
      <c r="AX273" s="71" t="inlineStr">
        <is>
          <t>2026-09-14</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1.06</v>
      </c>
      <c r="AX274" s="71" t="inlineStr">
        <is>
          <t>2026-09-11</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24.93</v>
      </c>
      <c r="AX275" s="71" t="inlineStr">
        <is>
          <t>2026-09-14</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linked; outcome wording not recognised, result left blank</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-66.8</v>
      </c>
      <c r="AX276" s="71" t="inlineStr">
        <is>
          <t>2026-09-14</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-74.63</v>
      </c>
      <c r="AX277" s="71" t="inlineStr">
        <is>
          <t>2026-09-14</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82.48</v>
      </c>
      <c r="AX278" s="71" t="inlineStr">
        <is>
          <t>2026-09-14</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0.0148</v>
      </c>
      <c r="BL278" s="75" t="n">
        <v>774345.5</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-30.36</v>
      </c>
      <c r="AX279" s="71" t="inlineStr">
        <is>
          <t>2026-09-14</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-62.31</v>
      </c>
      <c r="AX280" s="71" t="inlineStr">
        <is>
          <t>2026-09-14</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27.4</v>
      </c>
      <c r="AX281" s="71" t="inlineStr">
        <is>
          <t>2026-09-11</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-88</v>
      </c>
      <c r="AX282" s="71" t="inlineStr">
        <is>
          <t>2026-09-14</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-50.55</v>
      </c>
      <c r="AX283" s="71" t="inlineStr">
        <is>
          <t>2026-09-14</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4.89</v>
      </c>
      <c r="AX284" s="71" t="inlineStr">
        <is>
          <t>2026-09-14</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61.73</v>
      </c>
      <c r="AX285" s="71" t="inlineStr">
        <is>
          <t>2026-09-14</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1.3447</v>
      </c>
      <c r="BL285" s="75" t="n">
        <v>16498.8</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-73.12</v>
      </c>
      <c r="AX286" s="71" t="inlineStr">
        <is>
          <t>2026-09-14</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229.9</v>
      </c>
      <c r="AX287" s="71" t="inlineStr">
        <is>
          <t>2026-09-14</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-74.36</v>
      </c>
      <c r="AX288" s="71" t="inlineStr">
        <is>
          <t>2026-09-14</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-57.06</v>
      </c>
      <c r="AX289" s="71" t="inlineStr">
        <is>
          <t>2026-09-14</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-92.27</v>
      </c>
      <c r="AX290" s="71" t="inlineStr">
        <is>
          <t>2026-09-14</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-14.99</v>
      </c>
      <c r="AX291" s="71" t="inlineStr">
        <is>
          <t>2026-09-14</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0.2421</v>
      </c>
      <c r="BL291" s="75" t="n">
        <v>190736.2</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-56.56</v>
      </c>
      <c r="AX292" s="71" t="inlineStr">
        <is>
          <t>2026-09-14</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123.67</v>
      </c>
      <c r="AX293" s="71" t="inlineStr">
        <is>
          <t>2026-09-14</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linked; outcome wording not recognised, result left blank</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-84.39</v>
      </c>
      <c r="AX294" s="71" t="inlineStr">
        <is>
          <t>2026-09-14</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-94.54000000000001</v>
      </c>
      <c r="AX295" s="71" t="inlineStr">
        <is>
          <t>2026-09-14</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60</v>
      </c>
      <c r="AX296" s="71" t="inlineStr">
        <is>
          <t>2026-09-14</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-74.93000000000001</v>
      </c>
      <c r="AX297" s="71" t="inlineStr">
        <is>
          <t>2026-09-14</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-5.76</v>
      </c>
      <c r="AX298" s="71" t="inlineStr">
        <is>
          <t>2026-09-14</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9.26</v>
      </c>
      <c r="AX299" s="71" t="inlineStr">
        <is>
          <t>2026-09-14</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-86.65000000000001</v>
      </c>
      <c r="AX300" s="71" t="inlineStr">
        <is>
          <t>2026-09-14</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-88.65000000000001</v>
      </c>
      <c r="AX301" s="71" t="inlineStr">
        <is>
          <t>2026-09-14</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31.82</v>
      </c>
      <c r="AX302" s="71" t="inlineStr">
        <is>
          <t>2026-09-14</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-19.32</v>
      </c>
      <c r="AX303" s="71" t="inlineStr">
        <is>
          <t>2026-09-14</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-60.56</v>
      </c>
      <c r="AX304" s="71" t="inlineStr">
        <is>
          <t>2026-09-14</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-54.33</v>
      </c>
      <c r="AX305" s="71" t="inlineStr">
        <is>
          <t>2026-09-14</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2026-09-11</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15.49</v>
      </c>
      <c r="AX307" s="71" t="inlineStr">
        <is>
          <t>2026-09-14</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2026-09-14</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2.32</v>
      </c>
      <c r="AX309" s="71" t="inlineStr">
        <is>
          <t>2026-09-11</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16.55</v>
      </c>
      <c r="AX310" s="71" t="inlineStr">
        <is>
          <t>2026-09-14</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124.14</v>
      </c>
      <c r="AX311" s="71" t="inlineStr">
        <is>
          <t>2026-09-14</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-4.99</v>
      </c>
      <c r="AX312" s="71" t="inlineStr">
        <is>
          <t>2026-09-14</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181.63</v>
      </c>
      <c r="AX313" s="71" t="inlineStr">
        <is>
          <t>2026-09-14</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0.3459</v>
      </c>
      <c r="BL313" s="75" t="n">
        <v>98840.89999999999</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-71.92</v>
      </c>
      <c r="AX314" s="71" t="inlineStr">
        <is>
          <t>2026-09-14</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v>26.6</v>
      </c>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-7.67</v>
      </c>
      <c r="AX315" s="71" t="inlineStr">
        <is>
          <t>2026-09-14</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price range: no usable price range;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174.51</v>
      </c>
      <c r="AX316" s="71" t="inlineStr">
        <is>
          <t>2026-09-14</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-44.8</v>
      </c>
      <c r="AX317" s="71" t="inlineStr">
        <is>
          <t>2026-09-14</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-47.46</v>
      </c>
      <c r="AX318" s="71" t="inlineStr">
        <is>
          <t>2026-09-14</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96.51000000000001</v>
      </c>
      <c r="AX319" s="71" t="inlineStr">
        <is>
          <t>2026-09-14</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-33.67</v>
      </c>
      <c r="AX320" s="71" t="inlineStr">
        <is>
          <t>2026-09-14</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-46.82</v>
      </c>
      <c r="AX321" s="71" t="inlineStr">
        <is>
          <t>2026-09-14</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2.6643</v>
      </c>
      <c r="BL321" s="75" t="n">
        <v>13435.3</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-31.89</v>
      </c>
      <c r="AX322" s="71" t="inlineStr">
        <is>
          <t>2026-09-14</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-28.51</v>
      </c>
      <c r="AX323" s="71" t="inlineStr">
        <is>
          <t>2026-09-14</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108.75</v>
      </c>
      <c r="AX324" s="71" t="inlineStr">
        <is>
          <t>2026-09-14</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-0.2821</v>
      </c>
      <c r="BL324" s="75" t="n">
        <v>1823804</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2026-09-11</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2.16</v>
      </c>
      <c r="AX326" s="71" t="inlineStr">
        <is>
          <t>2026-09-14</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0.1211</v>
      </c>
      <c r="BL326" s="75" t="n">
        <v>334875.8</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-62.88</v>
      </c>
      <c r="AX327" s="71" t="inlineStr">
        <is>
          <t>2026-09-14</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64.70999999999999</v>
      </c>
      <c r="AX328" s="71" t="inlineStr">
        <is>
          <t>2026-09-14</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0.8262</v>
      </c>
      <c r="BL328" s="75" t="n">
        <v>10582.2</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 grey market: no archived print; add to data/grey_market_manual.json</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-65.16</v>
      </c>
      <c r="AX329" s="71" t="inlineStr">
        <is>
          <t>2026-09-11</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2026-09-11</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-70.69</v>
      </c>
      <c r="AX331" s="71" t="inlineStr">
        <is>
          <t>2026-09-11</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-88.72</v>
      </c>
      <c r="AX332" s="71" t="inlineStr">
        <is>
          <t>2026-09-14</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-25.34</v>
      </c>
      <c r="AX333" s="71" t="inlineStr">
        <is>
          <t>2026-09-14</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0.4732</v>
      </c>
      <c r="BL333" s="75" t="n">
        <v>233637.8</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-31.64</v>
      </c>
      <c r="AX334" s="71" t="inlineStr">
        <is>
          <t>2026-09-14</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7.23</v>
      </c>
      <c r="AX335" s="71" t="inlineStr">
        <is>
          <t>2026-09-14</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0.6793</v>
      </c>
      <c r="BL335" s="75" t="n">
        <v>170741.2</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-27.22</v>
      </c>
      <c r="AX336" s="71" t="inlineStr">
        <is>
          <t>2026-09-14</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-61.36</v>
      </c>
      <c r="AX337" s="71" t="inlineStr">
        <is>
          <t>2026-09-14</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-72.79000000000001</v>
      </c>
      <c r="AX338" s="71" t="inlineStr">
        <is>
          <t>2026-09-14</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-47.83</v>
      </c>
      <c r="AX339" s="71" t="inlineStr">
        <is>
          <t>2026-09-14</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-53.04</v>
      </c>
      <c r="AX340" s="71" t="inlineStr">
        <is>
          <t>2026-09-14</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-29.51</v>
      </c>
      <c r="AX341" s="71" t="inlineStr">
        <is>
          <t>2026-09-11</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-65.8</v>
      </c>
      <c r="AX342" s="71" t="inlineStr">
        <is>
          <t>2026-09-14</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-38.37</v>
      </c>
      <c r="AX343" s="71" t="inlineStr">
        <is>
          <t>2026-09-14</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-84.73</v>
      </c>
      <c r="AX344" s="71" t="inlineStr">
        <is>
          <t>2026-09-14</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-88.22</v>
      </c>
      <c r="AX345" s="71" t="inlineStr">
        <is>
          <t>2026-09-11</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1.08</v>
      </c>
      <c r="AX346" s="71" t="inlineStr">
        <is>
          <t>2026-09-14</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0.4335</v>
      </c>
      <c r="BL346" s="75" t="n">
        <v>28975.3</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-4.39</v>
      </c>
      <c r="AX347" s="71" t="inlineStr">
        <is>
          <t>2026-09-14</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-10.21</v>
      </c>
      <c r="AX348" s="71" t="inlineStr">
        <is>
          <t>2026-09-14</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45</v>
      </c>
      <c r="AX349" s="71" t="inlineStr">
        <is>
          <t>2026-09-14</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-50.18</v>
      </c>
      <c r="AX350" s="71" t="inlineStr">
        <is>
          <t>2026-09-14</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190.18</v>
      </c>
      <c r="AX351" s="71" t="inlineStr">
        <is>
          <t>2026-09-11</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-4.48</v>
      </c>
      <c r="AX352" s="71" t="inlineStr">
        <is>
          <t>2026-09-14</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0.8539</v>
      </c>
      <c r="BL352" s="75" t="n">
        <v>24567</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20.68</v>
      </c>
      <c r="AX353" s="71" t="inlineStr">
        <is>
          <t>2026-09-14</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0.773</v>
      </c>
      <c r="BL353" s="75" t="n">
        <v>205352.5</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75.70999999999999</v>
      </c>
      <c r="AX354" s="71" t="inlineStr">
        <is>
          <t>2026-09-14</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2026-09-11</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-78.34999999999999</v>
      </c>
      <c r="AX356" s="71" t="inlineStr">
        <is>
          <t>2026-09-14</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37.62</v>
      </c>
      <c r="AX357" s="71" t="inlineStr">
        <is>
          <t>2026-09-14</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0.8857</v>
      </c>
      <c r="BL357" s="75" t="n">
        <v>53834.6</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-58.51</v>
      </c>
      <c r="AX358" s="71" t="inlineStr">
        <is>
          <t>2026-09-14</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385.81</v>
      </c>
      <c r="AX359" s="71" t="inlineStr">
        <is>
          <t>2026-09-14</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-45.35</v>
      </c>
      <c r="AX360" s="71" t="inlineStr">
        <is>
          <t>2026-09-14</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-29.7</v>
      </c>
      <c r="AX361" s="71" t="inlineStr">
        <is>
          <t>2026-09-14</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-36.39</v>
      </c>
      <c r="AX362" s="71" t="inlineStr">
        <is>
          <t>2026-09-14</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-27</v>
      </c>
      <c r="AX363" s="71" t="inlineStr">
        <is>
          <t>2026-09-14</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26.53</v>
      </c>
      <c r="AX364" s="71" t="inlineStr">
        <is>
          <t>2026-09-14</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-43.54</v>
      </c>
      <c r="AX365" s="71" t="inlineStr">
        <is>
          <t>2026-09-14</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-16.36</v>
      </c>
      <c r="AX366" s="71" t="inlineStr">
        <is>
          <t>2026-09-14</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133.95</v>
      </c>
      <c r="AX367" s="71" t="inlineStr">
        <is>
          <t>2026-09-14</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-17.64</v>
      </c>
      <c r="AX368" s="71" t="inlineStr">
        <is>
          <t>2026-09-14</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124.47</v>
      </c>
      <c r="AX369" s="71" t="inlineStr">
        <is>
          <t>2026-09-14</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linked; outcome wording not recognised, result left blank</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-31.39</v>
      </c>
      <c r="AX370" s="71" t="inlineStr">
        <is>
          <t>2026-09-14</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-28.8</v>
      </c>
      <c r="AX371" s="71" t="inlineStr">
        <is>
          <t>2026-09-14</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-26.9</v>
      </c>
      <c r="AX372" s="71" t="inlineStr">
        <is>
          <t>2026-09-14</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-4.24</v>
      </c>
      <c r="AX373" s="71" t="inlineStr">
        <is>
          <t>2026-09-14</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119.91</v>
      </c>
      <c r="AX374" s="71" t="inlineStr">
        <is>
          <t>2026-09-14</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-57.97</v>
      </c>
      <c r="AX375" s="71" t="inlineStr">
        <is>
          <t>2026-09-14</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-67.40000000000001</v>
      </c>
      <c r="AX376" s="71" t="inlineStr">
        <is>
          <t>2026-09-14</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1.9438</v>
      </c>
      <c r="BL376" s="75" t="n">
        <v>18556.8</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15.68</v>
      </c>
      <c r="AX377" s="71" t="inlineStr">
        <is>
          <t>2026-09-14</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-6.43</v>
      </c>
      <c r="AX378" s="71" t="inlineStr">
        <is>
          <t>2026-09-14</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0.1685</v>
      </c>
      <c r="BL378" s="75" t="n">
        <v>214169</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59.7</v>
      </c>
      <c r="AX379" s="71" t="inlineStr">
        <is>
          <t>2026-09-14</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1.3267</v>
      </c>
      <c r="BL379" s="75" t="n">
        <v>94245.60000000001</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-36.36</v>
      </c>
      <c r="AX380" s="71" t="inlineStr">
        <is>
          <t>2026-09-14</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-70.03</v>
      </c>
      <c r="AX381" s="71" t="inlineStr">
        <is>
          <t>2026-09-14</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-71.91</v>
      </c>
      <c r="AX382" s="71" t="inlineStr">
        <is>
          <t>2026-09-14</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0.5161</v>
      </c>
      <c r="BL382" s="75" t="n">
        <v>97566.39999999999</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146.93</v>
      </c>
      <c r="AX383" s="71" t="inlineStr">
        <is>
          <t>2026-09-14</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-62.73</v>
      </c>
      <c r="AX384" s="71" t="inlineStr">
        <is>
          <t>2026-09-14</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34116.6</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-48.18</v>
      </c>
      <c r="AX385" s="71" t="inlineStr">
        <is>
          <t>2026-09-14</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0.9033</v>
      </c>
      <c r="BL385" s="75" t="n">
        <v>33652.5</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11.22</v>
      </c>
      <c r="AX386" s="71" t="inlineStr">
        <is>
          <t>2026-09-14</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-33.06</v>
      </c>
      <c r="AX387" s="71" t="inlineStr">
        <is>
          <t>2026-09-14</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0.9421</v>
      </c>
      <c r="BL387" s="75" t="n">
        <v>46175.7</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48.41</v>
      </c>
      <c r="AX388" s="71" t="inlineStr">
        <is>
          <t>2026-09-14</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-58.93</v>
      </c>
      <c r="AX389" s="71" t="inlineStr">
        <is>
          <t>2026-09-14</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-49.44</v>
      </c>
      <c r="AX390" s="71" t="inlineStr">
        <is>
          <t>2026-09-14</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-78.59</v>
      </c>
      <c r="AX391" s="71" t="inlineStr">
        <is>
          <t>2026-09-14</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v>7.3</v>
      </c>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-58.97</v>
      </c>
      <c r="AX392" s="71" t="inlineStr">
        <is>
          <t>2026-09-14</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price range: no usable price range;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-43.89</v>
      </c>
      <c r="AX393" s="71" t="inlineStr">
        <is>
          <t>2026-09-14</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-43.45</v>
      </c>
      <c r="AX394" s="71" t="inlineStr">
        <is>
          <t>2026-09-14</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36.47</v>
      </c>
      <c r="AX395" s="71" t="inlineStr">
        <is>
          <t>2026-09-14</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0.6892</v>
      </c>
      <c r="BL395" s="75" t="n">
        <v>43731.8</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 grey market: no archived print; add to data/grey_market_manual.json</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412.3</v>
      </c>
      <c r="AX396" s="71" t="inlineStr">
        <is>
          <t>2026-09-14</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-45.98</v>
      </c>
      <c r="AX397" s="71" t="inlineStr">
        <is>
          <t>2026-09-14</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-5.53</v>
      </c>
      <c r="AX398" s="71" t="inlineStr">
        <is>
          <t>2026-09-14</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-24.53</v>
      </c>
      <c r="AX399" s="71" t="inlineStr">
        <is>
          <t>2026-09-14</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-64.06999999999999</v>
      </c>
      <c r="AX400" s="71" t="inlineStr">
        <is>
          <t>2026-09-14</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320.18</v>
      </c>
      <c r="AX401" s="71" t="inlineStr">
        <is>
          <t>2026-09-14</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-19.39</v>
      </c>
      <c r="AX402" s="71" t="inlineStr">
        <is>
          <t>2026-09-14</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-68.47</v>
      </c>
      <c r="AX403" s="71" t="inlineStr">
        <is>
          <t>2026-09-14</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-88.56</v>
      </c>
      <c r="AX404" s="71" t="inlineStr">
        <is>
          <t>2026-09-14</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2026-09-14</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-19.95</v>
      </c>
      <c r="AX406" s="71" t="inlineStr">
        <is>
          <t>2026-09-14</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1.1213</v>
      </c>
      <c r="BL406" s="75" t="n">
        <v>14592.9</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27.38</v>
      </c>
      <c r="AX407" s="71" t="inlineStr">
        <is>
          <t>2026-09-14</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-80.48999999999999</v>
      </c>
      <c r="AX408" s="71" t="inlineStr">
        <is>
          <t>2026-09-14</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-10.62</v>
      </c>
      <c r="AX409" s="71" t="inlineStr">
        <is>
          <t>2026-09-14</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95.20999999999999</v>
      </c>
      <c r="AX410" s="71" t="inlineStr">
        <is>
          <t>2026-09-14</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-36.38</v>
      </c>
      <c r="AX411" s="71" t="inlineStr">
        <is>
          <t>2026-09-14</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grey market: no archived print; add to data/grey_market_manual.json; stabilisation notice: notice linked; outcome wording not recognised, result left blank</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-23.94</v>
      </c>
      <c r="AX412" s="71" t="inlineStr">
        <is>
          <t>2026-09-14</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115.8</v>
      </c>
      <c r="AX413" s="71" t="inlineStr">
        <is>
          <t>2026-09-14</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84.92</v>
      </c>
      <c r="AX414" s="71" t="inlineStr">
        <is>
          <t>2026-09-14</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-39.46</v>
      </c>
      <c r="AX415" s="71" t="inlineStr">
        <is>
          <t>2026-09-14</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68.88</v>
      </c>
      <c r="AX416" s="71" t="inlineStr">
        <is>
          <t>2026-09-14</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520.48</v>
      </c>
      <c r="AX417" s="71" t="inlineStr">
        <is>
          <t>2026-09-14</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120.47</v>
      </c>
      <c r="AX418" s="71" t="inlineStr">
        <is>
          <t>2026-09-14</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-20.81</v>
      </c>
      <c r="AX419" s="71" t="inlineStr">
        <is>
          <t>2026-09-14</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52.97</v>
      </c>
      <c r="AX420" s="71" t="inlineStr">
        <is>
          <t>2026-09-14</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-8.31</v>
      </c>
      <c r="AX421" s="71" t="inlineStr">
        <is>
          <t>2026-09-14</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-46.67</v>
      </c>
      <c r="AX422" s="71" t="inlineStr">
        <is>
          <t>2026-09-14</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131817.2</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-34.78</v>
      </c>
      <c r="AX423" s="71" t="inlineStr">
        <is>
          <t>2026-09-14</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0.3326</v>
      </c>
      <c r="BL423" s="75" t="n">
        <v>114591.4</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-70.11</v>
      </c>
      <c r="AX424" s="71" t="inlineStr">
        <is>
          <t>2026-09-14</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159.26</v>
      </c>
      <c r="AX425" s="71" t="inlineStr">
        <is>
          <t>2026-09-14</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-0.0066</v>
      </c>
      <c r="BL425" s="75" t="n">
        <v>293763.2</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-34.32</v>
      </c>
      <c r="AX426" s="71" t="inlineStr">
        <is>
          <t>2026-09-14</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1.008</v>
      </c>
      <c r="BL426" s="75" t="n">
        <v>21363.1</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64.67</v>
      </c>
      <c r="AX427" s="71" t="inlineStr">
        <is>
          <t>2026-09-14</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-47.58</v>
      </c>
      <c r="AX428" s="71" t="inlineStr">
        <is>
          <t>2026-09-14</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0.3168</v>
      </c>
      <c r="BL428" s="75" t="n">
        <v>96689.39999999999</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54</v>
      </c>
      <c r="AX429" s="71" t="inlineStr">
        <is>
          <t>2026-09-14</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0.9516</v>
      </c>
      <c r="BL429" s="75" t="n">
        <v>31921.9</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-59.37</v>
      </c>
      <c r="AX430" s="71" t="inlineStr">
        <is>
          <t>2026-09-14</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3.71</v>
      </c>
      <c r="AX431" s="71" t="inlineStr">
        <is>
          <t>2026-09-14</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2.0139</v>
      </c>
      <c r="BL431" s="75" t="n">
        <v>146419.7</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-2.05</v>
      </c>
      <c r="AX432" s="71" t="inlineStr">
        <is>
          <t>2026-09-14</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0.3034</v>
      </c>
      <c r="BL432" s="75" t="n">
        <v>287495.8</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127.34</v>
      </c>
      <c r="AX433" s="71" t="inlineStr">
        <is>
          <t>2026-09-14</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-0.1116</v>
      </c>
      <c r="BL433" s="75" t="n">
        <v>263525.1</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126.45</v>
      </c>
      <c r="AX434" s="71" t="inlineStr">
        <is>
          <t>2026-09-14</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-39.36</v>
      </c>
      <c r="AX435" s="71" t="inlineStr">
        <is>
          <t>2026-09-14</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-41.18</v>
      </c>
      <c r="AX436" s="71" t="inlineStr">
        <is>
          <t>2026-09-14</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0.2967</v>
      </c>
      <c r="BL436" s="75" t="n">
        <v>58500.1</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v>210.4</v>
      </c>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48.85</v>
      </c>
      <c r="AX437" s="71" t="inlineStr">
        <is>
          <t>2026-09-14</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v>4.9</v>
      </c>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-52.71</v>
      </c>
      <c r="AX438" s="71" t="inlineStr">
        <is>
          <t>2026-09-14</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1.1636</v>
      </c>
      <c r="BL438" s="75" t="n">
        <v>28776.5</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-6.12</v>
      </c>
      <c r="AX439" s="71" t="inlineStr">
        <is>
          <t>2026-09-14</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1.348</v>
      </c>
      <c r="BL439" s="75" t="n">
        <v>32798.9</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2026-09-11</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-47.67</v>
      </c>
      <c r="AX441" s="71" t="inlineStr">
        <is>
          <t>2026-09-14</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1.1263</v>
      </c>
      <c r="BL441" s="75" t="n">
        <v>21246.2</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-34.44</v>
      </c>
      <c r="AX442" s="71" t="inlineStr">
        <is>
          <t>2026-09-14</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1.5038</v>
      </c>
      <c r="BL442" s="75" t="n">
        <v>14323.9</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65.14</v>
      </c>
      <c r="AX443" s="71" t="inlineStr">
        <is>
          <t>2026-09-14</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0.6886</v>
      </c>
      <c r="BL443" s="75" t="n">
        <v>94760.10000000001</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-26.2</v>
      </c>
      <c r="AX444" s="71" t="inlineStr">
        <is>
          <t>2026-09-14</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1.8711</v>
      </c>
      <c r="BL444" s="75" t="n">
        <v>15516.6</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-11.54</v>
      </c>
      <c r="AX445" s="71" t="inlineStr">
        <is>
          <t>2026-09-14</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135.89</v>
      </c>
      <c r="AX446" s="71" t="inlineStr">
        <is>
          <t>2026-09-14</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39.82</v>
      </c>
      <c r="AX447" s="71" t="inlineStr">
        <is>
          <t>2026-09-14</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26.8</v>
      </c>
      <c r="AX448" s="71" t="inlineStr">
        <is>
          <t>2026-09-14</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412.12</v>
      </c>
      <c r="AX449" s="71" t="inlineStr">
        <is>
          <t>2026-09-14</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70.87</v>
      </c>
      <c r="AX450" s="71" t="inlineStr">
        <is>
          <t>2026-09-14</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-35.29</v>
      </c>
      <c r="AX451" s="71" t="inlineStr">
        <is>
          <t>2026-09-14</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-79.15000000000001</v>
      </c>
      <c r="AX452" s="71" t="inlineStr">
        <is>
          <t>2026-09-14</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53.63</v>
      </c>
      <c r="AX453" s="71" t="inlineStr">
        <is>
          <t>2026-09-14</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-0.99</v>
      </c>
      <c r="AX454" s="71" t="inlineStr">
        <is>
          <t>2026-09-14</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8.66</v>
      </c>
      <c r="AX455" s="71" t="inlineStr">
        <is>
          <t>2026-09-14</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95.59</v>
      </c>
      <c r="AX456" s="71" t="inlineStr">
        <is>
          <t>2026-09-14</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-8.76</v>
      </c>
      <c r="AX457" s="71" t="inlineStr">
        <is>
          <t>2026-09-14</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0.3736</v>
      </c>
      <c r="BL457" s="75" t="n">
        <v>258567.3</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21.62</v>
      </c>
      <c r="AX458" s="71" t="inlineStr">
        <is>
          <t>2026-09-14</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0.316</v>
      </c>
      <c r="BL458" s="75" t="n">
        <v>134668.3</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-25.4</v>
      </c>
      <c r="AX459" s="71" t="inlineStr">
        <is>
          <t>2026-09-14</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0.4622</v>
      </c>
      <c r="BL459" s="75" t="n">
        <v>13470.3</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51.2</v>
      </c>
      <c r="AX460" s="71" t="inlineStr">
        <is>
          <t>2026-09-14</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109.77</v>
      </c>
      <c r="AX461" s="71" t="inlineStr">
        <is>
          <t>2026-09-14</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7.61</v>
      </c>
      <c r="AX462" s="71" t="inlineStr">
        <is>
          <t>2026-09-14</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-18.64</v>
      </c>
      <c r="AX463" s="71" t="inlineStr">
        <is>
          <t>2026-09-14</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0.9478</v>
      </c>
      <c r="BL463" s="75" t="n">
        <v>14709.8</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4.63</v>
      </c>
      <c r="AX464" s="71" t="inlineStr">
        <is>
          <t>2026-09-14</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-40.55</v>
      </c>
      <c r="AX465" s="71" t="inlineStr">
        <is>
          <t>2026-09-14</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44.38</v>
      </c>
      <c r="AX466" s="71" t="inlineStr">
        <is>
          <t>2026-09-14</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-10.62</v>
      </c>
      <c r="AX467" s="71" t="inlineStr">
        <is>
          <t>2026-09-14</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-9.369999999999999</v>
      </c>
      <c r="AX468" s="71" t="inlineStr">
        <is>
          <t>2026-09-14</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-31.98</v>
      </c>
      <c r="AX469" s="71" t="inlineStr">
        <is>
          <t>2026-09-14</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65.13</v>
      </c>
      <c r="AX470" s="71" t="inlineStr">
        <is>
          <t>2026-09-14</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11.97</v>
      </c>
      <c r="AX471" s="71" t="inlineStr">
        <is>
          <t>2026-09-14</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773.87</v>
      </c>
      <c r="AX472" s="71" t="inlineStr">
        <is>
          <t>2026-09-14</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107.01</v>
      </c>
      <c r="AX473" s="71" t="inlineStr">
        <is>
          <t>2026-09-14</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v>30.87</v>
      </c>
      <c r="AS474" s="80" t="n">
        <v>22.62</v>
      </c>
      <c r="AT474" s="80" t="n">
        <v>-8.199999999999999</v>
      </c>
      <c r="AU474" s="80" t="n">
        <v>-8.24</v>
      </c>
      <c r="AV474" s="70" t="inlineStr">
        <is>
          <t>HSTECH (Hang Seng TECH ETF)</t>
        </is>
      </c>
      <c r="AW474" s="80" t="n">
        <v>11.38</v>
      </c>
      <c r="AX474" s="71" t="inlineStr">
        <is>
          <t>2026-09-14</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v>74.8</v>
      </c>
      <c r="AS475" s="80" t="n">
        <v>113.29</v>
      </c>
      <c r="AT475" s="80" t="n">
        <v>-11.48</v>
      </c>
      <c r="AU475" s="80" t="n">
        <v>-9.59</v>
      </c>
      <c r="AV475" s="70" t="inlineStr">
        <is>
          <t>Hang Seng Commerce &amp; Industry sub-index</t>
        </is>
      </c>
      <c r="AW475" s="80" t="n">
        <v>17.12</v>
      </c>
      <c r="AX475" s="71" t="inlineStr">
        <is>
          <t>2026-09-14</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v>-19.59</v>
      </c>
      <c r="AS476" s="80" t="n">
        <v>35.88</v>
      </c>
      <c r="AT476" s="80" t="n">
        <v>-5.5</v>
      </c>
      <c r="AU476" s="80" t="n">
        <v>-4.21</v>
      </c>
      <c r="AV476" s="70" t="inlineStr">
        <is>
          <t>Hang Seng Commerce &amp; Industry sub-index</t>
        </is>
      </c>
      <c r="AW476" s="80" t="n">
        <v>-26.06</v>
      </c>
      <c r="AX476" s="71" t="inlineStr">
        <is>
          <t>2026-09-14</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v>-54.51</v>
      </c>
      <c r="AS477" s="80" t="n">
        <v>-26.51</v>
      </c>
      <c r="AT477" s="80" t="n">
        <v>-5.5</v>
      </c>
      <c r="AU477" s="80" t="n">
        <v>-4.21</v>
      </c>
      <c r="AV477" s="70" t="inlineStr">
        <is>
          <t>Hang Seng Commerce &amp; Industry sub-index</t>
        </is>
      </c>
      <c r="AW477" s="80" t="n">
        <v>-54.13</v>
      </c>
      <c r="AX477" s="71" t="inlineStr">
        <is>
          <t>2026-09-14</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0.3761</v>
      </c>
      <c r="BL477" s="75" t="n">
        <v>31021.5</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v>9.69</v>
      </c>
      <c r="AS478" s="80" t="n">
        <v>-37.41</v>
      </c>
      <c r="AT478" s="80" t="n">
        <v>8.81</v>
      </c>
      <c r="AU478" s="80" t="n">
        <v>9.529999999999999</v>
      </c>
      <c r="AV478" s="70" t="inlineStr">
        <is>
          <t>China Biotech ETF (HS biotech proxy)</t>
        </is>
      </c>
      <c r="AW478" s="80" t="n">
        <v>0.04</v>
      </c>
      <c r="AX478" s="71" t="inlineStr">
        <is>
          <t>2026-09-14</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v>307.99</v>
      </c>
      <c r="AM479" s="80" t="n">
        <v>10.86</v>
      </c>
      <c r="AN479" s="80" t="n">
        <v>28.67</v>
      </c>
      <c r="AO479" s="80" t="n">
        <v>38.91</v>
      </c>
      <c r="AP479" s="80" t="n">
        <v>233.32</v>
      </c>
      <c r="AQ479" s="80" t="n">
        <v>275.73</v>
      </c>
      <c r="AR479" s="80" t="n">
        <v>310.49</v>
      </c>
      <c r="AS479" s="80" t="n">
        <v>26.76</v>
      </c>
      <c r="AT479" s="80" t="n">
        <v>2.2</v>
      </c>
      <c r="AU479" s="80" t="n">
        <v>1.91</v>
      </c>
      <c r="AV479" s="70" t="inlineStr">
        <is>
          <t>Hang Seng Commerce &amp; Industry sub-index</t>
        </is>
      </c>
      <c r="AW479" s="80" t="n">
        <v>307.99</v>
      </c>
      <c r="AX479" s="71" t="inlineStr">
        <is>
          <t>2026-09-14</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c r="AM480" s="80" t="n">
        <v>-9.35</v>
      </c>
      <c r="AN480" s="80" t="n">
        <v>-51.56</v>
      </c>
      <c r="AO480" s="80" t="n"/>
      <c r="AP480" s="80" t="n">
        <v>110.97</v>
      </c>
      <c r="AQ480" s="80" t="n">
        <v>8.09</v>
      </c>
      <c r="AR480" s="80" t="n"/>
      <c r="AS480" s="80" t="n">
        <v>-53.4</v>
      </c>
      <c r="AT480" s="80" t="n">
        <v>1.93</v>
      </c>
      <c r="AU480" s="80" t="n">
        <v>1.84</v>
      </c>
      <c r="AV480" s="70" t="inlineStr">
        <is>
          <t>HSTECH (Hang Seng TECH ETF)</t>
        </is>
      </c>
      <c r="AW480" s="80" t="n">
        <v>52.29</v>
      </c>
      <c r="AX480" s="71" t="inlineStr">
        <is>
          <t>2026-09-14</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3m: listed less than 3m ago; alpha/index: 3m window not elapsed</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c r="AM481" s="80" t="n">
        <v>-34.27</v>
      </c>
      <c r="AN481" s="80" t="n">
        <v>-47.19</v>
      </c>
      <c r="AO481" s="80" t="n"/>
      <c r="AP481" s="80" t="n">
        <v>148.27</v>
      </c>
      <c r="AQ481" s="80" t="n">
        <v>94.31999999999999</v>
      </c>
      <c r="AR481" s="80" t="n"/>
      <c r="AS481" s="80" t="n">
        <v>-49.79</v>
      </c>
      <c r="AT481" s="80" t="n">
        <v>1.51</v>
      </c>
      <c r="AU481" s="80" t="n">
        <v>2.6</v>
      </c>
      <c r="AV481" s="70" t="inlineStr">
        <is>
          <t>HSTECH (Hang Seng TECH ETF)</t>
        </is>
      </c>
      <c r="AW481" s="80" t="n">
        <v>242.78</v>
      </c>
      <c r="AX481" s="71" t="inlineStr">
        <is>
          <t>2026-09-14</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3m: listed less than 3m ago; cornerstone list: names not extractable, see the prospectus; cornerstone %: aggregate not stated in the filing; greenshoe size: no over-allotment option; stabilising manager: no over-allotment option, so none appointed; alpha/index: 3m window not elapsed</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c r="AM482" s="80" t="n">
        <v>1.74</v>
      </c>
      <c r="AN482" s="80" t="n">
        <v>33.33</v>
      </c>
      <c r="AO482" s="80" t="n"/>
      <c r="AP482" s="80" t="n">
        <v>-64.12</v>
      </c>
      <c r="AQ482" s="80" t="n">
        <v>-61.81</v>
      </c>
      <c r="AR482" s="80" t="n"/>
      <c r="AS482" s="80" t="n">
        <v>14.16</v>
      </c>
      <c r="AT482" s="80" t="n">
        <v>19.29</v>
      </c>
      <c r="AU482" s="80" t="n">
        <v>19.17</v>
      </c>
      <c r="AV482" s="70" t="inlineStr">
        <is>
          <t>China Biotech ETF (HS biotech proxy)</t>
        </is>
      </c>
      <c r="AW482" s="80" t="n">
        <v>-49.02</v>
      </c>
      <c r="AX482" s="71" t="inlineStr">
        <is>
          <t>2026-09-14</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3m: listed less than 3m ago; P/S: 421x on HK$14.3m revenue, effectively pre-revenue; not comparable; alpha/index: 3m window not elapsed</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c r="AM483" s="80" t="n">
        <v>-10</v>
      </c>
      <c r="AN483" s="80" t="n">
        <v>-28.36</v>
      </c>
      <c r="AO483" s="80" t="n"/>
      <c r="AP483" s="80" t="n">
        <v>13.81</v>
      </c>
      <c r="AQ483" s="80" t="n">
        <v>-18.87</v>
      </c>
      <c r="AR483" s="80" t="n"/>
      <c r="AS483" s="80" t="n">
        <v>-38.07</v>
      </c>
      <c r="AT483" s="80" t="n">
        <v>6.62</v>
      </c>
      <c r="AU483" s="80" t="n">
        <v>9.710000000000001</v>
      </c>
      <c r="AV483" s="70" t="inlineStr">
        <is>
          <t>Hang Seng Commerce &amp; Industry sub-index</t>
        </is>
      </c>
      <c r="AW483" s="80" t="n">
        <v>-12.86</v>
      </c>
      <c r="AX483" s="71" t="inlineStr">
        <is>
          <t>2026-09-14</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1.2889</v>
      </c>
      <c r="BL483" s="75" t="n">
        <v>26788.7</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3m: listed less than 3m ago; greenshoe size: no over-allotment option; stabilising manager: no over-allotment option, so none appointed; alpha/index: 3m window not elapsed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14.4</v>
      </c>
      <c r="AX484" s="71" t="inlineStr">
        <is>
          <t>2026-09-14</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-31.2</v>
      </c>
      <c r="AX485" s="71" t="inlineStr">
        <is>
          <t>2026-09-14</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86.73</v>
      </c>
      <c r="AX486" s="71" t="inlineStr">
        <is>
          <t>2026-09-14</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21.75</v>
      </c>
      <c r="AX487" s="71" t="inlineStr">
        <is>
          <t>2026-09-14</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5.11</v>
      </c>
      <c r="AX488" s="71" t="inlineStr">
        <is>
          <t>2026-09-14</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0.4049</v>
      </c>
      <c r="BL488" s="75" t="n">
        <v>86259.3</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-37.03</v>
      </c>
      <c r="AX489" s="71" t="inlineStr">
        <is>
          <t>2026-09-14</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1.4038</v>
      </c>
      <c r="BL489" s="75" t="n">
        <v>125150.2</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36.35</v>
      </c>
      <c r="AX490" s="71" t="inlineStr">
        <is>
          <t>2026-09-14</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0.3628</v>
      </c>
      <c r="BL490" s="75" t="n">
        <v>68813.3</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27.44</v>
      </c>
      <c r="AX491" s="71" t="inlineStr">
        <is>
          <t>2026-09-14</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137.18</v>
      </c>
      <c r="AX492" s="71" t="inlineStr">
        <is>
          <t>2026-09-14</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9.210000000000001</v>
      </c>
      <c r="AX493" s="71" t="inlineStr">
        <is>
          <t>2026-09-14</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1.77</v>
      </c>
      <c r="AX494" s="71" t="inlineStr">
        <is>
          <t>2026-09-14</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106.81</v>
      </c>
      <c r="AX495" s="71" t="inlineStr">
        <is>
          <t>2026-09-14</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31.88</v>
      </c>
      <c r="AX496" s="71" t="inlineStr">
        <is>
          <t>2026-09-14</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-40.82</v>
      </c>
      <c r="AX497" s="71" t="inlineStr">
        <is>
          <t>2026-09-14</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-13.44</v>
      </c>
      <c r="AX498" s="71" t="inlineStr">
        <is>
          <t>2026-09-14</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23.14</v>
      </c>
      <c r="AX499" s="71" t="inlineStr">
        <is>
          <t>2026-09-14</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0.222</v>
      </c>
      <c r="BL499" s="75" t="n">
        <v>87908</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-56.64</v>
      </c>
      <c r="AX500" s="71" t="inlineStr">
        <is>
          <t>2026-09-14</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-27.56</v>
      </c>
      <c r="AX501" s="71" t="inlineStr">
        <is>
          <t>2026-09-14</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35.36</v>
      </c>
      <c r="AX502" s="71" t="inlineStr">
        <is>
          <t>2026-09-14</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-41.68</v>
      </c>
      <c r="AX503" s="71" t="inlineStr">
        <is>
          <t>2026-09-14</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-23.79</v>
      </c>
      <c r="AX504" s="71" t="inlineStr">
        <is>
          <t>2026-09-14</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962.5</v>
      </c>
      <c r="AX505" s="71" t="inlineStr">
        <is>
          <t>2026-09-14</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-1.7</v>
      </c>
      <c r="AX506" s="71" t="inlineStr">
        <is>
          <t>2026-09-14</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31.05</v>
      </c>
      <c r="AX507" s="71" t="inlineStr">
        <is>
          <t>2026-09-14</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-55.37</v>
      </c>
      <c r="AX508" s="71" t="inlineStr">
        <is>
          <t>2026-09-14</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1.3646</v>
      </c>
      <c r="BL508" s="75" t="n">
        <v>10605.6</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-9.92</v>
      </c>
      <c r="AX509" s="71" t="inlineStr">
        <is>
          <t>2026-09-14</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0.08260000000000001</v>
      </c>
      <c r="BL509" s="75" t="n">
        <v>477553.8</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26.12</v>
      </c>
      <c r="AX510" s="71" t="inlineStr">
        <is>
          <t>2026-09-14</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0.1629</v>
      </c>
      <c r="BL510" s="75" t="n">
        <v>293786.6</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-23.42</v>
      </c>
      <c r="AX511" s="71" t="inlineStr">
        <is>
          <t>2026-09-14</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0.5468</v>
      </c>
      <c r="BL511" s="75" t="n">
        <v>190888.2</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-11.93</v>
      </c>
      <c r="AX512" s="71" t="inlineStr">
        <is>
          <t>2026-09-14</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1.2432</v>
      </c>
      <c r="BL512" s="75" t="n">
        <v>16569</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-19.5</v>
      </c>
      <c r="AX513" s="71" t="inlineStr">
        <is>
          <t>2026-09-14</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0.5382</v>
      </c>
      <c r="BL513" s="75" t="n">
        <v>89393</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1154351.3</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9.18</v>
      </c>
      <c r="AX514" s="71" t="inlineStr">
        <is>
          <t>2026-09-14</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-0.0461</v>
      </c>
      <c r="BL514" s="75" t="n">
        <v>1202414.6</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inlineStr">
        <is>
          <t>lapsed (no over-allocation)</t>
        </is>
      </c>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v>43.38</v>
      </c>
      <c r="AR515" s="80" t="n"/>
      <c r="AS515" s="80" t="n">
        <v>-10.48</v>
      </c>
      <c r="AT515" s="80" t="n">
        <v>-3.46</v>
      </c>
      <c r="AU515" s="80" t="n">
        <v>-4.26</v>
      </c>
      <c r="AV515" s="70" t="inlineStr">
        <is>
          <t>Hang Seng Commerce &amp; Industry sub-index</t>
        </is>
      </c>
      <c r="AW515" s="80" t="n">
        <v>58.25</v>
      </c>
      <c r="AX515" s="71" t="inlineStr">
        <is>
          <t>2026-09-14</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85">
        <f>HYPERLINK("https://www1.hkexnews.hk/listedco/listconews/sehk/2026/0903/2026090301412.pdf","stabilisation")</f>
        <v/>
      </c>
      <c r="BV515" s="83" t="n"/>
      <c r="BW515" s="70"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n"/>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v>0.62</v>
      </c>
      <c r="AQ516" s="80" t="n"/>
      <c r="AR516" s="80" t="n"/>
      <c r="AS516" s="80" t="n"/>
      <c r="AT516" s="80" t="n"/>
      <c r="AU516" s="80" t="n"/>
      <c r="AV516" s="70" t="inlineStr">
        <is>
          <t>HSTECH (Hang Seng TECH ETF)</t>
        </is>
      </c>
      <c r="AW516" s="80" t="n">
        <v>-5.8</v>
      </c>
      <c r="AX516" s="71" t="inlineStr">
        <is>
          <t>2026-09-14</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0.5679</v>
      </c>
      <c r="BL516" s="75" t="n">
        <v>76063</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70" t="n"/>
      <c r="BV516" s="83" t="n"/>
      <c r="BW516" s="70" t="inlineStr">
        <is>
          <t>greenshoe: stabilisation window still open; range low: maximum offer price only, no floor published; A/H: H listed 2026-08-25; fabless CPU/analog+memory (auto); 1m: listed less than 1m ago; 3m: listed less than 3m ago; cornerstone list: 48.05% locked; investor table not extractable, names are in the prospectus; alpha/index: 1m window not elapsed</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v>-14.87</v>
      </c>
      <c r="AQ517" s="80" t="n"/>
      <c r="AR517" s="80" t="n"/>
      <c r="AS517" s="80" t="n"/>
      <c r="AT517" s="80" t="n"/>
      <c r="AU517" s="80" t="n"/>
      <c r="AV517" s="70" t="inlineStr">
        <is>
          <t>Hang Seng Commerce &amp; Industry sub-index</t>
        </is>
      </c>
      <c r="AW517" s="80" t="n">
        <v>-25.04</v>
      </c>
      <c r="AX517" s="71" t="inlineStr">
        <is>
          <t>2026-09-14</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v>-17.46</v>
      </c>
      <c r="AQ518" s="80" t="n"/>
      <c r="AR518" s="80" t="n"/>
      <c r="AS518" s="80" t="n"/>
      <c r="AT518" s="80" t="n"/>
      <c r="AU518" s="80" t="n"/>
      <c r="AV518" s="70" t="inlineStr">
        <is>
          <t>HSTECH (Hang Seng TECH ETF)</t>
        </is>
      </c>
      <c r="AW518" s="80" t="n">
        <v>-17.65</v>
      </c>
      <c r="AX518" s="71" t="inlineStr">
        <is>
          <t>2026-09-14</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69" t="inlineStr">
        <is>
          <t>2041</t>
        </is>
      </c>
      <c r="B519" s="70" t="inlineStr">
        <is>
          <t>MEDCAPTAIN</t>
        </is>
      </c>
      <c r="C519" s="70" t="inlineStr">
        <is>
          <t>麥科田</t>
        </is>
      </c>
      <c r="D519" s="70" t="inlineStr">
        <is>
          <t>Healthcare</t>
        </is>
      </c>
      <c r="E519" s="70" t="inlineStr">
        <is>
          <t>Medical devices</t>
        </is>
      </c>
      <c r="F519" s="70" t="inlineStr">
        <is>
          <t>Health Care Equipment</t>
        </is>
      </c>
      <c r="G519" s="70" t="inlineStr">
        <is>
          <t>Standard</t>
        </is>
      </c>
      <c r="H519" s="71" t="n">
        <v>46272</v>
      </c>
      <c r="I519" s="72" t="n">
        <v>600</v>
      </c>
      <c r="J519" s="70" t="inlineStr">
        <is>
          <t>gross (stated)</t>
        </is>
      </c>
      <c r="K519" s="73" t="n"/>
      <c r="L519" s="73" t="n">
        <v>15.42</v>
      </c>
      <c r="M519" s="73" t="n">
        <v>15.42</v>
      </c>
      <c r="N519" s="70" t="inlineStr">
        <is>
          <t>Y</t>
        </is>
      </c>
      <c r="O519" s="74" t="n">
        <v>100</v>
      </c>
      <c r="P519" s="74" t="n"/>
      <c r="Q519" s="75" t="n">
        <v>8305.6</v>
      </c>
      <c r="R519" s="70" t="inlineStr">
        <is>
          <t>derived:price x shares upon listing</t>
        </is>
      </c>
      <c r="S519" s="76" t="n">
        <v>436.37</v>
      </c>
      <c r="T519" s="77" t="n">
        <v>2.35</v>
      </c>
      <c r="U519" s="78" t="n">
        <v>0</v>
      </c>
      <c r="V519" s="75" t="n">
        <v>600</v>
      </c>
      <c r="W519" s="75" t="n">
        <v>38910600</v>
      </c>
      <c r="X519" s="74" t="n">
        <v>7.22</v>
      </c>
      <c r="Y519" s="70" t="n"/>
      <c r="Z519" s="70" t="n"/>
      <c r="AA519" s="74" t="n"/>
      <c r="AB519" s="70" t="n"/>
      <c r="AC519" s="70" t="n"/>
      <c r="AD519" s="70" t="n"/>
      <c r="AE519" s="70" t="n"/>
      <c r="AF519" s="79" t="n"/>
      <c r="AG519" s="80" t="n">
        <v>-42.93</v>
      </c>
      <c r="AH519" s="80" t="n">
        <v>-35.15</v>
      </c>
      <c r="AI519" s="80" t="n">
        <v>-12</v>
      </c>
      <c r="AJ519" s="80" t="n">
        <v>-46.47</v>
      </c>
      <c r="AK519" s="80" t="n"/>
      <c r="AL519" s="80" t="n"/>
      <c r="AM519" s="80" t="n">
        <v>-6.2</v>
      </c>
      <c r="AN519" s="80" t="n"/>
      <c r="AO519" s="80" t="n"/>
      <c r="AP519" s="80" t="n"/>
      <c r="AQ519" s="80" t="n"/>
      <c r="AR519" s="80" t="n"/>
      <c r="AS519" s="80" t="n"/>
      <c r="AT519" s="80" t="n"/>
      <c r="AU519" s="80" t="n"/>
      <c r="AV519" s="70" t="inlineStr">
        <is>
          <t>Hang Seng Index</t>
        </is>
      </c>
      <c r="AW519" s="80" t="n">
        <v>-46.47</v>
      </c>
      <c r="AX519" s="71" t="inlineStr">
        <is>
          <t>2026-09-14</t>
        </is>
      </c>
      <c r="AY519" s="72" t="n">
        <v>1781.1</v>
      </c>
      <c r="AZ519" s="75" t="n">
        <v>55.8</v>
      </c>
      <c r="BA519" s="70" t="inlineStr">
        <is>
          <t>Y</t>
        </is>
      </c>
      <c r="BB519" s="81" t="n">
        <v>148.8</v>
      </c>
      <c r="BC519" s="81" t="n"/>
      <c r="BD519" s="81" t="n"/>
      <c r="BE519" s="81" t="n">
        <v>4.7</v>
      </c>
      <c r="BF519" s="82">
        <f>IF('BBG Verify'!S519="","not filed; run on terminal",'BBG Verify'!S519)</f>
        <v/>
      </c>
      <c r="BG519" s="83" t="inlineStr">
        <is>
          <t>N</t>
        </is>
      </c>
      <c r="BH519" s="84">
        <f>IF('BBG Verify'!K519="","not filed; run on terminal",'BBG Verify'!K519)</f>
        <v/>
      </c>
      <c r="BI519" s="70" t="inlineStr">
        <is>
          <t>N/A</t>
        </is>
      </c>
      <c r="BJ519" s="70" t="inlineStr">
        <is>
          <t>N/A</t>
        </is>
      </c>
      <c r="BK519" s="70" t="inlineStr">
        <is>
          <t>N/A</t>
        </is>
      </c>
      <c r="BL519" s="70" t="inlineStr">
        <is>
          <t>N/A</t>
        </is>
      </c>
      <c r="BM519" s="70" t="inlineStr">
        <is>
          <t>N/A</t>
        </is>
      </c>
      <c r="BN519" s="70" t="inlineStr">
        <is>
          <t>N/A</t>
        </is>
      </c>
      <c r="BO519" s="83" t="n"/>
      <c r="BP519" s="70" t="inlineStr">
        <is>
          <t>Morgan Stanley Asia Limited; Huatai Financial Holdings (Hong Kong) Limited</t>
        </is>
      </c>
      <c r="BQ519" s="70"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R519" s="70"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S519" s="85">
        <f>HYPERLINK("https://www1.hkexnews.hk/listedco/listconews/sehk/2026/0828/2026082800009.pdf","prospectus")</f>
        <v/>
      </c>
      <c r="BT519" s="85">
        <f>HYPERLINK("https://www1.hkexnews.hk/listedco/listconews/sehk/2026/0904/2026090401842.pdf","allotment")</f>
        <v/>
      </c>
      <c r="BU519" s="70" t="n"/>
      <c r="BV519" s="83" t="n"/>
      <c r="BW519" s="70"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grey market: no archived print; add to data/grey_market_manual.json; alpha/index: sector index has no bar for the 1w window</t>
        </is>
      </c>
    </row>
    <row r="520" ht="15" customHeight="1">
      <c r="A520" s="69" t="inlineStr">
        <is>
          <t>9976</t>
        </is>
      </c>
      <c r="B520" s="70" t="inlineStr">
        <is>
          <t>LONGSYS</t>
        </is>
      </c>
      <c r="C520" s="70" t="inlineStr">
        <is>
          <t>江波龍</t>
        </is>
      </c>
      <c r="D520" s="70" t="inlineStr">
        <is>
          <t>Tech/AI</t>
        </is>
      </c>
      <c r="E520" s="70" t="inlineStr">
        <is>
          <t>Smart hardware / consumer electronics</t>
        </is>
      </c>
      <c r="F520" s="70" t="inlineStr">
        <is>
          <t>Semiconductors &amp; Semiconductor Equipment</t>
        </is>
      </c>
      <c r="G520" s="70" t="inlineStr">
        <is>
          <t>Standard</t>
        </is>
      </c>
      <c r="H520" s="71" t="n">
        <v>46273</v>
      </c>
      <c r="I520" s="72" t="n">
        <v>7077.5</v>
      </c>
      <c r="J520" s="70" t="inlineStr">
        <is>
          <t>gross (stated)</t>
        </is>
      </c>
      <c r="K520" s="73" t="n"/>
      <c r="L520" s="73" t="n">
        <v>240.6</v>
      </c>
      <c r="M520" s="73" t="n">
        <v>236</v>
      </c>
      <c r="N520" s="70" t="inlineStr">
        <is>
          <t>N</t>
        </is>
      </c>
      <c r="O520" s="74" t="n">
        <v>98.09999999999999</v>
      </c>
      <c r="P520" s="74" t="n"/>
      <c r="Q520" s="75" t="n">
        <v>124166.7</v>
      </c>
      <c r="R520" s="70" t="inlineStr">
        <is>
          <t>derived:deal size / offer % of enlarged capital</t>
        </is>
      </c>
      <c r="S520" s="76" t="n">
        <v>40.32</v>
      </c>
      <c r="T520" s="77" t="n">
        <v>40.32</v>
      </c>
      <c r="U520" s="78" t="n">
        <v>16.7</v>
      </c>
      <c r="V520" s="75" t="n">
        <v>5895.56</v>
      </c>
      <c r="W520" s="75" t="n">
        <v>24981212</v>
      </c>
      <c r="X520" s="74" t="n">
        <v>4.75</v>
      </c>
      <c r="Y520" s="70"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Z520" s="70" t="inlineStr">
        <is>
          <t>admiralty;citic;colorful;cqtech;hosin;huadeng;ingenic;ju;lenovo;lens;sdmc;transsion;wind;yufeng</t>
        </is>
      </c>
      <c r="AA520" s="74" t="n">
        <v>15</v>
      </c>
      <c r="AB520" s="70" t="n"/>
      <c r="AC520" s="70" t="inlineStr">
        <is>
          <t>2026-10-03</t>
        </is>
      </c>
      <c r="AD520" s="70" t="inlineStr">
        <is>
          <t>CLSA Limited</t>
        </is>
      </c>
      <c r="AE520" s="70" t="inlineStr">
        <is>
          <t>CLSA</t>
        </is>
      </c>
      <c r="AF520" s="79" t="n"/>
      <c r="AG520" s="80" t="n">
        <v>-1.02</v>
      </c>
      <c r="AH520" s="80" t="n">
        <v>0</v>
      </c>
      <c r="AI520" s="80" t="n">
        <v>-1.02</v>
      </c>
      <c r="AJ520" s="80" t="n"/>
      <c r="AK520" s="80" t="n"/>
      <c r="AL520" s="80" t="n"/>
      <c r="AM520" s="80" t="n"/>
      <c r="AN520" s="80" t="n"/>
      <c r="AO520" s="80" t="n"/>
      <c r="AP520" s="80" t="n"/>
      <c r="AQ520" s="80" t="n"/>
      <c r="AR520" s="80" t="n"/>
      <c r="AS520" s="80" t="n"/>
      <c r="AT520" s="80" t="n"/>
      <c r="AU520" s="80" t="n"/>
      <c r="AV520" s="70" t="inlineStr">
        <is>
          <t>HSTECH (Hang Seng TECH ETF)</t>
        </is>
      </c>
      <c r="AW520" s="80" t="n">
        <v>-20.85</v>
      </c>
      <c r="AX520" s="71" t="inlineStr">
        <is>
          <t>2026-09-14</t>
        </is>
      </c>
      <c r="AY520" s="72" t="n">
        <v>25042.8</v>
      </c>
      <c r="AZ520" s="75" t="n"/>
      <c r="BA520" s="70" t="inlineStr">
        <is>
          <t>Y</t>
        </is>
      </c>
      <c r="BB520" s="82">
        <f>IF('BBG Verify'!O520="","not filed; run on terminal",'BBG Verify'!O520)</f>
        <v/>
      </c>
      <c r="BC520" s="81" t="n"/>
      <c r="BD520" s="81" t="n"/>
      <c r="BE520" s="81" t="n">
        <v>5</v>
      </c>
      <c r="BF520" s="82">
        <f>IF('BBG Verify'!S520="","not filed; run on terminal",'BBG Verify'!S520)</f>
        <v/>
      </c>
      <c r="BG520" s="83" t="inlineStr">
        <is>
          <t>N</t>
        </is>
      </c>
      <c r="BH520" s="84">
        <f>IF('BBG Verify'!K520="","not filed; run on terminal",'BBG Verify'!K520)</f>
        <v/>
      </c>
      <c r="BI520" s="70" t="inlineStr">
        <is>
          <t>N/A</t>
        </is>
      </c>
      <c r="BJ520" s="70" t="inlineStr">
        <is>
          <t>N/A</t>
        </is>
      </c>
      <c r="BK520" s="87" t="n">
        <v>1.0717</v>
      </c>
      <c r="BL520" s="75" t="n">
        <v>177909</v>
      </c>
      <c r="BM520" s="70" t="inlineStr">
        <is>
          <t>N/A</t>
        </is>
      </c>
      <c r="BN520" s="70" t="inlineStr">
        <is>
          <t>N/A</t>
        </is>
      </c>
      <c r="BO520" s="83" t="inlineStr">
        <is>
          <t>CITIC Securities (Hong Kong) Limited; Citigroup Global Markets Asia Limited</t>
        </is>
      </c>
      <c r="BP520" s="70" t="inlineStr">
        <is>
          <t>CITIC Securities (Hong Kong) Limited; Citigroup Global Markets Asia Limited</t>
        </is>
      </c>
      <c r="BQ520" s="70"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R520" s="70" t="inlineStr">
        <is>
          <t>ABCI Securities Company Limited; Citigroup Global Markets Asia Limited; CLSA Limited; China Securities (International) Corporate Finance Company Limited; Futu Securities International (Hong Kong) Limited; Tiger Brokers (HK) Global Limited</t>
        </is>
      </c>
      <c r="BS520" s="85">
        <f>HYPERLINK("https://www1.hkexnews.hk/listedco/listconews/sehk/2026/0831/2026083100047.pdf","prospectus")</f>
        <v/>
      </c>
      <c r="BT520" s="85">
        <f>HYPERLINK("https://www1.hkexnews.hk/listedco/listconews/sehk/2026/0907/2026090701319.pdf","allotment")</f>
        <v/>
      </c>
      <c r="BU520" s="70" t="n"/>
      <c r="BV520" s="83" t="n"/>
      <c r="BW520" s="70" t="inlineStr">
        <is>
          <t>P/E: withheld: 2,581x fails the 300x plausibility cap; extracted net income HK$48.1m suspect; greenshoe: stabilisation window still open; range low: maximum offer price only, no floor published; 1w: listed less than 1w ago; 1m: listed less than 1m ago; 3m: listed less than 3m ago; financials: not extractable; pre-IPO year outside the AAStocks window; grey market: no archived print; add to data/grey_market_manual.json; alpha/index: 1w window not elapsed</t>
        </is>
      </c>
    </row>
    <row r="521" ht="15" customHeight="1">
      <c r="A521" s="69" t="inlineStr">
        <is>
          <t>3231</t>
        </is>
      </c>
      <c r="B521" s="70" t="inlineStr">
        <is>
          <t>EXCELLAND ROBOT</t>
        </is>
      </c>
      <c r="C521" s="70" t="inlineStr">
        <is>
          <t>優地機器人</t>
        </is>
      </c>
      <c r="D521" s="70" t="inlineStr">
        <is>
          <t>Tech/AI</t>
        </is>
      </c>
      <c r="E521" s="70" t="inlineStr">
        <is>
          <t>Robotics &amp; autonomous driving</t>
        </is>
      </c>
      <c r="F521" s="70" t="inlineStr">
        <is>
          <t>Advanced hardware and software</t>
        </is>
      </c>
      <c r="G521" s="70" t="inlineStr">
        <is>
          <t>Standard</t>
        </is>
      </c>
      <c r="H521" s="71" t="n">
        <v>46274</v>
      </c>
      <c r="I521" s="72" t="n">
        <v>650.2</v>
      </c>
      <c r="J521" s="70" t="inlineStr">
        <is>
          <t>gross (stated)</t>
        </is>
      </c>
      <c r="K521" s="73" t="n">
        <v>14.45</v>
      </c>
      <c r="L521" s="73" t="n">
        <v>19.55</v>
      </c>
      <c r="M521" s="73" t="n">
        <v>14.45</v>
      </c>
      <c r="N521" s="70" t="inlineStr">
        <is>
          <t>N</t>
        </is>
      </c>
      <c r="O521" s="74" t="n">
        <v>73.90000000000001</v>
      </c>
      <c r="P521" s="74" t="n">
        <v>0</v>
      </c>
      <c r="Q521" s="75" t="n">
        <v>6016.5</v>
      </c>
      <c r="R521" s="70" t="inlineStr">
        <is>
          <t>derived:price x shares upon listing</t>
        </is>
      </c>
      <c r="S521" s="76" t="n">
        <v>140.02</v>
      </c>
      <c r="T521" s="77" t="n">
        <v>0.99</v>
      </c>
      <c r="U521" s="78" t="n">
        <v>3.63</v>
      </c>
      <c r="V521" s="75" t="n">
        <v>626.6</v>
      </c>
      <c r="W521" s="75" t="n">
        <v>43366500</v>
      </c>
      <c r="X521" s="74" t="n">
        <v>10.41</v>
      </c>
      <c r="Y521" s="70" t="inlineStr">
        <is>
          <t>CYGG Holding Limited; SensePower Management Limited</t>
        </is>
      </c>
      <c r="Z521" s="70" t="inlineStr">
        <is>
          <t>cygg;sensepower</t>
        </is>
      </c>
      <c r="AA521" s="74" t="n"/>
      <c r="AB521" s="70" t="n"/>
      <c r="AC521" s="70" t="n"/>
      <c r="AD521" s="70" t="n"/>
      <c r="AE521" s="70" t="n"/>
      <c r="AF521" s="79" t="n"/>
      <c r="AG521" s="80" t="n">
        <v>153.84</v>
      </c>
      <c r="AH521" s="80" t="n">
        <v>142.21</v>
      </c>
      <c r="AI521" s="80" t="n">
        <v>4.8</v>
      </c>
      <c r="AJ521" s="80" t="n"/>
      <c r="AK521" s="80" t="n"/>
      <c r="AL521" s="80" t="n"/>
      <c r="AM521" s="80" t="n"/>
      <c r="AN521" s="80" t="n"/>
      <c r="AO521" s="80" t="n"/>
      <c r="AP521" s="80" t="n"/>
      <c r="AQ521" s="80" t="n"/>
      <c r="AR521" s="80" t="n"/>
      <c r="AS521" s="80" t="n"/>
      <c r="AT521" s="80" t="n"/>
      <c r="AU521" s="80" t="n"/>
      <c r="AV521" s="70" t="inlineStr">
        <is>
          <t>HSTECH (Hang Seng TECH ETF)</t>
        </is>
      </c>
      <c r="AW521" s="80" t="n">
        <v>165.05</v>
      </c>
      <c r="AX521" s="71" t="inlineStr">
        <is>
          <t>2026-09-14</t>
        </is>
      </c>
      <c r="AY521" s="72" t="n">
        <v>0</v>
      </c>
      <c r="AZ521" s="75" t="n">
        <v>-121.9</v>
      </c>
      <c r="BA521" s="70" t="inlineStr">
        <is>
          <t>N</t>
        </is>
      </c>
      <c r="BB521" s="70" t="inlineStr">
        <is>
          <t>n/m</t>
        </is>
      </c>
      <c r="BC521" s="81" t="n"/>
      <c r="BD521" s="81" t="n"/>
      <c r="BE521" s="70" t="inlineStr">
        <is>
          <t>pre-rev</t>
        </is>
      </c>
      <c r="BF521" s="82">
        <f>IF('BBG Verify'!S521="","not filed; run on terminal",'BBG Verify'!S521)</f>
        <v/>
      </c>
      <c r="BG521" s="83" t="inlineStr">
        <is>
          <t>N</t>
        </is>
      </c>
      <c r="BH521" s="84">
        <f>IF('BBG Verify'!K521="","not filed; run on terminal",'BBG Verify'!K521)</f>
        <v/>
      </c>
      <c r="BI521" s="70" t="inlineStr">
        <is>
          <t>N/A</t>
        </is>
      </c>
      <c r="BJ521" s="70" t="inlineStr">
        <is>
          <t>N/A</t>
        </is>
      </c>
      <c r="BK521" s="70" t="inlineStr">
        <is>
          <t>N/A</t>
        </is>
      </c>
      <c r="BL521" s="70" t="inlineStr">
        <is>
          <t>N/A</t>
        </is>
      </c>
      <c r="BM521" s="70" t="inlineStr">
        <is>
          <t>N/A</t>
        </is>
      </c>
      <c r="BN521" s="70" t="inlineStr">
        <is>
          <t>N/A</t>
        </is>
      </c>
      <c r="BO521" s="83" t="inlineStr">
        <is>
          <t>Silver Nile Global Investments Limited</t>
        </is>
      </c>
      <c r="BP521" s="70" t="inlineStr">
        <is>
          <t>Silver Nile Global Investments Limited</t>
        </is>
      </c>
      <c r="BQ521" s="70"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R521" s="70"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S521" s="85">
        <f>HYPERLINK("https://www1.hkexnews.hk/listedco/listconews/sehk/2026/0831/2026083100009.pdf","prospectus")</f>
        <v/>
      </c>
      <c r="BT521" s="85">
        <f>HYPERLINK("https://www1.hkexnews.hk/listedco/listconews/sehk/2026/0908/2026090800985.pdf","allotment")</f>
        <v/>
      </c>
      <c r="BU521" s="70" t="n"/>
      <c r="BV521" s="83" t="n"/>
      <c r="BW521" s="70" t="inlineStr">
        <is>
          <t>P/E: loss-making at IPO, use P/S; greenshoe: stabilisation window still open; 1w: listed less than 1w ago; 1m: listed less than 1m ago; 3m: listed less than 3m ago; greenshoe size: no over-allotment option; P/S: pre-revenue issuer, no sales multiple; stabilising manager: no over-allotment option, so none appointed; grey market: no archived print; add to data/grey_market_manual.json; alpha/index: 1w window not elapsed</t>
        </is>
      </c>
    </row>
  </sheetData>
  <autoFilter ref="A4:BW521"/>
  <mergeCells count="8">
    <mergeCell ref="A3:H3"/>
    <mergeCell ref="AY3:BF3"/>
    <mergeCell ref="BG3:BN3"/>
    <mergeCell ref="BV3:BW3"/>
    <mergeCell ref="S3:AE3"/>
    <mergeCell ref="I3:R3"/>
    <mergeCell ref="BO3:BU3"/>
    <mergeCell ref="AF3:AX3"/>
  </mergeCells>
  <conditionalFormatting sqref="A5:BW521">
    <cfRule type="expression" priority="20" dxfId="2" stopIfTrue="0">
      <formula>MOD(ROW(),2)=0</formula>
    </cfRule>
  </conditionalFormatting>
  <conditionalFormatting sqref="AG5:AG521">
    <cfRule type="colorScale" priority="1">
      <colorScale>
        <cfvo type="num" val="-60"/>
        <cfvo type="num" val="0"/>
        <cfvo type="num" val="60"/>
        <color rgb="00F8696B"/>
        <color rgb="00FFFFFF"/>
        <color rgb="0063BE7B"/>
      </colorScale>
    </cfRule>
  </conditionalFormatting>
  <conditionalFormatting sqref="AH5:AH521">
    <cfRule type="colorScale" priority="2">
      <colorScale>
        <cfvo type="num" val="-60"/>
        <cfvo type="num" val="0"/>
        <cfvo type="num" val="60"/>
        <color rgb="00F8696B"/>
        <color rgb="00FFFFFF"/>
        <color rgb="0063BE7B"/>
      </colorScale>
    </cfRule>
  </conditionalFormatting>
  <conditionalFormatting sqref="AI5:AI521">
    <cfRule type="colorScale" priority="3">
      <colorScale>
        <cfvo type="num" val="-60"/>
        <cfvo type="num" val="0"/>
        <cfvo type="num" val="60"/>
        <color rgb="00F8696B"/>
        <color rgb="00FFFFFF"/>
        <color rgb="0063BE7B"/>
      </colorScale>
    </cfRule>
  </conditionalFormatting>
  <conditionalFormatting sqref="AJ5:AJ521">
    <cfRule type="colorScale" priority="4">
      <colorScale>
        <cfvo type="num" val="-60"/>
        <cfvo type="num" val="0"/>
        <cfvo type="num" val="60"/>
        <color rgb="00F8696B"/>
        <color rgb="00FFFFFF"/>
        <color rgb="0063BE7B"/>
      </colorScale>
    </cfRule>
  </conditionalFormatting>
  <conditionalFormatting sqref="AK5:AK521">
    <cfRule type="colorScale" priority="5">
      <colorScale>
        <cfvo type="num" val="-60"/>
        <cfvo type="num" val="0"/>
        <cfvo type="num" val="60"/>
        <color rgb="00F8696B"/>
        <color rgb="00FFFFFF"/>
        <color rgb="0063BE7B"/>
      </colorScale>
    </cfRule>
  </conditionalFormatting>
  <conditionalFormatting sqref="AL5:AL521">
    <cfRule type="colorScale" priority="6">
      <colorScale>
        <cfvo type="num" val="-60"/>
        <cfvo type="num" val="0"/>
        <cfvo type="num" val="60"/>
        <color rgb="00F8696B"/>
        <color rgb="00FFFFFF"/>
        <color rgb="0063BE7B"/>
      </colorScale>
    </cfRule>
  </conditionalFormatting>
  <conditionalFormatting sqref="AM5:AM521">
    <cfRule type="colorScale" priority="7">
      <colorScale>
        <cfvo type="num" val="-60"/>
        <cfvo type="num" val="0"/>
        <cfvo type="num" val="60"/>
        <color rgb="00F8696B"/>
        <color rgb="00FFFFFF"/>
        <color rgb="0063BE7B"/>
      </colorScale>
    </cfRule>
  </conditionalFormatting>
  <conditionalFormatting sqref="AN5:AN521">
    <cfRule type="colorScale" priority="8">
      <colorScale>
        <cfvo type="num" val="-60"/>
        <cfvo type="num" val="0"/>
        <cfvo type="num" val="60"/>
        <color rgb="00F8696B"/>
        <color rgb="00FFFFFF"/>
        <color rgb="0063BE7B"/>
      </colorScale>
    </cfRule>
  </conditionalFormatting>
  <conditionalFormatting sqref="AO5:AO521">
    <cfRule type="colorScale" priority="9">
      <colorScale>
        <cfvo type="num" val="-60"/>
        <cfvo type="num" val="0"/>
        <cfvo type="num" val="60"/>
        <color rgb="00F8696B"/>
        <color rgb="00FFFFFF"/>
        <color rgb="0063BE7B"/>
      </colorScale>
    </cfRule>
  </conditionalFormatting>
  <conditionalFormatting sqref="AQ5:AQ521">
    <cfRule type="colorScale" priority="10">
      <colorScale>
        <cfvo type="num" val="-60"/>
        <cfvo type="num" val="0"/>
        <cfvo type="num" val="60"/>
        <color rgb="00F8696B"/>
        <color rgb="00FFFFFF"/>
        <color rgb="0063BE7B"/>
      </colorScale>
    </cfRule>
  </conditionalFormatting>
  <conditionalFormatting sqref="AS5:AS521">
    <cfRule type="colorScale" priority="11">
      <colorScale>
        <cfvo type="num" val="-60"/>
        <cfvo type="num" val="0"/>
        <cfvo type="num" val="60"/>
        <color rgb="00F8696B"/>
        <color rgb="00FFFFFF"/>
        <color rgb="0063BE7B"/>
      </colorScale>
    </cfRule>
  </conditionalFormatting>
  <conditionalFormatting sqref="AW5:AW521">
    <cfRule type="colorScale" priority="12">
      <colorScale>
        <cfvo type="num" val="-60"/>
        <cfvo type="num" val="0"/>
        <cfvo type="num" val="60"/>
        <color rgb="00F8696B"/>
        <color rgb="00FFFFFF"/>
        <color rgb="0063BE7B"/>
      </colorScale>
    </cfRule>
  </conditionalFormatting>
  <conditionalFormatting sqref="BI5:BI521">
    <cfRule type="colorScale" priority="13">
      <colorScale>
        <cfvo type="num" val="-60"/>
        <cfvo type="num" val="0"/>
        <cfvo type="num" val="60"/>
        <color rgb="00F8696B"/>
        <color rgb="00FFFFFF"/>
        <color rgb="0063BE7B"/>
      </colorScale>
    </cfRule>
  </conditionalFormatting>
  <conditionalFormatting sqref="BK5:BK521">
    <cfRule type="colorScale" priority="14">
      <colorScale>
        <cfvo type="num" val="-60"/>
        <cfvo type="num" val="0"/>
        <cfvo type="num" val="60"/>
        <color rgb="00F8696B"/>
        <color rgb="00FFFFFF"/>
        <color rgb="0063BE7B"/>
      </colorScale>
    </cfRule>
  </conditionalFormatting>
  <conditionalFormatting sqref="I5:I521">
    <cfRule type="dataBar" priority="15">
      <dataBar showValue="1">
        <cfvo type="min"/>
        <cfvo type="max"/>
        <color rgb="004472C4"/>
      </dataBar>
    </cfRule>
  </conditionalFormatting>
  <conditionalFormatting sqref="Q5:Q521">
    <cfRule type="dataBar" priority="16">
      <dataBar showValue="1">
        <cfvo type="min"/>
        <cfvo type="max"/>
        <color rgb="008FAADC"/>
      </dataBar>
    </cfRule>
  </conditionalFormatting>
  <conditionalFormatting sqref="S5:S521">
    <cfRule type="dataBar" priority="17">
      <dataBar showValue="1">
        <cfvo type="min"/>
        <cfvo type="max"/>
        <color rgb="00ED7D31"/>
      </dataBar>
    </cfRule>
  </conditionalFormatting>
  <conditionalFormatting sqref="T5:T521">
    <cfRule type="dataBar" priority="18">
      <dataBar showValue="1">
        <cfvo type="min"/>
        <cfvo type="max"/>
        <color rgb="00F4B183"/>
      </dataBar>
    </cfRule>
  </conditionalFormatting>
  <conditionalFormatting sqref="U5:U521">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0" t="inlineStr">
        <is>
          <t>6727</t>
        </is>
      </c>
      <c r="B6" s="90" t="inlineStr">
        <is>
          <t>Transwarp Technology (Shanghai) Co., Ltd.</t>
        </is>
      </c>
      <c r="C6" s="90" t="n"/>
      <c r="D6" s="90" t="inlineStr">
        <is>
          <t>Offering</t>
        </is>
      </c>
      <c r="E6" s="91" t="inlineStr">
        <is>
          <t>2026-09-21</t>
        </is>
      </c>
      <c r="F6" s="90" t="inlineStr">
        <is>
          <t>Tech/AI</t>
        </is>
      </c>
      <c r="G6" s="92" t="inlineStr">
        <is>
          <t>SaaS / enterprise software</t>
        </is>
      </c>
      <c r="H6" s="93" t="n"/>
      <c r="I6" s="94" t="n"/>
      <c r="J6" s="90" t="n"/>
      <c r="K6" s="95" t="n">
        <v>49</v>
      </c>
      <c r="L6" s="95" t="n">
        <v>61</v>
      </c>
      <c r="M6" s="96" t="n"/>
      <c r="N6" s="97" t="n"/>
      <c r="O6" s="90" t="inlineStr">
        <is>
          <t>2026-09-11 to 2026-09-16</t>
        </is>
      </c>
      <c r="P6" s="98" t="inlineStr">
        <is>
          <t>N</t>
        </is>
      </c>
      <c r="Q6" s="90" t="n"/>
      <c r="R6" s="90" t="n"/>
      <c r="S6" s="99" t="n"/>
      <c r="T6" s="96" t="n"/>
      <c r="U6" s="100" t="n"/>
      <c r="V6" s="100" t="n"/>
      <c r="W6" s="101" t="n"/>
      <c r="X6" s="102">
        <f>HYPERLINK("https://www1.hkexnews.hk/listedco/listconews/sehk/2026/0911/2026091100019.pdf","filing")</f>
        <v/>
      </c>
      <c r="Y6" s="103" t="inlineStr">
        <is>
          <t>We are a leading AI infrastructure software provider in China. We generate revenue primarily by selling AI and big data infrastructure software products and related services to enterprise and government customers.</t>
        </is>
      </c>
      <c r="Z6" s="104" t="n"/>
    </row>
    <row r="7">
      <c r="A7" s="90" t="inlineStr">
        <is>
          <t>9856</t>
        </is>
      </c>
      <c r="B7" s="90" t="inlineStr">
        <is>
          <t>Ligent Technologies, Inc.</t>
        </is>
      </c>
      <c r="C7" s="90" t="n"/>
      <c r="D7" s="90" t="inlineStr">
        <is>
          <t>Offering</t>
        </is>
      </c>
      <c r="E7" s="91" t="inlineStr">
        <is>
          <t>2026-09-22</t>
        </is>
      </c>
      <c r="F7" s="90" t="inlineStr">
        <is>
          <t>Tech/AI</t>
        </is>
      </c>
      <c r="G7" s="92" t="inlineStr">
        <is>
          <t>Smart hardware / consumer electronics</t>
        </is>
      </c>
      <c r="H7" s="93" t="n"/>
      <c r="I7" s="94" t="n"/>
      <c r="J7" s="90" t="n"/>
      <c r="K7" s="95" t="n"/>
      <c r="L7" s="95" t="n"/>
      <c r="M7" s="96" t="n">
        <v>19</v>
      </c>
      <c r="N7" s="97" t="n"/>
      <c r="O7" s="90" t="inlineStr">
        <is>
          <t>2026-09-14 to 2026-09-17</t>
        </is>
      </c>
      <c r="P7" s="98" t="inlineStr">
        <is>
          <t>Y</t>
        </is>
      </c>
      <c r="Q7" s="90" t="n"/>
      <c r="R7" s="90" t="n"/>
      <c r="S7" s="99" t="n"/>
      <c r="T7" s="96" t="n"/>
      <c r="U7" s="100" t="n"/>
      <c r="V7" s="100" t="n"/>
      <c r="W7" s="101" t="n"/>
      <c r="X7" s="102">
        <f>HYPERLINK("https://www1.hkexnews.hk/listedco/listconews/sehk/2026/0914/2026091400007.pdf","filing")</f>
        <v/>
      </c>
      <c r="Y7" s="10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t>
        </is>
      </c>
      <c r="Z7" s="104" t="n"/>
    </row>
    <row r="8">
      <c r="A8" s="90" t="inlineStr">
        <is>
          <t>6700</t>
        </is>
      </c>
      <c r="B8" s="90" t="inlineStr">
        <is>
          <t>Shenzhen Forms Syntron Information Co., Ltd.</t>
        </is>
      </c>
      <c r="C8" s="90" t="n"/>
      <c r="D8" s="90" t="inlineStr">
        <is>
          <t>Offering</t>
        </is>
      </c>
      <c r="E8" s="91" t="inlineStr">
        <is>
          <t>2026-09-22</t>
        </is>
      </c>
      <c r="F8" s="90" t="inlineStr">
        <is>
          <t>Tech/AI</t>
        </is>
      </c>
      <c r="G8" s="92" t="inlineStr">
        <is>
          <t>Fintech platform</t>
        </is>
      </c>
      <c r="H8" s="93" t="n"/>
      <c r="I8" s="94" t="n"/>
      <c r="J8" s="90" t="n"/>
      <c r="K8" s="95" t="n"/>
      <c r="L8" s="95" t="n">
        <v>16</v>
      </c>
      <c r="M8" s="96" t="n">
        <v>8.699999999999999</v>
      </c>
      <c r="N8" s="97" t="n">
        <v>12.61</v>
      </c>
      <c r="O8" s="90" t="inlineStr">
        <is>
          <t>2026-09-14 to 2026-09-17</t>
        </is>
      </c>
      <c r="P8" s="98" t="inlineStr">
        <is>
          <t>Y</t>
        </is>
      </c>
      <c r="Q8" s="90" t="n"/>
      <c r="R8" s="90" t="n"/>
      <c r="S8" s="99" t="n"/>
      <c r="T8" s="96" t="n"/>
      <c r="U8" s="100" t="n"/>
      <c r="V8" s="100" t="n"/>
      <c r="W8" s="101" t="n"/>
      <c r="X8" s="102">
        <f>HYPERLINK("https://www1.hkexnews.hk/listedco/listconews/sehk/2026/0914/2026091400005.pdf","filing")</f>
        <v/>
      </c>
      <c r="Y8" s="103"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8" s="104" t="n"/>
    </row>
    <row r="9">
      <c r="A9" s="105" t="n"/>
      <c r="B9" s="105" t="inlineStr">
        <is>
          <t>Tanboer Group Co., Ltd.</t>
        </is>
      </c>
      <c r="C9" s="105" t="n"/>
      <c r="D9" s="105" t="inlineStr">
        <is>
          <t>PHIP posted</t>
        </is>
      </c>
      <c r="E9" s="106" t="inlineStr">
        <is>
          <t>PHIP 2026-06-21</t>
        </is>
      </c>
      <c r="F9" s="105" t="inlineStr">
        <is>
          <t>Consumer</t>
        </is>
      </c>
      <c r="G9" s="107" t="inlineStr">
        <is>
          <t>Apparel / luxury</t>
        </is>
      </c>
      <c r="H9" s="108" t="n">
        <v>780</v>
      </c>
      <c r="I9" s="109" t="inlineStr">
        <is>
          <t>press estimate</t>
        </is>
      </c>
      <c r="J9" s="105" t="n"/>
      <c r="K9" s="110" t="n"/>
      <c r="L9" s="110" t="n"/>
      <c r="M9" s="111" t="n"/>
      <c r="N9" s="112" t="n"/>
      <c r="O9" s="105" t="n"/>
      <c r="P9" s="113" t="inlineStr">
        <is>
          <t>Y</t>
        </is>
      </c>
      <c r="Q9" s="105" t="n"/>
      <c r="R9" s="105" t="n"/>
      <c r="S9" s="114" t="n"/>
      <c r="T9" s="111" t="n"/>
      <c r="U9" s="115" t="n"/>
      <c r="V9" s="115" t="n"/>
      <c r="W9" s="116" t="inlineStr">
        <is>
          <t>China International Capital Corporation Hong Kong Securities Limited</t>
        </is>
      </c>
      <c r="X9" s="117">
        <f>HYPERLINK("https://www1.hkexnews.hk/app/sehk/2026/108483/documents/sehk26062100126.pdf","filing")</f>
        <v/>
      </c>
      <c r="Y9" s="118" t="inlineStr">
        <is>
          <t>We operate our offline stores through two models to maximize market presence and adapt to consumer demands. Our permanent stores provide consistent brand presence in prime retail locations, offering our full product range throughout the year.</t>
        </is>
      </c>
      <c r="Z9" s="119" t="inlineStr">
        <is>
          <t>expected size not yet public</t>
        </is>
      </c>
    </row>
    <row r="10">
      <c r="A10" s="120" t="n"/>
      <c r="B10" s="120" t="inlineStr">
        <is>
          <t>Direct Drive Tech Limited</t>
        </is>
      </c>
      <c r="C10" s="120" t="inlineStr">
        <is>
          <t>本末動力（北京）科技股份有限公司</t>
        </is>
      </c>
      <c r="D10" s="120" t="inlineStr">
        <is>
          <t>PHIP posted</t>
        </is>
      </c>
      <c r="E10" s="91" t="inlineStr">
        <is>
          <t>PHIP 2026-06-29</t>
        </is>
      </c>
      <c r="F10" s="120" t="inlineStr">
        <is>
          <t>Tech/AI</t>
        </is>
      </c>
      <c r="G10" s="92" t="inlineStr">
        <is>
          <t>Robotics &amp; autonomous driving</t>
        </is>
      </c>
      <c r="H10" s="93" t="n"/>
      <c r="I10" s="121" t="n"/>
      <c r="J10" s="120" t="n"/>
      <c r="K10" s="122" t="n"/>
      <c r="L10" s="122" t="n"/>
      <c r="M10" s="123" t="n"/>
      <c r="N10" s="124" t="n"/>
      <c r="O10" s="120" t="n"/>
      <c r="P10" s="125" t="inlineStr">
        <is>
          <t>N</t>
        </is>
      </c>
      <c r="Q10" s="120" t="n"/>
      <c r="R10" s="120" t="n"/>
      <c r="S10" s="126" t="n"/>
      <c r="T10" s="123" t="n"/>
      <c r="U10" s="127" t="n"/>
      <c r="V10" s="127" t="n"/>
      <c r="W10" s="128" t="inlineStr">
        <is>
          <t>CLSA Limited</t>
        </is>
      </c>
      <c r="X10" s="129">
        <f>HYPERLINK("https://www1.hkexnews.hk/app/sehk/2026/108691/documents/sehk26062901536.pdf","filing")</f>
        <v/>
      </c>
      <c r="Y10" s="130"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10" s="131" t="inlineStr">
        <is>
          <t>expected size not yet public</t>
        </is>
      </c>
    </row>
    <row r="11">
      <c r="A11" s="120" t="n"/>
      <c r="B11" s="120" t="inlineStr">
        <is>
          <t>Zhejiang Taotao Vehicles Co., Ltd.</t>
        </is>
      </c>
      <c r="C11" s="120" t="n"/>
      <c r="D11" s="120" t="inlineStr">
        <is>
          <t>PHIP posted</t>
        </is>
      </c>
      <c r="E11" s="91" t="inlineStr">
        <is>
          <t>PHIP 2026-09-07</t>
        </is>
      </c>
      <c r="F11" s="120" t="n"/>
      <c r="G11" s="92" t="n"/>
      <c r="H11" s="93" t="n"/>
      <c r="I11" s="121" t="n"/>
      <c r="J11" s="120" t="n"/>
      <c r="K11" s="122" t="n"/>
      <c r="L11" s="122" t="n"/>
      <c r="M11" s="123" t="n"/>
      <c r="N11" s="124" t="n"/>
      <c r="O11" s="120" t="n"/>
      <c r="P11" s="125" t="inlineStr">
        <is>
          <t>Y</t>
        </is>
      </c>
      <c r="Q11" s="120" t="inlineStr">
        <is>
          <t>Y</t>
        </is>
      </c>
      <c r="R11" s="120" t="inlineStr">
        <is>
          <t>301345.SZ</t>
        </is>
      </c>
      <c r="S11" s="126" t="n"/>
      <c r="T11" s="123" t="n"/>
      <c r="U11" s="127" t="n"/>
      <c r="V11" s="127" t="n"/>
      <c r="W11" s="128" t="inlineStr">
        <is>
          <t>CLSA Limited</t>
        </is>
      </c>
      <c r="X11" s="129">
        <f>HYPERLINK("https://www1.hkexnews.hk/app/sehk/2026/108575/documents/sehk26090701490.pdf","filing")</f>
        <v/>
      </c>
      <c r="Y11" s="130"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1" s="131" t="inlineStr">
        <is>
          <t>expected size not yet public; subsector not auto-classified; type one in the blue cell</t>
        </is>
      </c>
    </row>
    <row r="12">
      <c r="A12" s="120" t="n"/>
      <c r="B12" s="120" t="inlineStr">
        <is>
          <t>Hunan Junxin Environmental Protection Co., Ltd.</t>
        </is>
      </c>
      <c r="C12" s="120" t="n"/>
      <c r="D12" s="120" t="inlineStr">
        <is>
          <t>PHIP posted</t>
        </is>
      </c>
      <c r="E12" s="91" t="inlineStr">
        <is>
          <t>PHIP 2026-09-13</t>
        </is>
      </c>
      <c r="F12" s="120" t="inlineStr">
        <is>
          <t>Materials/Energy</t>
        </is>
      </c>
      <c r="G12" s="92" t="inlineStr">
        <is>
          <t>Oil &amp; gas / utilities</t>
        </is>
      </c>
      <c r="H12" s="93" t="n"/>
      <c r="I12" s="121" t="n"/>
      <c r="J12" s="120" t="n"/>
      <c r="K12" s="122" t="n"/>
      <c r="L12" s="122" t="n"/>
      <c r="M12" s="123" t="n"/>
      <c r="N12" s="124" t="n"/>
      <c r="O12" s="120" t="n"/>
      <c r="P12" s="125" t="inlineStr">
        <is>
          <t>Y</t>
        </is>
      </c>
      <c r="Q12" s="120" t="inlineStr">
        <is>
          <t>Y</t>
        </is>
      </c>
      <c r="R12" s="120" t="n"/>
      <c r="S12" s="126" t="n"/>
      <c r="T12" s="123" t="n"/>
      <c r="U12" s="127" t="n"/>
      <c r="V12" s="127" t="n"/>
      <c r="W12" s="128" t="inlineStr">
        <is>
          <t>China International Capital Corporation Hong Kong Securities Limited; CLSA Limited</t>
        </is>
      </c>
      <c r="X12" s="129">
        <f>HYPERLINK("https://www1.hkexnews.hk/app/sehk/2026/108794/documents/sehk26091300040.pdf","filing")</f>
        <v/>
      </c>
      <c r="Y12" s="130"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2" s="131" t="inlineStr">
        <is>
          <t>A-share listed on the Shenzhen Stock Exchange; the PHIP does not print the code; confirm on the terminal; expected size not yet public</t>
        </is>
      </c>
    </row>
    <row r="13">
      <c r="A13" s="120" t="n"/>
      <c r="B13" s="120" t="inlineStr">
        <is>
          <t>RoboTechnik Intelligent Technology Co., Ltd.</t>
        </is>
      </c>
      <c r="C13" s="120" t="n"/>
      <c r="D13" s="120" t="inlineStr">
        <is>
          <t>PHIP posted</t>
        </is>
      </c>
      <c r="E13" s="91" t="inlineStr">
        <is>
          <t>PHIP 2026-09-13</t>
        </is>
      </c>
      <c r="F13" s="120" t="inlineStr">
        <is>
          <t>Tech/AI</t>
        </is>
      </c>
      <c r="G13" s="92" t="inlineStr">
        <is>
          <t>Robotics &amp; autonomous driving</t>
        </is>
      </c>
      <c r="H13" s="93" t="n"/>
      <c r="I13" s="121" t="n"/>
      <c r="J13" s="120" t="n"/>
      <c r="K13" s="122" t="n"/>
      <c r="L13" s="122" t="n"/>
      <c r="M13" s="123" t="n"/>
      <c r="N13" s="124" t="n"/>
      <c r="O13" s="120" t="n"/>
      <c r="P13" s="125" t="inlineStr">
        <is>
          <t>Y</t>
        </is>
      </c>
      <c r="Q13" s="120" t="inlineStr">
        <is>
          <t>Y</t>
        </is>
      </c>
      <c r="R13" s="120" t="inlineStr">
        <is>
          <t>300757.SZ</t>
        </is>
      </c>
      <c r="S13" s="126" t="n"/>
      <c r="T13" s="123" t="n"/>
      <c r="U13" s="127" t="n"/>
      <c r="V13" s="127" t="n"/>
      <c r="W13" s="128" t="n"/>
      <c r="X13" s="129">
        <f>HYPERLINK("https://www1.hkexnews.hk/app/sehk/2026/108535/documents/sehk26091300272.pdf","filing")</f>
        <v/>
      </c>
      <c r="Y13" s="130" t="inlineStr">
        <is>
          <t>We provide quality services to our customers by establishing an extensive integrated sales network to provide a comprehensive range of sales services. Our sales are primarily conducted through direct sales.</t>
        </is>
      </c>
      <c r="Z13" s="131" t="inlineStr">
        <is>
          <t>expected size not yet public</t>
        </is>
      </c>
    </row>
    <row r="14">
      <c r="A14" s="132" t="n"/>
      <c r="B14" s="132" t="inlineStr">
        <is>
          <t>Sungrow Power Supply</t>
        </is>
      </c>
      <c r="C14" s="132" t="inlineStr">
        <is>
          <t>阳光电源</t>
        </is>
      </c>
      <c r="D14" s="132" t="inlineStr">
        <is>
          <t>A1 filed</t>
        </is>
      </c>
      <c r="E14" s="106" t="inlineStr">
        <is>
          <t>2026 H2 (application refiled Apr 2026, 6-month validity)</t>
        </is>
      </c>
      <c r="F14" s="132" t="inlineStr">
        <is>
          <t>Industrials</t>
        </is>
      </c>
      <c r="G14" s="107" t="inlineStr">
        <is>
          <t>Solar / wind supply chain</t>
        </is>
      </c>
      <c r="H14" s="108" t="n"/>
      <c r="I14" s="133" t="n"/>
      <c r="J14" s="132" t="n"/>
      <c r="K14" s="134" t="n"/>
      <c r="L14" s="134" t="n"/>
      <c r="M14" s="135" t="n"/>
      <c r="N14" s="136" t="n"/>
      <c r="O14" s="132" t="n"/>
      <c r="P14" s="137" t="n"/>
      <c r="Q14" s="132" t="inlineStr">
        <is>
          <t>Y</t>
        </is>
      </c>
      <c r="R14" s="132" t="inlineStr">
        <is>
          <t>300274.SZ</t>
        </is>
      </c>
      <c r="S14" s="138" t="n"/>
      <c r="T14" s="135" t="n"/>
      <c r="U14" s="139" t="n"/>
      <c r="V14" s="139" t="n"/>
      <c r="W14" s="140" t="inlineStr">
        <is>
          <t>CICC</t>
        </is>
      </c>
      <c r="X14" s="132" t="n"/>
      <c r="Y14" s="141" t="n"/>
      <c r="Z14" s="142" t="inlineStr">
        <is>
          <t>A-share market cap ~RMB 277-330bn (USD 40-47bn) in Apr 2026. Early reports cited a HK$987m (USD 126.7m) raise target from the Oct-2025 filing; treat with caution, small vs peers' A+H raises; no updated size disclosed on the Apr 2026 refiling.</t>
        </is>
      </c>
    </row>
    <row r="15">
      <c r="A15" s="143" t="n"/>
      <c r="B15" s="143" t="inlineStr">
        <is>
          <t>AgiBot (AgiBot Innovation / Zhiyuan Robotics)</t>
        </is>
      </c>
      <c r="C15" s="143" t="inlineStr">
        <is>
          <t>智元机器人</t>
        </is>
      </c>
      <c r="D15" s="143" t="inlineStr">
        <is>
          <t>A1 filed</t>
        </is>
      </c>
      <c r="E15" s="91" t="inlineStr">
        <is>
          <t>2026 H2 (possibly as early as Aug-Sep 2026)</t>
        </is>
      </c>
      <c r="F15" s="143" t="inlineStr">
        <is>
          <t>Tech/AI</t>
        </is>
      </c>
      <c r="G15" s="92" t="inlineStr">
        <is>
          <t>Robotics &amp; autonomous driving</t>
        </is>
      </c>
      <c r="H15" s="93" t="n">
        <v>7800</v>
      </c>
      <c r="I15" s="144" t="n"/>
      <c r="J15" s="143" t="inlineStr">
        <is>
          <t>1,000</t>
        </is>
      </c>
      <c r="K15" s="145" t="n"/>
      <c r="L15" s="145" t="n"/>
      <c r="M15" s="146" t="n"/>
      <c r="N15" s="147" t="n"/>
      <c r="O15" s="143" t="n"/>
      <c r="P15" s="148" t="n"/>
      <c r="Q15" s="143" t="inlineStr">
        <is>
          <t>N</t>
        </is>
      </c>
      <c r="R15" s="143" t="n"/>
      <c r="S15" s="149" t="n"/>
      <c r="T15" s="146" t="n"/>
      <c r="U15" s="150" t="n"/>
      <c r="V15" s="150" t="n"/>
      <c r="W15" s="151" t="inlineStr">
        <is>
          <t>CITIC Securities; CICC; Morgan Stanley</t>
        </is>
      </c>
      <c r="X15" s="143" t="n"/>
      <c r="Y15" s="152" t="n"/>
      <c r="Z15" s="153" t="inlineStr">
        <is>
          <t>Cornerstone/valuation target HK$40-50bn (~USD 5.1-6.4bn); plans to sell 15-25% of shares, potentially raising &gt;USD 1bn. Last private rounds valued it above RMB 20bn (~USD 3bn) per Caixin.</t>
        </is>
      </c>
    </row>
    <row r="16">
      <c r="A16" s="143" t="n"/>
      <c r="B16" s="143" t="inlineStr">
        <is>
          <t>Xiaohongshu (RedNote)</t>
        </is>
      </c>
      <c r="C16" s="143" t="inlineStr">
        <is>
          <t>小红书</t>
        </is>
      </c>
      <c r="D16" s="143" t="inlineStr">
        <is>
          <t>A1 filed</t>
        </is>
      </c>
      <c r="E16" s="91" t="inlineStr">
        <is>
          <t>2026 H2, as early as year-end 2026</t>
        </is>
      </c>
      <c r="F16" s="143" t="inlineStr">
        <is>
          <t>Tech/AI</t>
        </is>
      </c>
      <c r="G16" s="92" t="inlineStr">
        <is>
          <t>Internet platform / e-commerce</t>
        </is>
      </c>
      <c r="H16" s="93" t="n"/>
      <c r="I16" s="144" t="n"/>
      <c r="J16" s="143" t="n"/>
      <c r="K16" s="145" t="n"/>
      <c r="L16" s="145" t="n"/>
      <c r="M16" s="146" t="n"/>
      <c r="N16" s="147" t="n"/>
      <c r="O16" s="143" t="n"/>
      <c r="P16" s="148" t="n"/>
      <c r="Q16" s="143" t="inlineStr">
        <is>
          <t>N</t>
        </is>
      </c>
      <c r="R16" s="143" t="n"/>
      <c r="S16" s="149" t="n"/>
      <c r="T16" s="146" t="n"/>
      <c r="U16" s="150" t="n"/>
      <c r="V16" s="150" t="n"/>
      <c r="W16" s="151" t="inlineStr">
        <is>
          <t>Goldman Sachs; CICC</t>
        </is>
      </c>
      <c r="X16" s="143" t="n"/>
      <c r="Y16" s="152" t="n"/>
      <c r="Z16" s="153" t="inlineStr">
        <is>
          <t>Targeting &gt;USD 70bn valuation (WSJ via The Standard, 2026-06); above the ~USD 50bn seen in recent private secondary trades; would be one of HK's largest tech IPOs. Company publicly denied some IPO rumours amid compliance dispute (The Standard, 2026-07).</t>
        </is>
      </c>
    </row>
    <row r="17">
      <c r="A17" s="132" t="n"/>
      <c r="B17" s="132" t="inlineStr">
        <is>
          <t>Moonshot AI</t>
        </is>
      </c>
      <c r="C17" s="132" t="inlineStr">
        <is>
          <t>月之暗面</t>
        </is>
      </c>
      <c r="D17" s="132" t="inlineStr">
        <is>
          <t>Reported</t>
        </is>
      </c>
      <c r="E17" s="106" t="inlineStr">
        <is>
          <t>filing 2026 H2; listing as early as end-2026</t>
        </is>
      </c>
      <c r="F17" s="132" t="inlineStr">
        <is>
          <t>Tech/AI</t>
        </is>
      </c>
      <c r="G17" s="107" t="inlineStr">
        <is>
          <t>LLM / foundation model</t>
        </is>
      </c>
      <c r="H17" s="108" t="n"/>
      <c r="I17" s="133" t="n"/>
      <c r="J17" s="132" t="n"/>
      <c r="K17" s="134" t="n"/>
      <c r="L17" s="134" t="n"/>
      <c r="M17" s="135" t="n"/>
      <c r="N17" s="136" t="n"/>
      <c r="O17" s="132" t="n"/>
      <c r="P17" s="137" t="n"/>
      <c r="Q17" s="132" t="inlineStr">
        <is>
          <t>N</t>
        </is>
      </c>
      <c r="R17" s="132" t="n"/>
      <c r="S17" s="138" t="n"/>
      <c r="T17" s="135" t="n"/>
      <c r="U17" s="139" t="n"/>
      <c r="V17" s="139" t="n"/>
      <c r="W17" s="140" t="n"/>
      <c r="X17" s="132" t="n"/>
      <c r="Y17" s="141" t="n"/>
      <c r="Z17" s="142" t="inlineStr">
        <is>
          <t>Closed USD 3.5bn round at USD 35bn valuation (Bloomberg, 2026-07-29), up from ~USD 4bn end-2025; in talks for a final pre-IPO round at USD 50bn pre-money (Bloomberg, 2026-07-21).</t>
        </is>
      </c>
    </row>
    <row r="18">
      <c r="A18" s="154" t="inlineStr">
        <is>
          <t>2523</t>
        </is>
      </c>
      <c r="B18" s="154" t="inlineStr">
        <is>
          <t>EKH LIMITED</t>
        </is>
      </c>
      <c r="C18" s="154" t="n"/>
      <c r="D18" s="154" t="inlineStr">
        <is>
          <t>Withdrawn</t>
        </is>
      </c>
      <c r="E18" s="106" t="n"/>
      <c r="F18" s="154" t="inlineStr">
        <is>
          <t>Industrials</t>
        </is>
      </c>
      <c r="G18" s="107" t="inlineStr">
        <is>
          <t>Logistics</t>
        </is>
      </c>
      <c r="H18" s="108" t="n">
        <v>126</v>
      </c>
      <c r="I18" s="155" t="inlineStr">
        <is>
          <t>prospectus, net at max price</t>
        </is>
      </c>
      <c r="J18" s="154" t="n"/>
      <c r="K18" s="156" t="n">
        <v>2.2</v>
      </c>
      <c r="L18" s="156" t="n">
        <v>2.68</v>
      </c>
      <c r="M18" s="157" t="n">
        <v>73.3</v>
      </c>
      <c r="N18" s="158" t="n"/>
      <c r="O18" s="154" t="n"/>
      <c r="P18" s="159" t="inlineStr">
        <is>
          <t>Y</t>
        </is>
      </c>
      <c r="Q18" s="154" t="n"/>
      <c r="R18" s="154" t="n"/>
      <c r="S18" s="160" t="n"/>
      <c r="T18" s="157" t="n"/>
      <c r="U18" s="161" t="n"/>
      <c r="V18" s="161" t="n"/>
      <c r="W18" s="162" t="n"/>
      <c r="X18" s="154" t="n"/>
      <c r="Y18" s="1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8" s="164" t="n"/>
    </row>
    <row r="19"/>
    <row r="20"/>
    <row r="21"/>
    <row r="22">
      <c r="A22" s="165" t="inlineStr">
        <is>
          <t>HKEX APPLICATION QUEUE</t>
        </is>
      </c>
    </row>
    <row r="23">
      <c r="A23" s="2" t="inlineStr">
        <is>
          <t>PHIP posted = hearing cleared, usually days to weeks from launch; those rows are also in the table above. Refreshed on every run.</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166" t="inlineStr">
        <is>
          <t>Hunan Junxin Environmental Protection Co., Ltd.</t>
        </is>
      </c>
      <c r="B25" s="17" t="inlineStr">
        <is>
          <t>PHIP posted (hearing cleared)</t>
        </is>
      </c>
      <c r="C25" s="17" t="inlineStr">
        <is>
          <t>2026-09-13</t>
        </is>
      </c>
      <c r="D25" s="17" t="inlineStr">
        <is>
          <t>2026-09-13</t>
        </is>
      </c>
      <c r="E25" s="167" t="n">
        <v>1</v>
      </c>
      <c r="F25" s="85">
        <f>HYPERLINK("https://www1.hkexnews.hk/app/sehk/2026/108794/documents/sehk26091300040.pdf","open filing")</f>
        <v/>
      </c>
    </row>
    <row r="26">
      <c r="A26" s="166" t="inlineStr">
        <is>
          <t>Shenzhen Camsense Technologies Co., Ltd.</t>
        </is>
      </c>
      <c r="B26" s="17" t="inlineStr">
        <is>
          <t>PHIP posted (hearing cleared)</t>
        </is>
      </c>
      <c r="C26" s="17" t="inlineStr">
        <is>
          <t>2026-09-13</t>
        </is>
      </c>
      <c r="D26" s="17" t="inlineStr">
        <is>
          <t>2026-09-13</t>
        </is>
      </c>
      <c r="E26" s="167" t="n">
        <v>1</v>
      </c>
      <c r="F26" s="85">
        <f>HYPERLINK("https://www1.hkexnews.hk/app/sehk/2026/108431/documents/sehk26091300196.pdf","open filing")</f>
        <v/>
      </c>
    </row>
    <row r="27">
      <c r="A27" s="166" t="inlineStr">
        <is>
          <t>RoboTechnik Intelligent Technology Co., Ltd.</t>
        </is>
      </c>
      <c r="B27" s="17" t="inlineStr">
        <is>
          <t>PHIP posted (hearing cleared)</t>
        </is>
      </c>
      <c r="C27" s="17" t="inlineStr">
        <is>
          <t>2026-09-13</t>
        </is>
      </c>
      <c r="D27" s="17" t="inlineStr">
        <is>
          <t>2026-09-13</t>
        </is>
      </c>
      <c r="E27" s="167" t="n">
        <v>1</v>
      </c>
      <c r="F27" s="85">
        <f>HYPERLINK("https://www1.hkexnews.hk/app/sehk/2026/108535/documents/sehk26091300272.pdf","open filing")</f>
        <v/>
      </c>
    </row>
    <row r="28">
      <c r="A28" s="166" t="inlineStr">
        <is>
          <t>Shenzhen Kinwong Electronic Co., Ltd.</t>
        </is>
      </c>
      <c r="B28" s="17" t="inlineStr">
        <is>
          <t>PHIP posted (hearing cleared)</t>
        </is>
      </c>
      <c r="C28" s="17" t="inlineStr">
        <is>
          <t>2026-09-07</t>
        </is>
      </c>
      <c r="D28" s="17" t="inlineStr">
        <is>
          <t>2026-09-07</t>
        </is>
      </c>
      <c r="E28" s="167" t="n">
        <v>7</v>
      </c>
      <c r="F28" s="85">
        <f>HYPERLINK("https://www1.hkexnews.hk/app/sehk/2026/108714/documents/sehk26090701434.pdf","open filing")</f>
        <v/>
      </c>
    </row>
    <row r="29">
      <c r="A29" s="166" t="inlineStr">
        <is>
          <t>Zhejiang Taotao Vehicles Co., Ltd.</t>
        </is>
      </c>
      <c r="B29" s="17" t="inlineStr">
        <is>
          <t>PHIP posted (hearing cleared)</t>
        </is>
      </c>
      <c r="C29" s="17" t="inlineStr">
        <is>
          <t>2026-09-07</t>
        </is>
      </c>
      <c r="D29" s="17" t="inlineStr">
        <is>
          <t>2026-09-07</t>
        </is>
      </c>
      <c r="E29" s="167" t="n">
        <v>7</v>
      </c>
      <c r="F29" s="85">
        <f>HYPERLINK("https://www1.hkexnews.hk/app/sehk/2026/108575/documents/sehk26090701490.pdf","open filing")</f>
        <v/>
      </c>
    </row>
    <row r="30">
      <c r="A30" s="166" t="inlineStr">
        <is>
          <t>Shenzhen Forms Syntron Information Co., Ltd.</t>
        </is>
      </c>
      <c r="B30" s="17" t="inlineStr">
        <is>
          <t>PHIP posted (hearing cleared)</t>
        </is>
      </c>
      <c r="C30" s="17" t="inlineStr">
        <is>
          <t>2026-09-06</t>
        </is>
      </c>
      <c r="D30" s="17" t="inlineStr">
        <is>
          <t>2026-09-06</t>
        </is>
      </c>
      <c r="E30" s="167" t="n">
        <v>8</v>
      </c>
      <c r="F30" s="85">
        <f>HYPERLINK("https://www1.hkexnews.hk/app/sehk/2026/108727/documents/sehk26090600084.pdf","open filing")</f>
        <v/>
      </c>
    </row>
    <row r="31">
      <c r="A31" s="166" t="inlineStr">
        <is>
          <t>Ligent Technologies, Inc.</t>
        </is>
      </c>
      <c r="B31" s="17" t="inlineStr">
        <is>
          <t>PHIP posted (hearing cleared)</t>
        </is>
      </c>
      <c r="C31" s="17" t="inlineStr">
        <is>
          <t>2026-08-30</t>
        </is>
      </c>
      <c r="D31" s="17" t="inlineStr">
        <is>
          <t>2026-08-30</t>
        </is>
      </c>
      <c r="E31" s="167" t="n">
        <v>15</v>
      </c>
      <c r="F31" s="85">
        <f>HYPERLINK("https://www1.hkexnews.hk/app/sehk/2026/108264/documents/sehk26083000040.pdf","open filing")</f>
        <v/>
      </c>
    </row>
    <row r="32">
      <c r="A32" s="166" t="inlineStr">
        <is>
          <t>Transwarp Technology (Shanghai) Co., Ltd.</t>
        </is>
      </c>
      <c r="B32" s="17" t="inlineStr">
        <is>
          <t>PHIP posted (hearing cleared)</t>
        </is>
      </c>
      <c r="C32" s="17" t="inlineStr">
        <is>
          <t>2026-08-27</t>
        </is>
      </c>
      <c r="D32" s="17" t="inlineStr">
        <is>
          <t>2026-08-27</t>
        </is>
      </c>
      <c r="E32" s="167" t="n">
        <v>18</v>
      </c>
      <c r="F32" s="85">
        <f>HYPERLINK("https://www1.hkexnews.hk/app/sehk/2026/108331/documents/sehk26082702028.pdf","open filing")</f>
        <v/>
      </c>
    </row>
    <row r="33">
      <c r="A33" s="166" t="inlineStr">
        <is>
          <t>Glorysoft (Shanghai) Co., Ltd.</t>
        </is>
      </c>
      <c r="B33" s="168" t="inlineStr">
        <is>
          <t>PHIP posted (hearing cleared)  [sponsor terminated]</t>
        </is>
      </c>
      <c r="C33" s="17" t="inlineStr">
        <is>
          <t>2026-08-07</t>
        </is>
      </c>
      <c r="D33" s="17" t="inlineStr">
        <is>
          <t>2026-08-07</t>
        </is>
      </c>
      <c r="E33" s="167" t="n">
        <v>38</v>
      </c>
      <c r="F33" s="85">
        <f>HYPERLINK("https://www1.hkexnews.hk/app/sehk/2026/108262/documents/sehk26062301714.pdf","open filing")</f>
        <v/>
      </c>
    </row>
    <row r="34">
      <c r="A34" s="166" t="inlineStr">
        <is>
          <t>Direct Drive Tech Limited</t>
        </is>
      </c>
      <c r="B34" s="17" t="inlineStr">
        <is>
          <t>PHIP posted (hearing cleared)</t>
        </is>
      </c>
      <c r="C34" s="17" t="inlineStr">
        <is>
          <t>2026-06-29</t>
        </is>
      </c>
      <c r="D34" s="17" t="inlineStr">
        <is>
          <t>2026-06-29</t>
        </is>
      </c>
      <c r="E34" s="167" t="n">
        <v>77</v>
      </c>
      <c r="F34" s="85">
        <f>HYPERLINK("https://www1.hkexnews.hk/app/sehk/2026/108691/documents/sehk26062901536.pdf","open filing")</f>
        <v/>
      </c>
    </row>
    <row r="35">
      <c r="A35" s="166" t="inlineStr">
        <is>
          <t>EKH Limited</t>
        </is>
      </c>
      <c r="B35" s="17" t="inlineStr">
        <is>
          <t>PHIP posted (hearing cleared)</t>
        </is>
      </c>
      <c r="C35" s="17" t="inlineStr">
        <is>
          <t>2026-06-26</t>
        </is>
      </c>
      <c r="D35" s="17" t="inlineStr">
        <is>
          <t>2026-06-26</t>
        </is>
      </c>
      <c r="E35" s="167" t="n">
        <v>80</v>
      </c>
      <c r="F35" s="85">
        <f>HYPERLINK("https://www1.hkexnews.hk/app/sehk/2026/108390/documents/sehk26062603258.pdf","open filing")</f>
        <v/>
      </c>
    </row>
    <row r="36">
      <c r="A36" s="166" t="inlineStr">
        <is>
          <t>Tanboer Group Co., Ltd.</t>
        </is>
      </c>
      <c r="B36" s="17" t="inlineStr">
        <is>
          <t>PHIP posted (hearing cleared)</t>
        </is>
      </c>
      <c r="C36" s="17" t="inlineStr">
        <is>
          <t>2026-06-21</t>
        </is>
      </c>
      <c r="D36" s="17" t="inlineStr">
        <is>
          <t>2026-06-21</t>
        </is>
      </c>
      <c r="E36" s="167" t="n">
        <v>85</v>
      </c>
      <c r="F36" s="85">
        <f>HYPERLINK("https://www1.hkexnews.hk/app/sehk/2026/108483/documents/sehk26062100126.pdf","open filing")</f>
        <v/>
      </c>
    </row>
    <row r="37">
      <c r="A37" s="17" t="inlineStr">
        <is>
          <t>Hai Robotics Innovation Group Co., Ltd. - W</t>
        </is>
      </c>
      <c r="B37" s="17" t="inlineStr">
        <is>
          <t>Application Proof only</t>
        </is>
      </c>
      <c r="C37" s="17" t="inlineStr">
        <is>
          <t>2026-09-13</t>
        </is>
      </c>
      <c r="D37" s="17" t="inlineStr">
        <is>
          <t>2026-09-13</t>
        </is>
      </c>
      <c r="E37" s="167" t="n">
        <v>1</v>
      </c>
      <c r="F37" s="85">
        <f>HYPERLINK("https://www1.hkexnews.hk/app/sehk/2026/108870/documents/sehk26091300124.pdf","open filing")</f>
        <v/>
      </c>
    </row>
    <row r="38">
      <c r="A38" s="17" t="inlineStr">
        <is>
          <t>ZHE JIANG HAI LIANG CO., LTD.</t>
        </is>
      </c>
      <c r="B38" s="17" t="inlineStr">
        <is>
          <t>Application Proof only</t>
        </is>
      </c>
      <c r="C38" s="17" t="inlineStr">
        <is>
          <t>2026-09-11</t>
        </is>
      </c>
      <c r="D38" s="17" t="inlineStr">
        <is>
          <t>2026-09-11</t>
        </is>
      </c>
      <c r="E38" s="167" t="n">
        <v>3</v>
      </c>
      <c r="F38" s="85">
        <f>HYPERLINK("https://www1.hkexnews.hk/app/sehk/2026/108850/documents/sehk26083000490.pdf","open filing")</f>
        <v/>
      </c>
    </row>
    <row r="39">
      <c r="A39" s="17" t="inlineStr">
        <is>
          <t>ASR Microelectronics Co., Ltd.</t>
        </is>
      </c>
      <c r="B39" s="17" t="inlineStr">
        <is>
          <t>Application Proof only</t>
        </is>
      </c>
      <c r="C39" s="17" t="inlineStr">
        <is>
          <t>2026-09-11</t>
        </is>
      </c>
      <c r="D39" s="17" t="inlineStr">
        <is>
          <t>2026-09-11</t>
        </is>
      </c>
      <c r="E39" s="167" t="n">
        <v>3</v>
      </c>
      <c r="F39" s="85">
        <f>HYPERLINK("https://www1.hkexnews.hk/app/sehk/2026/108868/documents/sehk26091101556.pdf","open filing")</f>
        <v/>
      </c>
    </row>
    <row r="40">
      <c r="A40" s="17" t="inlineStr">
        <is>
          <t>Shanghai Vision Star Media Co.,Ltd.</t>
        </is>
      </c>
      <c r="B40" s="17" t="inlineStr">
        <is>
          <t>Application Proof only</t>
        </is>
      </c>
      <c r="C40" s="17" t="inlineStr">
        <is>
          <t>2026-09-10</t>
        </is>
      </c>
      <c r="D40" s="17" t="inlineStr">
        <is>
          <t>2026-09-10</t>
        </is>
      </c>
      <c r="E40" s="167" t="n">
        <v>4</v>
      </c>
      <c r="F40" s="85">
        <f>HYPERLINK("https://www1.hkexnews.hk/app/sehk/2026/108822/documents/sehk26082701844.pdf","open filing")</f>
        <v/>
      </c>
    </row>
    <row r="41">
      <c r="A41" s="17" t="inlineStr">
        <is>
          <t>Hangzhou Tangji Medical Technology Co., Ltd. - B</t>
        </is>
      </c>
      <c r="B41" s="17" t="inlineStr">
        <is>
          <t>Application Proof only</t>
        </is>
      </c>
      <c r="C41" s="17" t="inlineStr">
        <is>
          <t>2026-09-10</t>
        </is>
      </c>
      <c r="D41" s="17" t="inlineStr">
        <is>
          <t>2026-09-10</t>
        </is>
      </c>
      <c r="E41" s="167" t="n">
        <v>4</v>
      </c>
      <c r="F41" s="85">
        <f>HYPERLINK("https://www1.hkexnews.hk/app/sehk/2026/108827/documents/sehk26082803557.pdf","open filing")</f>
        <v/>
      </c>
    </row>
    <row r="42">
      <c r="A42" s="17" t="inlineStr">
        <is>
          <t>Guangdong Mic-Power New Energy Co., Ltd.</t>
        </is>
      </c>
      <c r="B42" s="17" t="inlineStr">
        <is>
          <t>Application Proof only</t>
        </is>
      </c>
      <c r="C42" s="17" t="inlineStr">
        <is>
          <t>2026-09-10</t>
        </is>
      </c>
      <c r="D42" s="17" t="inlineStr">
        <is>
          <t>2026-09-10</t>
        </is>
      </c>
      <c r="E42" s="167" t="n">
        <v>4</v>
      </c>
      <c r="F42" s="85">
        <f>HYPERLINK("https://www1.hkexnews.hk/app/sehk/2026/108867/documents/sehk26091001726.pdf","open filing")</f>
        <v/>
      </c>
    </row>
    <row r="43">
      <c r="A43" s="17" t="inlineStr">
        <is>
          <t>Zhuhai Kingsware Artificial Intelligence Co., Ltd.</t>
        </is>
      </c>
      <c r="B43" s="17" t="inlineStr">
        <is>
          <t>Application Proof only</t>
        </is>
      </c>
      <c r="C43" s="17" t="inlineStr">
        <is>
          <t>2026-09-04</t>
        </is>
      </c>
      <c r="D43" s="17" t="inlineStr">
        <is>
          <t>2026-09-04</t>
        </is>
      </c>
      <c r="E43" s="167" t="n">
        <v>10</v>
      </c>
      <c r="F43" s="85">
        <f>HYPERLINK("https://www1.hkexnews.hk/app/sehk/2026/108812/documents/sehk26082102364.pdf","open filing")</f>
        <v/>
      </c>
    </row>
    <row r="44">
      <c r="A44" s="17" t="inlineStr">
        <is>
          <t>VATAI HOLDINGS LIMITED</t>
        </is>
      </c>
      <c r="B44" s="17" t="inlineStr">
        <is>
          <t>Application Proof only</t>
        </is>
      </c>
      <c r="C44" s="17" t="inlineStr">
        <is>
          <t>2026-09-03</t>
        </is>
      </c>
      <c r="D44" s="17" t="inlineStr">
        <is>
          <t>2026-09-03</t>
        </is>
      </c>
      <c r="E44" s="167" t="n">
        <v>11</v>
      </c>
      <c r="F44" s="85">
        <f>HYPERLINK("https://www1.hkexnews.hk/app/sehk/2026/108857/documents/sehk26090300176.pdf","open filing")</f>
        <v/>
      </c>
    </row>
    <row r="45">
      <c r="A45" s="17" t="inlineStr">
        <is>
          <t>Shenzhen Salubris Pharmaceuticals Co., Ltd.</t>
        </is>
      </c>
      <c r="B45" s="17" t="inlineStr">
        <is>
          <t>Application Proof only</t>
        </is>
      </c>
      <c r="C45" s="17" t="inlineStr">
        <is>
          <t>2026-09-03</t>
        </is>
      </c>
      <c r="D45" s="17" t="inlineStr">
        <is>
          <t>2026-09-03</t>
        </is>
      </c>
      <c r="E45" s="167" t="n">
        <v>11</v>
      </c>
      <c r="F45" s="85">
        <f>HYPERLINK("https://www1.hkexnews.hk/app/sehk/2026/108858/documents/sehk26090301640.pdf","open filing")</f>
        <v/>
      </c>
    </row>
    <row r="46">
      <c r="A46" s="17" t="inlineStr">
        <is>
          <t>Hunan Yuneng New Energy Battery Material Co., Ltd.</t>
        </is>
      </c>
      <c r="B46" s="17" t="inlineStr">
        <is>
          <t>Application Proof only</t>
        </is>
      </c>
      <c r="C46" s="17" t="inlineStr">
        <is>
          <t>2026-09-01</t>
        </is>
      </c>
      <c r="D46" s="17" t="inlineStr">
        <is>
          <t>2026-09-01</t>
        </is>
      </c>
      <c r="E46" s="167" t="n">
        <v>13</v>
      </c>
      <c r="F46" s="85">
        <f>HYPERLINK("https://www1.hkexnews.hk/app/sehk/2026/108797/documents/sehk26081700010.pdf","open filing")</f>
        <v/>
      </c>
    </row>
    <row r="47">
      <c r="A47" s="17" t="inlineStr">
        <is>
          <t>Guangxi Yuchai Marine and Genset Power Co., Ltd.</t>
        </is>
      </c>
      <c r="B47" s="17" t="inlineStr">
        <is>
          <t>Application Proof only</t>
        </is>
      </c>
      <c r="C47" s="17" t="inlineStr">
        <is>
          <t>2026-08-31</t>
        </is>
      </c>
      <c r="D47" s="17" t="inlineStr">
        <is>
          <t>2026-08-31</t>
        </is>
      </c>
      <c r="E47" s="167" t="n">
        <v>14</v>
      </c>
      <c r="F47" s="85">
        <f>HYPERLINK("https://www1.hkexnews.hk/app/sehk/2026/108851/documents/sehk26083101780.pdf","open filing")</f>
        <v/>
      </c>
    </row>
    <row r="48">
      <c r="A48" s="17" t="inlineStr">
        <is>
          <t>Zhejiang IPLUSMOBOT Technology Co., Ltd.</t>
        </is>
      </c>
      <c r="B48" s="17" t="inlineStr">
        <is>
          <t>Application Proof only</t>
        </is>
      </c>
      <c r="C48" s="17" t="inlineStr">
        <is>
          <t>2026-08-31</t>
        </is>
      </c>
      <c r="D48" s="17" t="inlineStr">
        <is>
          <t>2026-08-31</t>
        </is>
      </c>
      <c r="E48" s="167" t="n">
        <v>14</v>
      </c>
      <c r="F48" s="85">
        <f>HYPERLINK("https://www1.hkexnews.hk/app/sehk/2026/108853/documents/sehk26083102166.pdf","open filing")</f>
        <v/>
      </c>
    </row>
    <row r="49">
      <c r="A49" s="17" t="inlineStr">
        <is>
          <t>ANEW Health Limited</t>
        </is>
      </c>
      <c r="B49" s="17" t="inlineStr">
        <is>
          <t>Application Proof only</t>
        </is>
      </c>
      <c r="C49" s="17" t="inlineStr">
        <is>
          <t>2026-08-31</t>
        </is>
      </c>
      <c r="D49" s="17" t="inlineStr">
        <is>
          <t>2026-08-31</t>
        </is>
      </c>
      <c r="E49" s="167" t="n">
        <v>14</v>
      </c>
      <c r="F49" s="85">
        <f>HYPERLINK("https://www1.hkexnews.hk/app/sehk/2026/108852/documents/sehk26083102544.pdf","open filing")</f>
        <v/>
      </c>
    </row>
    <row r="50">
      <c r="A50" s="17" t="inlineStr">
        <is>
          <t>Ningbo Sunny Smart Autotech Company Limited</t>
        </is>
      </c>
      <c r="B50" s="17" t="inlineStr">
        <is>
          <t>Application Proof only</t>
        </is>
      </c>
      <c r="C50" s="17" t="inlineStr">
        <is>
          <t>2026-08-31</t>
        </is>
      </c>
      <c r="D50" s="17" t="inlineStr">
        <is>
          <t>2026-08-31</t>
        </is>
      </c>
      <c r="E50" s="167" t="n">
        <v>14</v>
      </c>
      <c r="F50" s="85">
        <f>HYPERLINK("https://www1.hkexnews.hk/app/sehk/2026/108854/documents/sehk26083102636.pdf","open filing")</f>
        <v/>
      </c>
    </row>
    <row r="51">
      <c r="A51" s="17" t="inlineStr">
        <is>
          <t>Jiangxi Tongbo Technology Co., Ltd.</t>
        </is>
      </c>
      <c r="B51" s="17" t="inlineStr">
        <is>
          <t>Application Proof only</t>
        </is>
      </c>
      <c r="C51" s="17" t="inlineStr">
        <is>
          <t>2026-08-31</t>
        </is>
      </c>
      <c r="D51" s="17" t="inlineStr">
        <is>
          <t>2026-08-31</t>
        </is>
      </c>
      <c r="E51" s="167" t="n">
        <v>14</v>
      </c>
      <c r="F51" s="85">
        <f>HYPERLINK("https://www1.hkexnews.hk/app/sehk/2026/108855/documents/sehk26083102794.pdf","open filing")</f>
        <v/>
      </c>
    </row>
    <row r="52">
      <c r="A52" s="17" t="inlineStr">
        <is>
          <t>ProteLight Pharmaceuticals (Jiangsu) Co., Ltd. - B</t>
        </is>
      </c>
      <c r="B52" s="17" t="inlineStr">
        <is>
          <t>Application Proof only</t>
        </is>
      </c>
      <c r="C52" s="17" t="inlineStr">
        <is>
          <t>2026-08-31</t>
        </is>
      </c>
      <c r="D52" s="17" t="inlineStr">
        <is>
          <t>2026-08-31</t>
        </is>
      </c>
      <c r="E52" s="167" t="n">
        <v>14</v>
      </c>
      <c r="F52" s="85">
        <f>HYPERLINK("https://www1.hkexnews.hk/app/sehk/2026/108856/documents/sehk26083102866.pdf","open filing")</f>
        <v/>
      </c>
    </row>
    <row r="53">
      <c r="A53" s="17" t="inlineStr">
        <is>
          <t>Hangzhou Bangshun Pharmaceutical Co., Ltd. - B</t>
        </is>
      </c>
      <c r="B53" s="17" t="inlineStr">
        <is>
          <t>Application Proof only</t>
        </is>
      </c>
      <c r="C53" s="17" t="inlineStr">
        <is>
          <t>2026-08-30</t>
        </is>
      </c>
      <c r="D53" s="17" t="inlineStr">
        <is>
          <t>2026-08-30</t>
        </is>
      </c>
      <c r="E53" s="167" t="n">
        <v>15</v>
      </c>
      <c r="F53" s="85">
        <f>HYPERLINK("https://www1.hkexnews.hk/app/sehk/2026/108847/documents/sehk26083000266.pdf","open filing")</f>
        <v/>
      </c>
    </row>
    <row r="54">
      <c r="A54" s="17" t="inlineStr">
        <is>
          <t>Beijing XSKY Technology Co., Ltd.</t>
        </is>
      </c>
      <c r="B54" s="17" t="inlineStr">
        <is>
          <t>Application Proof only</t>
        </is>
      </c>
      <c r="C54" s="17" t="inlineStr">
        <is>
          <t>2026-08-30</t>
        </is>
      </c>
      <c r="D54" s="17" t="inlineStr">
        <is>
          <t>2026-08-30</t>
        </is>
      </c>
      <c r="E54" s="167" t="n">
        <v>15</v>
      </c>
      <c r="F54" s="85">
        <f>HYPERLINK("https://www1.hkexnews.hk/app/sehk/2026/108849/documents/sehk26083000408.pdf","open filing")</f>
        <v/>
      </c>
    </row>
    <row r="55">
      <c r="A55" s="17" t="inlineStr">
        <is>
          <t>SSI New Material (Zhenjiang) Co., Ltd.</t>
        </is>
      </c>
      <c r="B55" s="17" t="inlineStr">
        <is>
          <t>Application Proof only</t>
        </is>
      </c>
      <c r="C55" s="17" t="inlineStr">
        <is>
          <t>2026-08-28</t>
        </is>
      </c>
      <c r="D55" s="17" t="inlineStr">
        <is>
          <t>2026-08-28</t>
        </is>
      </c>
      <c r="E55" s="167" t="n">
        <v>17</v>
      </c>
      <c r="F55" s="85">
        <f>HYPERLINK("https://www1.hkexnews.hk/app/sehk/2026/108805/documents/sehk26082101576.pdf","open filing")</f>
        <v/>
      </c>
    </row>
    <row r="56">
      <c r="A56" s="17" t="inlineStr">
        <is>
          <t>SHENZHEN CAPCHEM TECHNOLOGY CO., LTD.</t>
        </is>
      </c>
      <c r="B56" s="17" t="inlineStr">
        <is>
          <t>Application Proof only</t>
        </is>
      </c>
      <c r="C56" s="17" t="inlineStr">
        <is>
          <t>2026-08-28</t>
        </is>
      </c>
      <c r="D56" s="17" t="inlineStr">
        <is>
          <t>2026-08-28</t>
        </is>
      </c>
      <c r="E56" s="167" t="n">
        <v>17</v>
      </c>
      <c r="F56" s="85">
        <f>HYPERLINK("https://www1.hkexnews.hk/app/sehk/2026/108824/documents/sehk26082802199.pdf","open filing")</f>
        <v/>
      </c>
    </row>
    <row r="57">
      <c r="A57" s="17" t="inlineStr">
        <is>
          <t>VivaVision Biotech (Zhejiang) Co., Ltd. - B</t>
        </is>
      </c>
      <c r="B57" s="17" t="inlineStr">
        <is>
          <t>Application Proof only</t>
        </is>
      </c>
      <c r="C57" s="17" t="inlineStr">
        <is>
          <t>2026-08-28</t>
        </is>
      </c>
      <c r="D57" s="17" t="inlineStr">
        <is>
          <t>2026-08-28</t>
        </is>
      </c>
      <c r="E57" s="167" t="n">
        <v>17</v>
      </c>
      <c r="F57" s="85">
        <f>HYPERLINK("https://www1.hkexnews.hk/app/sehk/2026/108825/documents/sehk26082802477.pdf","open filing")</f>
        <v/>
      </c>
    </row>
    <row r="58">
      <c r="A58" s="17" t="inlineStr">
        <is>
          <t>Zhejiang Chint Electrics Co., Ltd.</t>
        </is>
      </c>
      <c r="B58" s="17" t="inlineStr">
        <is>
          <t>Application Proof only</t>
        </is>
      </c>
      <c r="C58" s="17" t="inlineStr">
        <is>
          <t>2026-08-28</t>
        </is>
      </c>
      <c r="D58" s="17" t="inlineStr">
        <is>
          <t>2026-08-28</t>
        </is>
      </c>
      <c r="E58" s="167" t="n">
        <v>17</v>
      </c>
      <c r="F58" s="85">
        <f>HYPERLINK("https://www1.hkexnews.hk/app/sehk/2026/108826/documents/sehk26082803207.pdf","open filing")</f>
        <v/>
      </c>
    </row>
    <row r="59">
      <c r="A59" s="17" t="inlineStr">
        <is>
          <t>Frontera Therapeutics - B</t>
        </is>
      </c>
      <c r="B59" s="17" t="inlineStr">
        <is>
          <t>Application Proof only</t>
        </is>
      </c>
      <c r="C59" s="17" t="inlineStr">
        <is>
          <t>2026-08-28</t>
        </is>
      </c>
      <c r="D59" s="17" t="inlineStr">
        <is>
          <t>2026-08-28</t>
        </is>
      </c>
      <c r="E59" s="167" t="n">
        <v>17</v>
      </c>
      <c r="F59" s="85">
        <f>HYPERLINK("https://www1.hkexnews.hk/app/sehk/2026/108828/documents/sehk26082803705.pdf","open filing")</f>
        <v/>
      </c>
    </row>
    <row r="60">
      <c r="A60" s="17" t="inlineStr">
        <is>
          <t>Betta Pharmaceuticals Co., Ltd.</t>
        </is>
      </c>
      <c r="B60" s="17" t="inlineStr">
        <is>
          <t>Application Proof only</t>
        </is>
      </c>
      <c r="C60" s="17" t="inlineStr">
        <is>
          <t>2026-08-28</t>
        </is>
      </c>
      <c r="D60" s="17" t="inlineStr">
        <is>
          <t>2026-08-28</t>
        </is>
      </c>
      <c r="E60" s="167" t="n">
        <v>17</v>
      </c>
      <c r="F60" s="85">
        <f>HYPERLINK("https://www1.hkexnews.hk/app/sehk/2026/108829/documents/sehk26082803861.pdf","open filing")</f>
        <v/>
      </c>
    </row>
    <row r="61">
      <c r="A61" s="17" t="inlineStr">
        <is>
          <t>ClubMed Lifestyle Group</t>
        </is>
      </c>
      <c r="B61" s="17" t="inlineStr">
        <is>
          <t>Application Proof only</t>
        </is>
      </c>
      <c r="C61" s="17" t="inlineStr">
        <is>
          <t>2026-08-28</t>
        </is>
      </c>
      <c r="D61" s="17" t="inlineStr">
        <is>
          <t>2026-08-28</t>
        </is>
      </c>
      <c r="E61" s="167" t="n">
        <v>17</v>
      </c>
      <c r="F61" s="85">
        <f>HYPERLINK("https://www1.hkexnews.hk/app/sehk/2026/108831/documents/sehk26082803941.pdf","open filing")</f>
        <v/>
      </c>
    </row>
    <row r="62">
      <c r="A62" s="17" t="inlineStr">
        <is>
          <t>Exegenesis Bio Inc. - B</t>
        </is>
      </c>
      <c r="B62" s="17" t="inlineStr">
        <is>
          <t>Application Proof only</t>
        </is>
      </c>
      <c r="C62" s="17" t="inlineStr">
        <is>
          <t>2026-08-28</t>
        </is>
      </c>
      <c r="D62" s="17" t="inlineStr">
        <is>
          <t>2026-08-28</t>
        </is>
      </c>
      <c r="E62" s="167" t="n">
        <v>17</v>
      </c>
      <c r="F62" s="85">
        <f>HYPERLINK("https://www1.hkexnews.hk/app/sehk/2026/108832/documents/sehk26082804043.pdf","open filing")</f>
        <v/>
      </c>
    </row>
    <row r="63">
      <c r="A63" s="17" t="inlineStr">
        <is>
          <t>Nanjing Novlead Biotechnology Co., Ltd. - B</t>
        </is>
      </c>
      <c r="B63" s="17" t="inlineStr">
        <is>
          <t>Application Proof only</t>
        </is>
      </c>
      <c r="C63" s="17" t="inlineStr">
        <is>
          <t>2026-08-28</t>
        </is>
      </c>
      <c r="D63" s="17" t="inlineStr">
        <is>
          <t>2026-08-28</t>
        </is>
      </c>
      <c r="E63" s="167" t="n">
        <v>17</v>
      </c>
      <c r="F63" s="85">
        <f>HYPERLINK("https://www1.hkexnews.hk/app/sehk/2026/108833/documents/sehk26082804161.pdf","open filing")</f>
        <v/>
      </c>
    </row>
    <row r="64">
      <c r="A64" s="17" t="inlineStr">
        <is>
          <t>Shenzhen Immunofoco Biotechnology Co., Ltd. - B</t>
        </is>
      </c>
      <c r="B64" s="17" t="inlineStr">
        <is>
          <t>Application Proof only</t>
        </is>
      </c>
      <c r="C64" s="17" t="inlineStr">
        <is>
          <t>2026-08-27</t>
        </is>
      </c>
      <c r="D64" s="17" t="inlineStr">
        <is>
          <t>2026-08-27</t>
        </is>
      </c>
      <c r="E64" s="167" t="n">
        <v>18</v>
      </c>
      <c r="F64" s="85">
        <f>HYPERLINK("https://www1.hkexnews.hk/app/sehk/2026/108798/documents/sehk26081800036.pdf","open filing")</f>
        <v/>
      </c>
    </row>
    <row r="65">
      <c r="A65" s="17" t="inlineStr">
        <is>
          <t>Dizal Pharmaceutical Co., Ltd.</t>
        </is>
      </c>
      <c r="B65" s="17" t="inlineStr">
        <is>
          <t>Application Proof only</t>
        </is>
      </c>
      <c r="C65" s="17" t="inlineStr">
        <is>
          <t>2026-08-27</t>
        </is>
      </c>
      <c r="D65" s="17" t="inlineStr">
        <is>
          <t>2026-08-27</t>
        </is>
      </c>
      <c r="E65" s="167" t="n">
        <v>18</v>
      </c>
      <c r="F65" s="85">
        <f>HYPERLINK("https://www1.hkexnews.hk/app/sehk/2026/108823/documents/sehk26082702222.pdf","open filing")</f>
        <v/>
      </c>
    </row>
    <row r="66">
      <c r="A66" s="17" t="inlineStr">
        <is>
          <t>Zenshine Pharmaceuticals (Nanjing) Group Co., Ltd. - B</t>
        </is>
      </c>
      <c r="B66" s="17" t="inlineStr">
        <is>
          <t>Application Proof only</t>
        </is>
      </c>
      <c r="C66" s="17" t="inlineStr">
        <is>
          <t>2026-08-26</t>
        </is>
      </c>
      <c r="D66" s="17" t="inlineStr">
        <is>
          <t>2026-08-26</t>
        </is>
      </c>
      <c r="E66" s="167" t="n">
        <v>19</v>
      </c>
      <c r="F66" s="85">
        <f>HYPERLINK("https://www1.hkexnews.hk/app/sehk/2026/108821/documents/sehk26082601974.pdf","open filing")</f>
        <v/>
      </c>
    </row>
    <row r="67"/>
    <row r="68">
      <c r="A68" s="2" t="inlineStr">
        <is>
          <t>12 PHIP-stage applications of 370 live; PHIPs plus the 30 most recent application proofs shown.</t>
        </is>
      </c>
    </row>
  </sheetData>
  <mergeCells count="6">
    <mergeCell ref="W4:X4"/>
    <mergeCell ref="Y4:Z4"/>
    <mergeCell ref="S4:V4"/>
    <mergeCell ref="A4:G4"/>
    <mergeCell ref="H4:O4"/>
    <mergeCell ref="P4:R4"/>
  </mergeCells>
  <dataValidations count="1">
    <dataValidation sqref="G6:G18"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2026-09-14.</t>
        </is>
      </c>
    </row>
    <row r="3"/>
    <row r="4">
      <c r="A4" s="169"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0" t="inlineStr">
        <is>
          <t>6127</t>
        </is>
      </c>
      <c r="B7" s="17" t="inlineStr">
        <is>
          <t>JOINN</t>
        </is>
      </c>
      <c r="C7" s="17" t="inlineStr">
        <is>
          <t>CXO / pharma services</t>
        </is>
      </c>
      <c r="D7" s="50">
        <f>IFERROR(BDP("6127 HK Equity","PX_LAST"),"")</f>
        <v/>
      </c>
      <c r="E7" s="171" t="n"/>
      <c r="F7" s="50">
        <f>IF($E7&lt;&gt;"",$E7,$D7)</f>
        <v/>
      </c>
      <c r="G7" s="17" t="inlineStr">
        <is>
          <t>603127.SS</t>
        </is>
      </c>
      <c r="H7" s="50">
        <f>IFERROR(BDP("603127 CH Equity","PX_LAST"),"")</f>
        <v/>
      </c>
      <c r="I7" s="171" t="n"/>
      <c r="J7" s="50">
        <f>IF($I7&lt;&gt;"",$I7,$H7)</f>
        <v/>
      </c>
      <c r="K7" s="53">
        <f>IF(OR(N($F7)&lt;=0,N($J7)&lt;=0,N($D$4)&lt;=0),"",($J7*$D$4)/$F7-1)</f>
        <v/>
      </c>
      <c r="L7" s="172" t="n">
        <v>1.2396</v>
      </c>
      <c r="M7" s="2" t="inlineStr">
        <is>
          <t>H listed Feb 2021; CRO safety-evaluation leader</t>
        </is>
      </c>
    </row>
    <row r="8">
      <c r="A8" s="170" t="inlineStr">
        <is>
          <t>6821</t>
        </is>
      </c>
      <c r="B8" s="17" t="inlineStr">
        <is>
          <t>ASYMCHEM</t>
        </is>
      </c>
      <c r="C8" s="17" t="inlineStr">
        <is>
          <t>CXO / pharma services</t>
        </is>
      </c>
      <c r="D8" s="50">
        <f>IFERROR(BDP("6821 HK Equity","PX_LAST"),"")</f>
        <v/>
      </c>
      <c r="E8" s="171" t="n"/>
      <c r="F8" s="50">
        <f>IF($E8&lt;&gt;"",$E8,$D8)</f>
        <v/>
      </c>
      <c r="G8" s="17" t="inlineStr">
        <is>
          <t>002821.SZ</t>
        </is>
      </c>
      <c r="H8" s="50">
        <f>IFERROR(BDP("002821 CH Equity","PX_LAST"),"")</f>
        <v/>
      </c>
      <c r="I8" s="171" t="n"/>
      <c r="J8" s="50">
        <f>IF($I8&lt;&gt;"",$I8,$H8)</f>
        <v/>
      </c>
      <c r="K8" s="53">
        <f>IF(OR(N($F8)&lt;=0,N($J8)&lt;=0,N($D$4)&lt;=0),"",($J8*$D$4)/$F8-1)</f>
        <v/>
      </c>
      <c r="L8" s="172" t="n">
        <v>0.3545</v>
      </c>
      <c r="M8" s="2" t="inlineStr">
        <is>
          <t>H listed Dec 2021 (CDMO)</t>
        </is>
      </c>
    </row>
    <row r="9">
      <c r="A9" s="170" t="inlineStr">
        <is>
          <t>6680</t>
        </is>
      </c>
      <c r="B9" s="17" t="inlineStr">
        <is>
          <t>JLMAG</t>
        </is>
      </c>
      <c r="C9" s="17" t="inlineStr">
        <is>
          <t>Capital goods / machinery</t>
        </is>
      </c>
      <c r="D9" s="50">
        <f>IFERROR(BDP("6680 HK Equity","PX_LAST"),"")</f>
        <v/>
      </c>
      <c r="E9" s="171" t="n"/>
      <c r="F9" s="50">
        <f>IF($E9&lt;&gt;"",$E9,$D9)</f>
        <v/>
      </c>
      <c r="G9" s="17" t="inlineStr">
        <is>
          <t>300748.SZ</t>
        </is>
      </c>
      <c r="H9" s="50">
        <f>IFERROR(BDP("300748 CH Equity","PX_LAST"),"")</f>
        <v/>
      </c>
      <c r="I9" s="171" t="n"/>
      <c r="J9" s="50">
        <f>IF($I9&lt;&gt;"",$I9,$H9)</f>
        <v/>
      </c>
      <c r="K9" s="53">
        <f>IF(OR(N($F9)&lt;=0,N($J9)&lt;=0,N($D$4)&lt;=0),"",($J9*$D$4)/$F9-1)</f>
        <v/>
      </c>
      <c r="L9" s="172" t="n">
        <v>0.8396</v>
      </c>
      <c r="M9" s="2" t="inlineStr">
        <is>
          <t>H listed Jan 2022 (NdFeB magnets)</t>
        </is>
      </c>
    </row>
    <row r="10">
      <c r="A10" s="170" t="inlineStr">
        <is>
          <t>9696</t>
        </is>
      </c>
      <c r="B10" s="17" t="inlineStr">
        <is>
          <t>TIANQI LITHIUM</t>
        </is>
      </c>
      <c r="C10" s="17" t="inlineStr">
        <is>
          <t>Mining / metals</t>
        </is>
      </c>
      <c r="D10" s="50">
        <f>IFERROR(BDP("9696 HK Equity","PX_LAST"),"")</f>
        <v/>
      </c>
      <c r="E10" s="171" t="n"/>
      <c r="F10" s="50">
        <f>IF($E10&lt;&gt;"",$E10,$D10)</f>
        <v/>
      </c>
      <c r="G10" s="17" t="inlineStr">
        <is>
          <t>002466.SZ</t>
        </is>
      </c>
      <c r="H10" s="50">
        <f>IFERROR(BDP("002466 CH Equity","PX_LAST"),"")</f>
        <v/>
      </c>
      <c r="I10" s="171" t="n"/>
      <c r="J10" s="50">
        <f>IF($I10&lt;&gt;"",$I10,$H10)</f>
        <v/>
      </c>
      <c r="K10" s="53">
        <f>IF(OR(N($F10)&lt;=0,N($J10)&lt;=0,N($D$4)&lt;=0),"",($J10*$D$4)/$F10-1)</f>
        <v/>
      </c>
      <c r="L10" s="172" t="n">
        <v>0.5808</v>
      </c>
      <c r="M10" s="2" t="inlineStr">
        <is>
          <t>Jul 2022, ~US$1.7bn; largest HK IPO of 2022 at pricing</t>
        </is>
      </c>
    </row>
    <row r="11">
      <c r="A11" s="170" t="inlineStr">
        <is>
          <t>1880</t>
        </is>
      </c>
      <c r="B11" s="17" t="inlineStr">
        <is>
          <t>CTG DUTY-FREE</t>
        </is>
      </c>
      <c r="C11" s="17" t="inlineStr">
        <is>
          <t>Retail / distribution</t>
        </is>
      </c>
      <c r="D11" s="50">
        <f>IFERROR(BDP("1880 HK Equity","PX_LAST"),"")</f>
        <v/>
      </c>
      <c r="E11" s="171" t="n"/>
      <c r="F11" s="50">
        <f>IF($E11&lt;&gt;"",$E11,$D11)</f>
        <v/>
      </c>
      <c r="G11" s="17" t="inlineStr">
        <is>
          <t>601888.SS</t>
        </is>
      </c>
      <c r="H11" s="50">
        <f>IFERROR(BDP("601888 CH Equity","PX_LAST"),"")</f>
        <v/>
      </c>
      <c r="I11" s="171" t="n"/>
      <c r="J11" s="50">
        <f>IF($I11&lt;&gt;"",$I11,$H11)</f>
        <v/>
      </c>
      <c r="K11" s="53">
        <f>IF(OR(N($F11)&lt;=0,N($J11)&lt;=0,N($D$4)&lt;=0),"",($J11*$D$4)/$F11-1)</f>
        <v/>
      </c>
      <c r="L11" s="172" t="n">
        <v>0.3041</v>
      </c>
      <c r="M11" s="2" t="inlineStr">
        <is>
          <t>Aug 2022, ~US$2.1bn H offering</t>
        </is>
      </c>
    </row>
    <row r="12">
      <c r="A12" s="170" t="inlineStr">
        <is>
          <t>2315</t>
        </is>
      </c>
      <c r="B12" s="17" t="inlineStr">
        <is>
          <t>BIOCYTOGEN-B</t>
        </is>
      </c>
      <c r="C12" s="17" t="inlineStr">
        <is>
          <t>Biotech pre-revenue (18A)</t>
        </is>
      </c>
      <c r="D12" s="50">
        <f>IFERROR(BDP("2315 HK Equity","PX_LAST"),"")</f>
        <v/>
      </c>
      <c r="E12" s="171" t="n"/>
      <c r="F12" s="50">
        <f>IF($E12&lt;&gt;"",$E12,$D12)</f>
        <v/>
      </c>
      <c r="G12" s="17" t="inlineStr">
        <is>
          <t>688796.SS</t>
        </is>
      </c>
      <c r="H12" s="50">
        <f>IFERROR(BDP("688796 CH Equity","PX_LAST"),"")</f>
        <v/>
      </c>
      <c r="I12" s="171" t="n"/>
      <c r="J12" s="50">
        <f>IF($I12&lt;&gt;"",$I12,$H12)</f>
        <v/>
      </c>
      <c r="K12" s="53">
        <f>IF(OR(N($F12)&lt;=0,N($J12)&lt;=0,N($D$4)&lt;=0),"",($J12*$D$4)/$F12-1)</f>
        <v/>
      </c>
      <c r="L12" s="172" t="n">
        <v>1.4248</v>
      </c>
      <c r="M12" s="2" t="inlineStr">
        <is>
          <t>A-share 688796 listed after the H IPO, so there is no at-IPO premium; today's is live</t>
        </is>
      </c>
    </row>
    <row r="13">
      <c r="A13" s="170" t="inlineStr">
        <is>
          <t>2402</t>
        </is>
      </c>
      <c r="B13" s="17" t="inlineStr">
        <is>
          <t>SINOHYTEC</t>
        </is>
      </c>
      <c r="C13" s="17" t="inlineStr">
        <is>
          <t>Batteries / energy storage</t>
        </is>
      </c>
      <c r="D13" s="50">
        <f>IFERROR(BDP("2402 HK Equity","PX_LAST"),"")</f>
        <v/>
      </c>
      <c r="E13" s="171" t="n"/>
      <c r="F13" s="50">
        <f>IF($E13&lt;&gt;"",$E13,$D13)</f>
        <v/>
      </c>
      <c r="G13" s="17" t="inlineStr">
        <is>
          <t>688339.SS</t>
        </is>
      </c>
      <c r="H13" s="50">
        <f>IFERROR(BDP("688339 CH Equity","PX_LAST"),"")</f>
        <v/>
      </c>
      <c r="I13" s="171" t="n"/>
      <c r="J13" s="50">
        <f>IF($I13&lt;&gt;"",$I13,$H13)</f>
        <v/>
      </c>
      <c r="K13" s="53">
        <f>IF(OR(N($F13)&lt;=0,N($J13)&lt;=0,N($D$4)&lt;=0),"",($J13*$D$4)/$F13-1)</f>
        <v/>
      </c>
      <c r="L13" s="172" t="n">
        <v>0.8025</v>
      </c>
      <c r="M13" s="2" t="inlineStr">
        <is>
          <t>H listed Jan 2023 (hydrogen fuel cells); A+H on STAR</t>
        </is>
      </c>
    </row>
    <row r="14">
      <c r="A14" s="170" t="inlineStr">
        <is>
          <t>0300</t>
        </is>
      </c>
      <c r="B14" s="17" t="inlineStr">
        <is>
          <t>MIDEA GROUP</t>
        </is>
      </c>
      <c r="C14" s="17" t="inlineStr">
        <is>
          <t>Smart hardware / consumer electronics</t>
        </is>
      </c>
      <c r="D14" s="50">
        <f>IFERROR(BDP("300 HK Equity","PX_LAST"),"")</f>
        <v/>
      </c>
      <c r="E14" s="171" t="n"/>
      <c r="F14" s="50">
        <f>IF($E14&lt;&gt;"",$E14,$D14)</f>
        <v/>
      </c>
      <c r="G14" s="17" t="inlineStr">
        <is>
          <t>000333.SZ</t>
        </is>
      </c>
      <c r="H14" s="50">
        <f>IFERROR(BDP("000333 CH Equity","PX_LAST"),"")</f>
        <v/>
      </c>
      <c r="I14" s="171" t="n"/>
      <c r="J14" s="50">
        <f>IF($I14&lt;&gt;"",$I14,$H14)</f>
        <v/>
      </c>
      <c r="K14" s="53">
        <f>IF(OR(N($F14)&lt;=0,N($J14)&lt;=0,N($D$4)&lt;=0),"",($J14*$D$4)/$F14-1)</f>
        <v/>
      </c>
      <c r="L14" s="172" t="n">
        <v>0.0148</v>
      </c>
      <c r="M14" s="2" t="inlineStr">
        <is>
          <t>Sep 2024, ~US$4.0bn+greenshoe; the deal that opened the A-to-H wave; H priced at a double-digit discount to A</t>
        </is>
      </c>
    </row>
    <row r="15">
      <c r="A15" s="170" t="inlineStr">
        <is>
          <t>2465</t>
        </is>
      </c>
      <c r="B15" s="17" t="inlineStr">
        <is>
          <t>LOPAL TECH</t>
        </is>
      </c>
      <c r="C15" s="17" t="inlineStr">
        <is>
          <t>Batteries / energy storage</t>
        </is>
      </c>
      <c r="D15" s="50">
        <f>IFERROR(BDP("2465 HK Equity","PX_LAST"),"")</f>
        <v/>
      </c>
      <c r="E15" s="171" t="n"/>
      <c r="F15" s="50">
        <f>IF($E15&lt;&gt;"",$E15,$D15)</f>
        <v/>
      </c>
      <c r="G15" s="17" t="inlineStr">
        <is>
          <t>603906.SS</t>
        </is>
      </c>
      <c r="H15" s="50">
        <f>IFERROR(BDP("603906 CH Equity","PX_LAST"),"")</f>
        <v/>
      </c>
      <c r="I15" s="171" t="n"/>
      <c r="J15" s="50">
        <f>IF($I15&lt;&gt;"",$I15,$H15)</f>
        <v/>
      </c>
      <c r="K15" s="53">
        <f>IF(OR(N($F15)&lt;=0,N($J15)&lt;=0,N($D$4)&lt;=0),"",($J15*$D$4)/$F15-1)</f>
        <v/>
      </c>
      <c r="L15" s="172" t="n">
        <v>1.3447</v>
      </c>
      <c r="M15" s="2" t="inlineStr">
        <is>
          <t>Oct 2024 H listing (LFP cathode/adblue)</t>
        </is>
      </c>
    </row>
    <row r="16">
      <c r="A16" s="170" t="inlineStr">
        <is>
          <t>6936</t>
        </is>
      </c>
      <c r="B16" s="17" t="inlineStr">
        <is>
          <t>SF HOLDING</t>
        </is>
      </c>
      <c r="C16" s="17" t="inlineStr">
        <is>
          <t>Logistics</t>
        </is>
      </c>
      <c r="D16" s="50">
        <f>IFERROR(BDP("6936 HK Equity","PX_LAST"),"")</f>
        <v/>
      </c>
      <c r="E16" s="171" t="n"/>
      <c r="F16" s="50">
        <f>IF($E16&lt;&gt;"",$E16,$D16)</f>
        <v/>
      </c>
      <c r="G16" s="17" t="inlineStr">
        <is>
          <t>002352.SZ</t>
        </is>
      </c>
      <c r="H16" s="50">
        <f>IFERROR(BDP("002352 CH Equity","PX_LAST"),"")</f>
        <v/>
      </c>
      <c r="I16" s="171" t="n"/>
      <c r="J16" s="50">
        <f>IF($I16&lt;&gt;"",$I16,$H16)</f>
        <v/>
      </c>
      <c r="K16" s="53">
        <f>IF(OR(N($F16)&lt;=0,N($J16)&lt;=0,N($D$4)&lt;=0),"",($J16*$D$4)/$F16-1)</f>
        <v/>
      </c>
      <c r="L16" s="172" t="n">
        <v>0.2421</v>
      </c>
      <c r="M16" s="2" t="inlineStr">
        <is>
          <t>Nov 2024, ~US$750m; first A+H express logistics name</t>
        </is>
      </c>
    </row>
    <row r="17">
      <c r="A17" s="170" t="inlineStr">
        <is>
          <t>6693</t>
        </is>
      </c>
      <c r="B17" s="17" t="inlineStr">
        <is>
          <t>CHIFENG GOLD</t>
        </is>
      </c>
      <c r="C17" s="17" t="inlineStr">
        <is>
          <t>Mining / metals</t>
        </is>
      </c>
      <c r="D17" s="50">
        <f>IFERROR(BDP("6693 HK Equity","PX_LAST"),"")</f>
        <v/>
      </c>
      <c r="E17" s="171" t="n"/>
      <c r="F17" s="50">
        <f>IF($E17&lt;&gt;"",$E17,$D17)</f>
        <v/>
      </c>
      <c r="G17" s="17" t="inlineStr">
        <is>
          <t>600988.SS</t>
        </is>
      </c>
      <c r="H17" s="50">
        <f>IFERROR(BDP("600988 CH Equity","PX_LAST"),"")</f>
        <v/>
      </c>
      <c r="I17" s="171" t="n"/>
      <c r="J17" s="50">
        <f>IF($I17&lt;&gt;"",$I17,$H17)</f>
        <v/>
      </c>
      <c r="K17" s="53">
        <f>IF(OR(N($F17)&lt;=0,N($J17)&lt;=0,N($D$4)&lt;=0),"",($J17*$D$4)/$F17-1)</f>
        <v/>
      </c>
      <c r="L17" s="172" t="n">
        <v>0.3459</v>
      </c>
      <c r="M17" s="2" t="inlineStr">
        <is>
          <t>Mar 2025 H listing (gold miner)</t>
        </is>
      </c>
    </row>
    <row r="18">
      <c r="A18" s="170" t="inlineStr">
        <is>
          <t>2865</t>
        </is>
      </c>
      <c r="B18" s="17" t="inlineStr">
        <is>
          <t>DRINDA</t>
        </is>
      </c>
      <c r="C18" s="17" t="inlineStr">
        <is>
          <t>Solar / wind supply chain</t>
        </is>
      </c>
      <c r="D18" s="50">
        <f>IFERROR(BDP("2865 HK Equity","PX_LAST"),"")</f>
        <v/>
      </c>
      <c r="E18" s="171" t="n"/>
      <c r="F18" s="50">
        <f>IF($E18&lt;&gt;"",$E18,$D18)</f>
        <v/>
      </c>
      <c r="G18" s="17" t="inlineStr">
        <is>
          <t>002865.SZ</t>
        </is>
      </c>
      <c r="H18" s="50">
        <f>IFERROR(BDP("002865 CH Equity","PX_LAST"),"")</f>
        <v/>
      </c>
      <c r="I18" s="171" t="n"/>
      <c r="J18" s="50">
        <f>IF($I18&lt;&gt;"",$I18,$H18)</f>
        <v/>
      </c>
      <c r="K18" s="53">
        <f>IF(OR(N($F18)&lt;=0,N($J18)&lt;=0,N($D$4)&lt;=0),"",($J18*$D$4)/$F18-1)</f>
        <v/>
      </c>
      <c r="L18" s="172" t="n">
        <v>2.6643</v>
      </c>
      <c r="M18" s="2" t="inlineStr">
        <is>
          <t>May 2025 H listing (TOPCon solar cells)</t>
        </is>
      </c>
    </row>
    <row r="19">
      <c r="A19" s="170" t="inlineStr">
        <is>
          <t>3750</t>
        </is>
      </c>
      <c r="B19" s="17" t="inlineStr">
        <is>
          <t>CATL</t>
        </is>
      </c>
      <c r="C19" s="17" t="inlineStr">
        <is>
          <t>Batteries / energy storage</t>
        </is>
      </c>
      <c r="D19" s="50">
        <f>IFERROR(BDP("3750 HK Equity","PX_LAST"),"")</f>
        <v/>
      </c>
      <c r="E19" s="171" t="n"/>
      <c r="F19" s="50">
        <f>IF($E19&lt;&gt;"",$E19,$D19)</f>
        <v/>
      </c>
      <c r="G19" s="17" t="inlineStr">
        <is>
          <t>300750.SZ</t>
        </is>
      </c>
      <c r="H19" s="50">
        <f>IFERROR(BDP("300750 CH Equity","PX_LAST"),"")</f>
        <v/>
      </c>
      <c r="I19" s="171" t="n"/>
      <c r="J19" s="50">
        <f>IF($I19&lt;&gt;"",$I19,$H19)</f>
        <v/>
      </c>
      <c r="K19" s="53">
        <f>IF(OR(N($F19)&lt;=0,N($J19)&lt;=0,N($D$4)&lt;=0),"",($J19*$D$4)/$F19-1)</f>
        <v/>
      </c>
      <c r="L19" s="172" t="n">
        <v>-0.2821</v>
      </c>
      <c r="M19" s="2" t="inlineStr">
        <is>
          <t>May 2025, ~US$4.6bn (US$5.3bn w/ shoe); world's largest listing of 2025; H priced at a slim discount to A and surged on debut</t>
        </is>
      </c>
    </row>
    <row r="20">
      <c r="A20" s="170" t="inlineStr">
        <is>
          <t>1276</t>
        </is>
      </c>
      <c r="B20" s="17" t="inlineStr">
        <is>
          <t>HENGRUI PHARMA</t>
        </is>
      </c>
      <c r="C20" s="17" t="inlineStr">
        <is>
          <t>Biopharma commercial</t>
        </is>
      </c>
      <c r="D20" s="50">
        <f>IFERROR(BDP("1276 HK Equity","PX_LAST"),"")</f>
        <v/>
      </c>
      <c r="E20" s="171" t="n"/>
      <c r="F20" s="50">
        <f>IF($E20&lt;&gt;"",$E20,$D20)</f>
        <v/>
      </c>
      <c r="G20" s="17" t="inlineStr">
        <is>
          <t>600276.SS</t>
        </is>
      </c>
      <c r="H20" s="50">
        <f>IFERROR(BDP("600276 CH Equity","PX_LAST"),"")</f>
        <v/>
      </c>
      <c r="I20" s="171" t="n"/>
      <c r="J20" s="50">
        <f>IF($I20&lt;&gt;"",$I20,$H20)</f>
        <v/>
      </c>
      <c r="K20" s="53">
        <f>IF(OR(N($F20)&lt;=0,N($J20)&lt;=0,N($D$4)&lt;=0),"",($J20*$D$4)/$F20-1)</f>
        <v/>
      </c>
      <c r="L20" s="172" t="n">
        <v>0.1211</v>
      </c>
      <c r="M20" s="2" t="inlineStr">
        <is>
          <t>May 2025, raised ~HK$9.9bn (~US$1.3bn)</t>
        </is>
      </c>
    </row>
    <row r="21">
      <c r="A21" s="170" t="inlineStr">
        <is>
          <t>2603</t>
        </is>
      </c>
      <c r="B21" s="17" t="inlineStr">
        <is>
          <t>JIHONG CO</t>
        </is>
      </c>
      <c r="C21" s="17" t="inlineStr">
        <is>
          <t>Internet platform / e-commerce</t>
        </is>
      </c>
      <c r="D21" s="50">
        <f>IFERROR(BDP("2603 HK Equity","PX_LAST"),"")</f>
        <v/>
      </c>
      <c r="E21" s="171" t="n"/>
      <c r="F21" s="50">
        <f>IF($E21&lt;&gt;"",$E21,$D21)</f>
        <v/>
      </c>
      <c r="G21" s="17" t="inlineStr">
        <is>
          <t>002803.SZ</t>
        </is>
      </c>
      <c r="H21" s="50">
        <f>IFERROR(BDP("002803 CH Equity","PX_LAST"),"")</f>
        <v/>
      </c>
      <c r="I21" s="171" t="n"/>
      <c r="J21" s="50">
        <f>IF($I21&lt;&gt;"",$I21,$H21)</f>
        <v/>
      </c>
      <c r="K21" s="53">
        <f>IF(OR(N($F21)&lt;=0,N($J21)&lt;=0,N($D$4)&lt;=0),"",($J21*$D$4)/$F21-1)</f>
        <v/>
      </c>
      <c r="L21" s="172" t="n">
        <v>0.8262</v>
      </c>
      <c r="M21" s="2" t="inlineStr">
        <is>
          <t>May 2025 H listing (packaging + cross-border e-commerce)</t>
        </is>
      </c>
    </row>
    <row r="22">
      <c r="A22" s="170" t="inlineStr">
        <is>
          <t>3288</t>
        </is>
      </c>
      <c r="B22" s="17" t="inlineStr">
        <is>
          <t>HAITIAN FLAV</t>
        </is>
      </c>
      <c r="C22" s="17" t="inlineStr">
        <is>
          <t>Beverages / packaged food</t>
        </is>
      </c>
      <c r="D22" s="50">
        <f>IFERROR(BDP("3288 HK Equity","PX_LAST"),"")</f>
        <v/>
      </c>
      <c r="E22" s="171" t="n"/>
      <c r="F22" s="50">
        <f>IF($E22&lt;&gt;"",$E22,$D22)</f>
        <v/>
      </c>
      <c r="G22" s="17" t="inlineStr">
        <is>
          <t>603288.SS</t>
        </is>
      </c>
      <c r="H22" s="50">
        <f>IFERROR(BDP("603288 CH Equity","PX_LAST"),"")</f>
        <v/>
      </c>
      <c r="I22" s="171" t="n"/>
      <c r="J22" s="50">
        <f>IF($I22&lt;&gt;"",$I22,$H22)</f>
        <v/>
      </c>
      <c r="K22" s="53">
        <f>IF(OR(N($F22)&lt;=0,N($J22)&lt;=0,N($D$4)&lt;=0),"",($J22*$D$4)/$F22-1)</f>
        <v/>
      </c>
      <c r="L22" s="172" t="n">
        <v>0.4732</v>
      </c>
      <c r="M22" s="2" t="inlineStr">
        <is>
          <t>Jun 2025, ~US$1.3bn; condiments leader</t>
        </is>
      </c>
    </row>
    <row r="23">
      <c r="A23" s="170" t="inlineStr">
        <is>
          <t>2050</t>
        </is>
      </c>
      <c r="B23" s="17" t="inlineStr">
        <is>
          <t>SANHUA</t>
        </is>
      </c>
      <c r="C23" s="17" t="inlineStr">
        <is>
          <t>Auto parts / supply chain</t>
        </is>
      </c>
      <c r="D23" s="50">
        <f>IFERROR(BDP("2050 HK Equity","PX_LAST"),"")</f>
        <v/>
      </c>
      <c r="E23" s="171" t="n"/>
      <c r="F23" s="50">
        <f>IF($E23&lt;&gt;"",$E23,$D23)</f>
        <v/>
      </c>
      <c r="G23" s="17" t="inlineStr">
        <is>
          <t>002050.SZ</t>
        </is>
      </c>
      <c r="H23" s="50">
        <f>IFERROR(BDP("002050 CH Equity","PX_LAST"),"")</f>
        <v/>
      </c>
      <c r="I23" s="171" t="n"/>
      <c r="J23" s="50">
        <f>IF($I23&lt;&gt;"",$I23,$H23)</f>
        <v/>
      </c>
      <c r="K23" s="53">
        <f>IF(OR(N($F23)&lt;=0,N($J23)&lt;=0,N($D$4)&lt;=0),"",($J23*$D$4)/$F23-1)</f>
        <v/>
      </c>
      <c r="L23" s="172" t="n">
        <v>0.6793</v>
      </c>
      <c r="M23" s="2" t="inlineStr">
        <is>
          <t>Jun 2025 H listing (thermal management/humanoid actuators)</t>
        </is>
      </c>
    </row>
    <row r="24">
      <c r="A24" s="170" t="inlineStr">
        <is>
          <t>2648</t>
        </is>
      </c>
      <c r="B24" s="17" t="inlineStr">
        <is>
          <t>ANJOY FOOD</t>
        </is>
      </c>
      <c r="C24" s="17" t="inlineStr">
        <is>
          <t>Beverages / packaged food</t>
        </is>
      </c>
      <c r="D24" s="50">
        <f>IFERROR(BDP("2648 HK Equity","PX_LAST"),"")</f>
        <v/>
      </c>
      <c r="E24" s="171" t="n"/>
      <c r="F24" s="50">
        <f>IF($E24&lt;&gt;"",$E24,$D24)</f>
        <v/>
      </c>
      <c r="G24" s="17" t="inlineStr">
        <is>
          <t>603345.SS</t>
        </is>
      </c>
      <c r="H24" s="50">
        <f>IFERROR(BDP("603345 CH Equity","PX_LAST"),"")</f>
        <v/>
      </c>
      <c r="I24" s="171" t="n"/>
      <c r="J24" s="50">
        <f>IF($I24&lt;&gt;"",$I24,$H24)</f>
        <v/>
      </c>
      <c r="K24" s="53">
        <f>IF(OR(N($F24)&lt;=0,N($J24)&lt;=0,N($D$4)&lt;=0),"",($J24*$D$4)/$F24-1)</f>
        <v/>
      </c>
      <c r="L24" s="172" t="n">
        <v>0.4335</v>
      </c>
      <c r="M24" s="2" t="inlineStr">
        <is>
          <t>Jul 2025 H listing (frozen foods)</t>
        </is>
      </c>
    </row>
    <row r="25">
      <c r="A25" s="170" t="inlineStr">
        <is>
          <t>1304</t>
        </is>
      </c>
      <c r="B25" s="17" t="inlineStr">
        <is>
          <t>FORTIOR</t>
        </is>
      </c>
      <c r="C25" s="17" t="inlineStr">
        <is>
          <t>AI chips &amp; semis</t>
        </is>
      </c>
      <c r="D25" s="50">
        <f>IFERROR(BDP("1304 HK Equity","PX_LAST"),"")</f>
        <v/>
      </c>
      <c r="E25" s="171" t="n"/>
      <c r="F25" s="50">
        <f>IF($E25&lt;&gt;"",$E25,$D25)</f>
        <v/>
      </c>
      <c r="G25" s="17" t="inlineStr">
        <is>
          <t>688279.SS</t>
        </is>
      </c>
      <c r="H25" s="50">
        <f>IFERROR(BDP("688279 CH Equity","PX_LAST"),"")</f>
        <v/>
      </c>
      <c r="I25" s="171" t="n"/>
      <c r="J25" s="50">
        <f>IF($I25&lt;&gt;"",$I25,$H25)</f>
        <v/>
      </c>
      <c r="K25" s="53">
        <f>IF(OR(N($F25)&lt;=0,N($J25)&lt;=0,N($D$4)&lt;=0),"",($J25*$D$4)/$F25-1)</f>
        <v/>
      </c>
      <c r="L25" s="172" t="n">
        <v>0.8539</v>
      </c>
      <c r="M25" s="2" t="inlineStr">
        <is>
          <t>Jul 2025 H listing (BLDC motor-driver chips)</t>
        </is>
      </c>
    </row>
    <row r="26">
      <c r="A26" s="170" t="inlineStr">
        <is>
          <t>6613</t>
        </is>
      </c>
      <c r="B26" s="17" t="inlineStr">
        <is>
          <t>LENS</t>
        </is>
      </c>
      <c r="C26" s="17" t="inlineStr">
        <is>
          <t>Smart hardware / consumer electronics</t>
        </is>
      </c>
      <c r="D26" s="50">
        <f>IFERROR(BDP("6613 HK Equity","PX_LAST"),"")</f>
        <v/>
      </c>
      <c r="E26" s="171" t="n"/>
      <c r="F26" s="50">
        <f>IF($E26&lt;&gt;"",$E26,$D26)</f>
        <v/>
      </c>
      <c r="G26" s="17" t="inlineStr">
        <is>
          <t>300433.SZ</t>
        </is>
      </c>
      <c r="H26" s="50">
        <f>IFERROR(BDP("300433 CH Equity","PX_LAST"),"")</f>
        <v/>
      </c>
      <c r="I26" s="171" t="n"/>
      <c r="J26" s="50">
        <f>IF($I26&lt;&gt;"",$I26,$H26)</f>
        <v/>
      </c>
      <c r="K26" s="53">
        <f>IF(OR(N($F26)&lt;=0,N($J26)&lt;=0,N($D$4)&lt;=0),"",($J26*$D$4)/$F26-1)</f>
        <v/>
      </c>
      <c r="L26" s="172" t="n">
        <v>0.773</v>
      </c>
      <c r="M26" s="2" t="inlineStr">
        <is>
          <t>Jul 2025 H listing (cover glass, Apple chain)</t>
        </is>
      </c>
    </row>
    <row r="27">
      <c r="A27" s="170" t="inlineStr">
        <is>
          <t>2631</t>
        </is>
      </c>
      <c r="B27" s="17" t="inlineStr">
        <is>
          <t>SICC</t>
        </is>
      </c>
      <c r="C27" s="17" t="inlineStr">
        <is>
          <t>AI chips &amp; semis</t>
        </is>
      </c>
      <c r="D27" s="50">
        <f>IFERROR(BDP("2631 HK Equity","PX_LAST"),"")</f>
        <v/>
      </c>
      <c r="E27" s="171" t="n"/>
      <c r="F27" s="50">
        <f>IF($E27&lt;&gt;"",$E27,$D27)</f>
        <v/>
      </c>
      <c r="G27" s="17" t="inlineStr">
        <is>
          <t>688234.SS</t>
        </is>
      </c>
      <c r="H27" s="50">
        <f>IFERROR(BDP("688234 CH Equity","PX_LAST"),"")</f>
        <v/>
      </c>
      <c r="I27" s="171" t="n"/>
      <c r="J27" s="50">
        <f>IF($I27&lt;&gt;"",$I27,$H27)</f>
        <v/>
      </c>
      <c r="K27" s="53">
        <f>IF(OR(N($F27)&lt;=0,N($J27)&lt;=0,N($D$4)&lt;=0),"",($J27*$D$4)/$F27-1)</f>
        <v/>
      </c>
      <c r="L27" s="172" t="n">
        <v>0.8857</v>
      </c>
      <c r="M27" s="2" t="inlineStr">
        <is>
          <t>Aug 2025 H listing (SiC substrates)</t>
        </is>
      </c>
    </row>
    <row r="28">
      <c r="A28" s="170" t="inlineStr">
        <is>
          <t>0638</t>
        </is>
      </c>
      <c r="B28" s="17" t="inlineStr">
        <is>
          <t>FIBOCOM</t>
        </is>
      </c>
      <c r="C28" s="17" t="inlineStr">
        <is>
          <t>Smart hardware / consumer electronics</t>
        </is>
      </c>
      <c r="D28" s="50">
        <f>IFERROR(BDP("638 HK Equity","PX_LAST"),"")</f>
        <v/>
      </c>
      <c r="E28" s="171" t="n"/>
      <c r="F28" s="50">
        <f>IF($E28&lt;&gt;"",$E28,$D28)</f>
        <v/>
      </c>
      <c r="G28" s="17" t="inlineStr">
        <is>
          <t>300638.SZ</t>
        </is>
      </c>
      <c r="H28" s="50">
        <f>IFERROR(BDP("300638 CH Equity","PX_LAST"),"")</f>
        <v/>
      </c>
      <c r="I28" s="171" t="n"/>
      <c r="J28" s="50">
        <f>IF($I28&lt;&gt;"",$I28,$H28)</f>
        <v/>
      </c>
      <c r="K28" s="53">
        <f>IF(OR(N($F28)&lt;=0,N($J28)&lt;=0,N($D$4)&lt;=0),"",($J28*$D$4)/$F28-1)</f>
        <v/>
      </c>
      <c r="L28" s="172" t="n">
        <v>1.9438</v>
      </c>
      <c r="M28" s="2" t="inlineStr">
        <is>
          <t>Oct 2025 H listing (IoT wireless modules)</t>
        </is>
      </c>
    </row>
    <row r="29">
      <c r="A29" s="170" t="inlineStr">
        <is>
          <t>6031</t>
        </is>
      </c>
      <c r="B29" s="17" t="inlineStr">
        <is>
          <t>SANY HEAVY IND</t>
        </is>
      </c>
      <c r="C29" s="17" t="inlineStr">
        <is>
          <t>Capital goods / machinery</t>
        </is>
      </c>
      <c r="D29" s="50">
        <f>IFERROR(BDP("6031 HK Equity","PX_LAST"),"")</f>
        <v/>
      </c>
      <c r="E29" s="171" t="n"/>
      <c r="F29" s="50">
        <f>IF($E29&lt;&gt;"",$E29,$D29)</f>
        <v/>
      </c>
      <c r="G29" s="17" t="inlineStr">
        <is>
          <t>600031.SS</t>
        </is>
      </c>
      <c r="H29" s="50">
        <f>IFERROR(BDP("600031 CH Equity","PX_LAST"),"")</f>
        <v/>
      </c>
      <c r="I29" s="171" t="n"/>
      <c r="J29" s="50">
        <f>IF($I29&lt;&gt;"",$I29,$H29)</f>
        <v/>
      </c>
      <c r="K29" s="53">
        <f>IF(OR(N($F29)&lt;=0,N($J29)&lt;=0,N($D$4)&lt;=0),"",($J29*$D$4)/$F29-1)</f>
        <v/>
      </c>
      <c r="L29" s="172" t="n">
        <v>0.1685</v>
      </c>
      <c r="M29" s="2" t="inlineStr">
        <is>
          <t>Oct 2025, ~US$1.72bn</t>
        </is>
      </c>
    </row>
    <row r="30">
      <c r="A30" s="170" t="inlineStr">
        <is>
          <t>6166</t>
        </is>
      </c>
      <c r="B30" s="17" t="inlineStr">
        <is>
          <t>CIG</t>
        </is>
      </c>
      <c r="C30" s="17" t="inlineStr">
        <is>
          <t>Smart hardware / consumer electronics</t>
        </is>
      </c>
      <c r="D30" s="50">
        <f>IFERROR(BDP("6166 HK Equity","PX_LAST"),"")</f>
        <v/>
      </c>
      <c r="E30" s="171" t="n"/>
      <c r="F30" s="50">
        <f>IF($E30&lt;&gt;"",$E30,$D30)</f>
        <v/>
      </c>
      <c r="G30" s="17" t="inlineStr">
        <is>
          <t>603083.SS</t>
        </is>
      </c>
      <c r="H30" s="50">
        <f>IFERROR(BDP("603083 CH Equity","PX_LAST"),"")</f>
        <v/>
      </c>
      <c r="I30" s="171" t="n"/>
      <c r="J30" s="50">
        <f>IF($I30&lt;&gt;"",$I30,$H30)</f>
        <v/>
      </c>
      <c r="K30" s="53">
        <f>IF(OR(N($F30)&lt;=0,N($J30)&lt;=0,N($D$4)&lt;=0),"",($J30*$D$4)/$F30-1)</f>
        <v/>
      </c>
      <c r="L30" s="172" t="n">
        <v>1.3267</v>
      </c>
      <c r="M30" s="2" t="inlineStr">
        <is>
          <t>Oct 2025 H listing (telecom/AI networking hardware)</t>
        </is>
      </c>
    </row>
    <row r="31">
      <c r="A31" s="170" t="inlineStr">
        <is>
          <t>9927</t>
        </is>
      </c>
      <c r="B31" s="17" t="inlineStr">
        <is>
          <t>SERES</t>
        </is>
      </c>
      <c r="C31" s="17" t="inlineStr">
        <is>
          <t>Autos (NEV OEM)</t>
        </is>
      </c>
      <c r="D31" s="50">
        <f>IFERROR(BDP("9927 HK Equity","PX_LAST"),"")</f>
        <v/>
      </c>
      <c r="E31" s="171" t="n"/>
      <c r="F31" s="50">
        <f>IF($E31&lt;&gt;"",$E31,$D31)</f>
        <v/>
      </c>
      <c r="G31" s="17" t="inlineStr">
        <is>
          <t>601127.SS</t>
        </is>
      </c>
      <c r="H31" s="50">
        <f>IFERROR(BDP("601127 CH Equity","PX_LAST"),"")</f>
        <v/>
      </c>
      <c r="I31" s="171" t="n"/>
      <c r="J31" s="50">
        <f>IF($I31&lt;&gt;"",$I31,$H31)</f>
        <v/>
      </c>
      <c r="K31" s="53">
        <f>IF(OR(N($F31)&lt;=0,N($J31)&lt;=0,N($D$4)&lt;=0),"",($J31*$D$4)/$F31-1)</f>
        <v/>
      </c>
      <c r="L31" s="172" t="n">
        <v>0.5161</v>
      </c>
      <c r="M31" s="2" t="inlineStr">
        <is>
          <t>Nov 2025, HK$14.28bn (~US$1.8bn); 3rd-largest HK IPO of 2025; flat debut</t>
        </is>
      </c>
    </row>
    <row r="32">
      <c r="A32" s="170" t="inlineStr">
        <is>
          <t>0699</t>
        </is>
      </c>
      <c r="B32" s="17" t="inlineStr">
        <is>
          <t>JOYSON ELEC</t>
        </is>
      </c>
      <c r="C32" s="17" t="inlineStr">
        <is>
          <t>Auto parts / supply chain</t>
        </is>
      </c>
      <c r="D32" s="50">
        <f>IFERROR(BDP("699 HK Equity","PX_LAST"),"")</f>
        <v/>
      </c>
      <c r="E32" s="171" t="n"/>
      <c r="F32" s="50">
        <f>IF($E32&lt;&gt;"",$E32,$D32)</f>
        <v/>
      </c>
      <c r="G32" s="17" t="inlineStr">
        <is>
          <t>600699.SS</t>
        </is>
      </c>
      <c r="H32" s="50">
        <f>IFERROR(BDP("600699 CH Equity","PX_LAST"),"")</f>
        <v/>
      </c>
      <c r="I32" s="171" t="n"/>
      <c r="J32" s="50">
        <f>IF($I32&lt;&gt;"",$I32,$H32)</f>
        <v/>
      </c>
      <c r="K32" s="53">
        <f>IF(OR(N($F32)&lt;=0,N($J32)&lt;=0,N($D$4)&lt;=0),"",($J32*$D$4)/$F32-1)</f>
        <v/>
      </c>
      <c r="L32" s="172" t="n">
        <v>0.9033</v>
      </c>
      <c r="M32" s="2" t="inlineStr">
        <is>
          <t>Nov 2025 H listing (auto electronics/safety)</t>
        </is>
      </c>
    </row>
    <row r="33">
      <c r="A33" s="170" t="inlineStr">
        <is>
          <t>2579</t>
        </is>
      </c>
      <c r="B33" s="17" t="inlineStr">
        <is>
          <t>CNGR</t>
        </is>
      </c>
      <c r="C33" s="17" t="inlineStr">
        <is>
          <t>Batteries / energy storage</t>
        </is>
      </c>
      <c r="D33" s="50">
        <f>IFERROR(BDP("2579 HK Equity","PX_LAST"),"")</f>
        <v/>
      </c>
      <c r="E33" s="171" t="n"/>
      <c r="F33" s="50">
        <f>IF($E33&lt;&gt;"",$E33,$D33)</f>
        <v/>
      </c>
      <c r="G33" s="17" t="inlineStr">
        <is>
          <t>300919.SZ</t>
        </is>
      </c>
      <c r="H33" s="50">
        <f>IFERROR(BDP("300919 CH Equity","PX_LAST"),"")</f>
        <v/>
      </c>
      <c r="I33" s="171" t="n"/>
      <c r="J33" s="50">
        <f>IF($I33&lt;&gt;"",$I33,$H33)</f>
        <v/>
      </c>
      <c r="K33" s="53">
        <f>IF(OR(N($F33)&lt;=0,N($J33)&lt;=0,N($D$4)&lt;=0),"",($J33*$D$4)/$F33-1)</f>
        <v/>
      </c>
      <c r="L33" s="172" t="n">
        <v>0.9421</v>
      </c>
      <c r="M33" s="2" t="inlineStr">
        <is>
          <t>Nov 2025 H listing (battery precursor materials)</t>
        </is>
      </c>
    </row>
    <row r="34">
      <c r="A34" s="170" t="inlineStr">
        <is>
          <t>2676</t>
        </is>
      </c>
      <c r="B34" s="17" t="inlineStr">
        <is>
          <t>NOVOSENSE</t>
        </is>
      </c>
      <c r="C34" s="17" t="inlineStr">
        <is>
          <t>AI chips &amp; semis</t>
        </is>
      </c>
      <c r="D34" s="50">
        <f>IFERROR(BDP("2676 HK Equity","PX_LAST"),"")</f>
        <v/>
      </c>
      <c r="E34" s="171" t="n"/>
      <c r="F34" s="50">
        <f>IF($E34&lt;&gt;"",$E34,$D34)</f>
        <v/>
      </c>
      <c r="G34" s="17" t="inlineStr">
        <is>
          <t>688052.SS</t>
        </is>
      </c>
      <c r="H34" s="50">
        <f>IFERROR(BDP("688052 CH Equity","PX_LAST"),"")</f>
        <v/>
      </c>
      <c r="I34" s="171" t="n"/>
      <c r="J34" s="50">
        <f>IF($I34&lt;&gt;"",$I34,$H34)</f>
        <v/>
      </c>
      <c r="K34" s="53">
        <f>IF(OR(N($F34)&lt;=0,N($J34)&lt;=0,N($D$4)&lt;=0),"",($J34*$D$4)/$F34-1)</f>
        <v/>
      </c>
      <c r="L34" s="172" t="n">
        <v>0.6892</v>
      </c>
      <c r="M34" s="2" t="inlineStr">
        <is>
          <t>Dec 2025 H listing (analog/mixed-signal chips)</t>
        </is>
      </c>
    </row>
    <row r="35">
      <c r="A35" s="170" t="inlineStr">
        <is>
          <t>2691</t>
        </is>
      </c>
      <c r="B35" s="17" t="inlineStr">
        <is>
          <t>NANHUA FUTURES</t>
        </is>
      </c>
      <c r="C35" s="17" t="inlineStr">
        <is>
          <t>Brokers / asset management</t>
        </is>
      </c>
      <c r="D35" s="50">
        <f>IFERROR(BDP("2691 HK Equity","PX_LAST"),"")</f>
        <v/>
      </c>
      <c r="E35" s="171" t="n"/>
      <c r="F35" s="50">
        <f>IF($E35&lt;&gt;"",$E35,$D35)</f>
        <v/>
      </c>
      <c r="G35" s="17" t="inlineStr">
        <is>
          <t>603093.SS</t>
        </is>
      </c>
      <c r="H35" s="50">
        <f>IFERROR(BDP("603093 CH Equity","PX_LAST"),"")</f>
        <v/>
      </c>
      <c r="I35" s="171" t="n"/>
      <c r="J35" s="50">
        <f>IF($I35&lt;&gt;"",$I35,$H35)</f>
        <v/>
      </c>
      <c r="K35" s="53">
        <f>IF(OR(N($F35)&lt;=0,N($J35)&lt;=0,N($D$4)&lt;=0),"",($J35*$D$4)/$F35-1)</f>
        <v/>
      </c>
      <c r="L35" s="172" t="n">
        <v>1.1213</v>
      </c>
      <c r="M35" s="2" t="inlineStr">
        <is>
          <t>Dec 2025 H listing (futures broker)</t>
        </is>
      </c>
    </row>
    <row r="36">
      <c r="A36" s="170" t="inlineStr">
        <is>
          <t>0501</t>
        </is>
      </c>
      <c r="B36" s="17" t="inlineStr">
        <is>
          <t>OMNIVISION</t>
        </is>
      </c>
      <c r="C36" s="17" t="inlineStr">
        <is>
          <t>AI chips &amp; semis</t>
        </is>
      </c>
      <c r="D36" s="50">
        <f>IFERROR(BDP("501 HK Equity","PX_LAST"),"")</f>
        <v/>
      </c>
      <c r="E36" s="171" t="n"/>
      <c r="F36" s="50">
        <f>IF($E36&lt;&gt;"",$E36,$D36)</f>
        <v/>
      </c>
      <c r="G36" s="17" t="inlineStr">
        <is>
          <t>603501.SS</t>
        </is>
      </c>
      <c r="H36" s="50">
        <f>IFERROR(BDP("603501 CH Equity","PX_LAST"),"")</f>
        <v/>
      </c>
      <c r="I36" s="171" t="n"/>
      <c r="J36" s="50">
        <f>IF($I36&lt;&gt;"",$I36,$H36)</f>
        <v/>
      </c>
      <c r="K36" s="53">
        <f>IF(OR(N($F36)&lt;=0,N($J36)&lt;=0,N($D$4)&lt;=0),"",($J36*$D$4)/$F36-1)</f>
        <v/>
      </c>
      <c r="L36" s="172" t="n">
        <v>0.3326</v>
      </c>
      <c r="M36" s="2" t="inlineStr">
        <is>
          <t>Jan 2026, US$616m offering; rose on debut</t>
        </is>
      </c>
    </row>
    <row r="37">
      <c r="A37" s="170" t="inlineStr">
        <is>
          <t>3986</t>
        </is>
      </c>
      <c r="B37" s="17" t="inlineStr">
        <is>
          <t>GIGADEVICE</t>
        </is>
      </c>
      <c r="C37" s="17" t="inlineStr">
        <is>
          <t>AI chips &amp; semis</t>
        </is>
      </c>
      <c r="D37" s="50">
        <f>IFERROR(BDP("3986 HK Equity","PX_LAST"),"")</f>
        <v/>
      </c>
      <c r="E37" s="171" t="n"/>
      <c r="F37" s="50">
        <f>IF($E37&lt;&gt;"",$E37,$D37)</f>
        <v/>
      </c>
      <c r="G37" s="17" t="inlineStr">
        <is>
          <t>603986.SS</t>
        </is>
      </c>
      <c r="H37" s="50">
        <f>IFERROR(BDP("603986 CH Equity","PX_LAST"),"")</f>
        <v/>
      </c>
      <c r="I37" s="171" t="n"/>
      <c r="J37" s="50">
        <f>IF($I37&lt;&gt;"",$I37,$H37)</f>
        <v/>
      </c>
      <c r="K37" s="53">
        <f>IF(OR(N($F37)&lt;=0,N($J37)&lt;=0,N($D$4)&lt;=0),"",($J37*$D$4)/$F37-1)</f>
        <v/>
      </c>
      <c r="L37" s="172" t="n">
        <v>-0.0066</v>
      </c>
      <c r="M37" s="2" t="inlineStr">
        <is>
          <t>Jan 2026, ~US$600m at top of range; closed +37.5% on debut</t>
        </is>
      </c>
    </row>
    <row r="38">
      <c r="A38" s="170" t="inlineStr">
        <is>
          <t>9611</t>
        </is>
      </c>
      <c r="B38" s="17" t="inlineStr">
        <is>
          <t>LONGCHEER</t>
        </is>
      </c>
      <c r="C38" s="17" t="inlineStr">
        <is>
          <t>Smart hardware / consumer electronics</t>
        </is>
      </c>
      <c r="D38" s="50">
        <f>IFERROR(BDP("9611 HK Equity","PX_LAST"),"")</f>
        <v/>
      </c>
      <c r="E38" s="171" t="n"/>
      <c r="F38" s="50">
        <f>IF($E38&lt;&gt;"",$E38,$D38)</f>
        <v/>
      </c>
      <c r="G38" s="17" t="inlineStr">
        <is>
          <t>603341.SS</t>
        </is>
      </c>
      <c r="H38" s="50">
        <f>IFERROR(BDP("603341 CH Equity","PX_LAST"),"")</f>
        <v/>
      </c>
      <c r="I38" s="171" t="n"/>
      <c r="J38" s="50">
        <f>IF($I38&lt;&gt;"",$I38,$H38)</f>
        <v/>
      </c>
      <c r="K38" s="53">
        <f>IF(OR(N($F38)&lt;=0,N($J38)&lt;=0,N($D$4)&lt;=0),"",($J38*$D$4)/$F38-1)</f>
        <v/>
      </c>
      <c r="L38" s="172" t="n">
        <v>1.008</v>
      </c>
      <c r="M38" s="2" t="inlineStr">
        <is>
          <t>Jan 2026 H listing (smart-device ODM)</t>
        </is>
      </c>
    </row>
    <row r="39">
      <c r="A39" s="170" t="inlineStr">
        <is>
          <t>9980</t>
        </is>
      </c>
      <c r="B39" s="17" t="inlineStr">
        <is>
          <t>EASTROC</t>
        </is>
      </c>
      <c r="C39" s="17" t="inlineStr">
        <is>
          <t>Beverages / packaged food</t>
        </is>
      </c>
      <c r="D39" s="50">
        <f>IFERROR(BDP("9980 HK Equity","PX_LAST"),"")</f>
        <v/>
      </c>
      <c r="E39" s="171" t="n"/>
      <c r="F39" s="50">
        <f>IF($E39&lt;&gt;"",$E39,$D39)</f>
        <v/>
      </c>
      <c r="G39" s="17" t="inlineStr">
        <is>
          <t>605499.SS</t>
        </is>
      </c>
      <c r="H39" s="50">
        <f>IFERROR(BDP("605499 CH Equity","PX_LAST"),"")</f>
        <v/>
      </c>
      <c r="I39" s="171" t="n"/>
      <c r="J39" s="50">
        <f>IF($I39&lt;&gt;"",$I39,$H39)</f>
        <v/>
      </c>
      <c r="K39" s="53">
        <f>IF(OR(N($F39)&lt;=0,N($J39)&lt;=0,N($D$4)&lt;=0),"",($J39*$D$4)/$F39-1)</f>
        <v/>
      </c>
      <c r="L39" s="172" t="n">
        <v>0.3168</v>
      </c>
      <c r="M39" s="2" t="inlineStr">
        <is>
          <t>Feb 2026, ~HK$10.1bn at HK$248/sh; largest HK IPO of early 2026</t>
        </is>
      </c>
    </row>
    <row r="40">
      <c r="A40" s="170" t="inlineStr">
        <is>
          <t>2768</t>
        </is>
      </c>
      <c r="B40" s="17" t="inlineStr">
        <is>
          <t>GON TECHNOLOGY</t>
        </is>
      </c>
      <c r="C40" s="17" t="inlineStr">
        <is>
          <t>Smart hardware / consumer electronics</t>
        </is>
      </c>
      <c r="D40" s="50">
        <f>IFERROR(BDP("2768 HK Equity","PX_LAST"),"")</f>
        <v/>
      </c>
      <c r="E40" s="171" t="n"/>
      <c r="F40" s="50">
        <f>IF($E40&lt;&gt;"",$E40,$D40)</f>
        <v/>
      </c>
      <c r="G40" s="17" t="inlineStr">
        <is>
          <t>002768.SZ</t>
        </is>
      </c>
      <c r="H40" s="50">
        <f>IFERROR(BDP("002768 CH Equity","PX_LAST"),"")</f>
        <v/>
      </c>
      <c r="I40" s="171" t="n"/>
      <c r="J40" s="50">
        <f>IF($I40&lt;&gt;"",$I40,$H40)</f>
        <v/>
      </c>
      <c r="K40" s="53">
        <f>IF(OR(N($F40)&lt;=0,N($J40)&lt;=0,N($D$4)&lt;=0),"",($J40*$D$4)/$F40-1)</f>
        <v/>
      </c>
      <c r="L40" s="172" t="n">
        <v>0.9516</v>
      </c>
      <c r="M40" s="2" t="inlineStr">
        <is>
          <t>Feb 2026 H listing (polymer materials)</t>
        </is>
      </c>
    </row>
    <row r="41">
      <c r="A41" s="170" t="inlineStr">
        <is>
          <t>3200</t>
        </is>
      </c>
      <c r="B41" s="17" t="inlineStr">
        <is>
          <t>HANS CNC</t>
        </is>
      </c>
      <c r="C41" s="17" t="inlineStr">
        <is>
          <t>Capital goods / machinery</t>
        </is>
      </c>
      <c r="D41" s="50">
        <f>IFERROR(BDP("3200 HK Equity","PX_LAST"),"")</f>
        <v/>
      </c>
      <c r="E41" s="171" t="n"/>
      <c r="F41" s="50">
        <f>IF($E41&lt;&gt;"",$E41,$D41)</f>
        <v/>
      </c>
      <c r="G41" s="17" t="inlineStr">
        <is>
          <t>301200.SZ</t>
        </is>
      </c>
      <c r="H41" s="50">
        <f>IFERROR(BDP("301200 CH Equity","PX_LAST"),"")</f>
        <v/>
      </c>
      <c r="I41" s="171" t="n"/>
      <c r="J41" s="50">
        <f>IF($I41&lt;&gt;"",$I41,$H41)</f>
        <v/>
      </c>
      <c r="K41" s="53">
        <f>IF(OR(N($F41)&lt;=0,N($J41)&lt;=0,N($D$4)&lt;=0),"",($J41*$D$4)/$F41-1)</f>
        <v/>
      </c>
      <c r="L41" s="172" t="n">
        <v>2.0139</v>
      </c>
      <c r="M41" s="2" t="inlineStr">
        <is>
          <t>Feb 2026 H listing (PCB drilling equipment)</t>
        </is>
      </c>
    </row>
    <row r="42">
      <c r="A42" s="170" t="inlineStr">
        <is>
          <t>2714</t>
        </is>
      </c>
      <c r="B42" s="17" t="inlineStr">
        <is>
          <t>MUYUAN</t>
        </is>
      </c>
      <c r="C42" s="17" t="inlineStr">
        <is>
          <t>Beverages / packaged food</t>
        </is>
      </c>
      <c r="D42" s="50">
        <f>IFERROR(BDP("2714 HK Equity","PX_LAST"),"")</f>
        <v/>
      </c>
      <c r="E42" s="171" t="n"/>
      <c r="F42" s="50">
        <f>IF($E42&lt;&gt;"",$E42,$D42)</f>
        <v/>
      </c>
      <c r="G42" s="17" t="inlineStr">
        <is>
          <t>002714.SZ</t>
        </is>
      </c>
      <c r="H42" s="50">
        <f>IFERROR(BDP("002714 CH Equity","PX_LAST"),"")</f>
        <v/>
      </c>
      <c r="I42" s="171" t="n"/>
      <c r="J42" s="50">
        <f>IF($I42&lt;&gt;"",$I42,$H42)</f>
        <v/>
      </c>
      <c r="K42" s="53">
        <f>IF(OR(N($F42)&lt;=0,N($J42)&lt;=0,N($D$4)&lt;=0),"",($J42*$D$4)/$F42-1)</f>
        <v/>
      </c>
      <c r="L42" s="172" t="n">
        <v>0.3034</v>
      </c>
      <c r="M42" s="2" t="inlineStr">
        <is>
          <t>Feb 2026, net proceeds up to HK$12.0bn w/ greenshoe; subdued debut</t>
        </is>
      </c>
    </row>
    <row r="43">
      <c r="A43" s="170" t="inlineStr">
        <is>
          <t>6809</t>
        </is>
      </c>
      <c r="B43" s="17" t="inlineStr">
        <is>
          <t>MONTAGE TECH</t>
        </is>
      </c>
      <c r="C43" s="17" t="inlineStr">
        <is>
          <t>AI chips &amp; semis</t>
        </is>
      </c>
      <c r="D43" s="50">
        <f>IFERROR(BDP("6809 HK Equity","PX_LAST"),"")</f>
        <v/>
      </c>
      <c r="E43" s="171" t="n"/>
      <c r="F43" s="50">
        <f>IF($E43&lt;&gt;"",$E43,$D43)</f>
        <v/>
      </c>
      <c r="G43" s="17" t="inlineStr">
        <is>
          <t>688008.SS</t>
        </is>
      </c>
      <c r="H43" s="50">
        <f>IFERROR(BDP("688008 CH Equity","PX_LAST"),"")</f>
        <v/>
      </c>
      <c r="I43" s="171" t="n"/>
      <c r="J43" s="50">
        <f>IF($I43&lt;&gt;"",$I43,$H43)</f>
        <v/>
      </c>
      <c r="K43" s="53">
        <f>IF(OR(N($F43)&lt;=0,N($J43)&lt;=0,N($D$4)&lt;=0),"",($J43*$D$4)/$F43-1)</f>
        <v/>
      </c>
      <c r="L43" s="172" t="n">
        <v>-0.1116</v>
      </c>
      <c r="M43" s="2" t="inlineStr">
        <is>
          <t>Feb 2026 H listing (memory interface chips)</t>
        </is>
      </c>
    </row>
    <row r="44">
      <c r="A44" s="170" t="inlineStr">
        <is>
          <t>0470</t>
        </is>
      </c>
      <c r="B44" s="17" t="inlineStr">
        <is>
          <t>WUXI LEAD</t>
        </is>
      </c>
      <c r="C44" s="17" t="inlineStr">
        <is>
          <t>Capital goods / machinery</t>
        </is>
      </c>
      <c r="D44" s="50">
        <f>IFERROR(BDP("470 HK Equity","PX_LAST"),"")</f>
        <v/>
      </c>
      <c r="E44" s="171" t="n"/>
      <c r="F44" s="50">
        <f>IF($E44&lt;&gt;"",$E44,$D44)</f>
        <v/>
      </c>
      <c r="G44" s="17" t="inlineStr">
        <is>
          <t>300450.SZ</t>
        </is>
      </c>
      <c r="H44" s="50">
        <f>IFERROR(BDP("300450 CH Equity","PX_LAST"),"")</f>
        <v/>
      </c>
      <c r="I44" s="171" t="n"/>
      <c r="J44" s="50">
        <f>IF($I44&lt;&gt;"",$I44,$H44)</f>
        <v/>
      </c>
      <c r="K44" s="53">
        <f>IF(OR(N($F44)&lt;=0,N($J44)&lt;=0,N($D$4)&lt;=0),"",($J44*$D$4)/$F44-1)</f>
        <v/>
      </c>
      <c r="L44" s="172" t="n">
        <v>0.2967</v>
      </c>
      <c r="M44" s="2" t="inlineStr">
        <is>
          <t>Feb 2026 H listing (battery-making equipment)</t>
        </is>
      </c>
    </row>
    <row r="45">
      <c r="A45" s="170" t="inlineStr">
        <is>
          <t>9981</t>
        </is>
      </c>
      <c r="B45" s="17" t="inlineStr">
        <is>
          <t>WOER</t>
        </is>
      </c>
      <c r="C45" s="17" t="inlineStr">
        <is>
          <t>Chemicals</t>
        </is>
      </c>
      <c r="D45" s="50">
        <f>IFERROR(BDP("9981 HK Equity","PX_LAST"),"")</f>
        <v/>
      </c>
      <c r="E45" s="171" t="n"/>
      <c r="F45" s="50">
        <f>IF($E45&lt;&gt;"",$E45,$D45)</f>
        <v/>
      </c>
      <c r="G45" s="17" t="inlineStr">
        <is>
          <t>002130.SZ</t>
        </is>
      </c>
      <c r="H45" s="50">
        <f>IFERROR(BDP("002130 CH Equity","PX_LAST"),"")</f>
        <v/>
      </c>
      <c r="I45" s="171" t="n"/>
      <c r="J45" s="50">
        <f>IF($I45&lt;&gt;"",$I45,$H45)</f>
        <v/>
      </c>
      <c r="K45" s="53">
        <f>IF(OR(N($F45)&lt;=0,N($J45)&lt;=0,N($D$4)&lt;=0),"",($J45*$D$4)/$F45-1)</f>
        <v/>
      </c>
      <c r="L45" s="172" t="n">
        <v>1.1636</v>
      </c>
      <c r="M45" s="2" t="inlineStr">
        <is>
          <t>Feb 2026 H listing</t>
        </is>
      </c>
    </row>
    <row r="46">
      <c r="A46" s="170" t="inlineStr">
        <is>
          <t>2715</t>
        </is>
      </c>
      <c r="B46" s="17" t="inlineStr">
        <is>
          <t>ESTUN</t>
        </is>
      </c>
      <c r="C46" s="17" t="inlineStr">
        <is>
          <t>Robotics &amp; autonomous driving</t>
        </is>
      </c>
      <c r="D46" s="50">
        <f>IFERROR(BDP("2715 HK Equity","PX_LAST"),"")</f>
        <v/>
      </c>
      <c r="E46" s="171" t="n"/>
      <c r="F46" s="50">
        <f>IF($E46&lt;&gt;"",$E46,$D46)</f>
        <v/>
      </c>
      <c r="G46" s="17" t="inlineStr">
        <is>
          <t>002747.SZ</t>
        </is>
      </c>
      <c r="H46" s="50">
        <f>IFERROR(BDP("002747 CH Equity","PX_LAST"),"")</f>
        <v/>
      </c>
      <c r="I46" s="171" t="n"/>
      <c r="J46" s="50">
        <f>IF($I46&lt;&gt;"",$I46,$H46)</f>
        <v/>
      </c>
      <c r="K46" s="53">
        <f>IF(OR(N($F46)&lt;=0,N($J46)&lt;=0,N($D$4)&lt;=0),"",($J46*$D$4)/$F46-1)</f>
        <v/>
      </c>
      <c r="L46" s="172" t="n">
        <v>1.348</v>
      </c>
      <c r="M46" s="2" t="inlineStr">
        <is>
          <t>Mar 2026 H listing (industrial robots)</t>
        </is>
      </c>
    </row>
    <row r="47">
      <c r="A47" s="170" t="inlineStr">
        <is>
          <t>2692</t>
        </is>
      </c>
      <c r="B47" s="17" t="inlineStr">
        <is>
          <t>ZHAOWEI</t>
        </is>
      </c>
      <c r="C47" s="17" t="inlineStr">
        <is>
          <t>Capital goods / machinery</t>
        </is>
      </c>
      <c r="D47" s="50">
        <f>IFERROR(BDP("2692 HK Equity","PX_LAST"),"")</f>
        <v/>
      </c>
      <c r="E47" s="171" t="n"/>
      <c r="F47" s="50">
        <f>IF($E47&lt;&gt;"",$E47,$D47)</f>
        <v/>
      </c>
      <c r="G47" s="17" t="inlineStr">
        <is>
          <t>003021.SZ</t>
        </is>
      </c>
      <c r="H47" s="50">
        <f>IFERROR(BDP("003021 CH Equity","PX_LAST"),"")</f>
        <v/>
      </c>
      <c r="I47" s="171" t="n"/>
      <c r="J47" s="50">
        <f>IF($I47&lt;&gt;"",$I47,$H47)</f>
        <v/>
      </c>
      <c r="K47" s="53">
        <f>IF(OR(N($F47)&lt;=0,N($J47)&lt;=0,N($D$4)&lt;=0),"",($J47*$D$4)/$F47-1)</f>
        <v/>
      </c>
      <c r="L47" s="172" t="n">
        <v>1.1263</v>
      </c>
      <c r="M47" s="2" t="inlineStr">
        <is>
          <t>Mar 2026 H listing (micro drive systems/dexterous hands)</t>
        </is>
      </c>
    </row>
    <row r="48">
      <c r="A48" s="170" t="inlineStr">
        <is>
          <t>3268</t>
        </is>
      </c>
      <c r="B48" s="17" t="inlineStr">
        <is>
          <t>MEIG</t>
        </is>
      </c>
      <c r="C48" s="17" t="inlineStr">
        <is>
          <t>Smart hardware / consumer electronics</t>
        </is>
      </c>
      <c r="D48" s="50">
        <f>IFERROR(BDP("3268 HK Equity","PX_LAST"),"")</f>
        <v/>
      </c>
      <c r="E48" s="171" t="n"/>
      <c r="F48" s="50">
        <f>IF($E48&lt;&gt;"",$E48,$D48)</f>
        <v/>
      </c>
      <c r="G48" s="17" t="inlineStr">
        <is>
          <t>002881.SZ</t>
        </is>
      </c>
      <c r="H48" s="50">
        <f>IFERROR(BDP("002881 CH Equity","PX_LAST"),"")</f>
        <v/>
      </c>
      <c r="I48" s="171" t="n"/>
      <c r="J48" s="50">
        <f>IF($I48&lt;&gt;"",$I48,$H48)</f>
        <v/>
      </c>
      <c r="K48" s="53">
        <f>IF(OR(N($F48)&lt;=0,N($J48)&lt;=0,N($D$4)&lt;=0),"",($J48*$D$4)/$F48-1)</f>
        <v/>
      </c>
      <c r="L48" s="172" t="n">
        <v>1.5038</v>
      </c>
      <c r="M48" s="2" t="inlineStr">
        <is>
          <t>Mar 2026 H listing (IoT modules)</t>
        </is>
      </c>
    </row>
    <row r="49">
      <c r="A49" s="170" t="inlineStr">
        <is>
          <t>1989</t>
        </is>
      </c>
      <c r="B49" s="17" t="inlineStr">
        <is>
          <t>DELTON</t>
        </is>
      </c>
      <c r="C49" s="17" t="inlineStr">
        <is>
          <t>Smart hardware / consumer electronics</t>
        </is>
      </c>
      <c r="D49" s="50">
        <f>IFERROR(BDP("1989 HK Equity","PX_LAST"),"")</f>
        <v/>
      </c>
      <c r="E49" s="171" t="n"/>
      <c r="F49" s="50">
        <f>IF($E49&lt;&gt;"",$E49,$D49)</f>
        <v/>
      </c>
      <c r="G49" s="17" t="inlineStr">
        <is>
          <t>001389.SZ</t>
        </is>
      </c>
      <c r="H49" s="50">
        <f>IFERROR(BDP("001389 CH Equity","PX_LAST"),"")</f>
        <v/>
      </c>
      <c r="I49" s="171" t="n"/>
      <c r="J49" s="50">
        <f>IF($I49&lt;&gt;"",$I49,$H49)</f>
        <v/>
      </c>
      <c r="K49" s="53">
        <f>IF(OR(N($F49)&lt;=0,N($J49)&lt;=0,N($D$4)&lt;=0),"",($J49*$D$4)/$F49-1)</f>
        <v/>
      </c>
      <c r="L49" s="172" t="n">
        <v>0.6886</v>
      </c>
      <c r="M49" s="2" t="inlineStr">
        <is>
          <t>Mar 2026 H listing (PCB)</t>
        </is>
      </c>
    </row>
    <row r="50">
      <c r="A50" s="170" t="inlineStr">
        <is>
          <t>2701</t>
        </is>
      </c>
      <c r="B50" s="17" t="inlineStr">
        <is>
          <t>NSING TECH</t>
        </is>
      </c>
      <c r="C50" s="17" t="inlineStr">
        <is>
          <t>AI chips &amp; semis</t>
        </is>
      </c>
      <c r="D50" s="50">
        <f>IFERROR(BDP("2701 HK Equity","PX_LAST"),"")</f>
        <v/>
      </c>
      <c r="E50" s="171" t="n"/>
      <c r="F50" s="50">
        <f>IF($E50&lt;&gt;"",$E50,$D50)</f>
        <v/>
      </c>
      <c r="G50" s="17" t="inlineStr">
        <is>
          <t>300077.SZ</t>
        </is>
      </c>
      <c r="H50" s="50">
        <f>IFERROR(BDP("300077 CH Equity","PX_LAST"),"")</f>
        <v/>
      </c>
      <c r="I50" s="171" t="n"/>
      <c r="J50" s="50">
        <f>IF($I50&lt;&gt;"",$I50,$H50)</f>
        <v/>
      </c>
      <c r="K50" s="53">
        <f>IF(OR(N($F50)&lt;=0,N($J50)&lt;=0,N($D$4)&lt;=0),"",($J50*$D$4)/$F50-1)</f>
        <v/>
      </c>
      <c r="L50" s="172" t="n">
        <v>1.8711</v>
      </c>
      <c r="M50" s="2" t="inlineStr">
        <is>
          <t>Mar 2026 H listing (security/MCU chips)</t>
        </is>
      </c>
    </row>
    <row r="51">
      <c r="A51" s="170" t="inlineStr">
        <is>
          <t>2476</t>
        </is>
      </c>
      <c r="B51" s="17" t="inlineStr">
        <is>
          <t>VGT</t>
        </is>
      </c>
      <c r="C51" s="17" t="inlineStr">
        <is>
          <t>Smart hardware / consumer electronics</t>
        </is>
      </c>
      <c r="D51" s="50">
        <f>IFERROR(BDP("2476 HK Equity","PX_LAST"),"")</f>
        <v/>
      </c>
      <c r="E51" s="171" t="n"/>
      <c r="F51" s="50">
        <f>IF($E51&lt;&gt;"",$E51,$D51)</f>
        <v/>
      </c>
      <c r="G51" s="17" t="inlineStr">
        <is>
          <t>300476.SZ</t>
        </is>
      </c>
      <c r="H51" s="50">
        <f>IFERROR(BDP("300476 CH Equity","PX_LAST"),"")</f>
        <v/>
      </c>
      <c r="I51" s="171" t="n"/>
      <c r="J51" s="50">
        <f>IF($I51&lt;&gt;"",$I51,$H51)</f>
        <v/>
      </c>
      <c r="K51" s="53">
        <f>IF(OR(N($F51)&lt;=0,N($J51)&lt;=0,N($D$4)&lt;=0),"",($J51*$D$4)/$F51-1)</f>
        <v/>
      </c>
      <c r="L51" s="172" t="n">
        <v>0.3736</v>
      </c>
      <c r="M51" s="2" t="inlineStr">
        <is>
          <t>Apr 2026, HK$20.1bn (~US$2.57bn); +60% debut; Nvidia AI-PCB supplier</t>
        </is>
      </c>
    </row>
    <row r="52">
      <c r="A52" s="170" t="inlineStr">
        <is>
          <t>3296</t>
        </is>
      </c>
      <c r="B52" s="17" t="inlineStr">
        <is>
          <t>HUAQIN</t>
        </is>
      </c>
      <c r="C52" s="17" t="inlineStr">
        <is>
          <t>Smart hardware / consumer electronics</t>
        </is>
      </c>
      <c r="D52" s="50">
        <f>IFERROR(BDP("3296 HK Equity","PX_LAST"),"")</f>
        <v/>
      </c>
      <c r="E52" s="171" t="n"/>
      <c r="F52" s="50">
        <f>IF($E52&lt;&gt;"",$E52,$D52)</f>
        <v/>
      </c>
      <c r="G52" s="17" t="inlineStr">
        <is>
          <t>603296.SS</t>
        </is>
      </c>
      <c r="H52" s="50">
        <f>IFERROR(BDP("603296 CH Equity","PX_LAST"),"")</f>
        <v/>
      </c>
      <c r="I52" s="171" t="n"/>
      <c r="J52" s="50">
        <f>IF($I52&lt;&gt;"",$I52,$H52)</f>
        <v/>
      </c>
      <c r="K52" s="53">
        <f>IF(OR(N($F52)&lt;=0,N($J52)&lt;=0,N($D$4)&lt;=0),"",($J52*$D$4)/$F52-1)</f>
        <v/>
      </c>
      <c r="L52" s="172" t="n">
        <v>0.316</v>
      </c>
      <c r="M52" s="2" t="inlineStr">
        <is>
          <t>Apr 2026 H listing (smart-hardware ODM)</t>
        </is>
      </c>
    </row>
    <row r="53">
      <c r="A53" s="170" t="inlineStr">
        <is>
          <t>2493</t>
        </is>
      </c>
      <c r="B53" s="17" t="inlineStr">
        <is>
          <t>MABWELL-B</t>
        </is>
      </c>
      <c r="C53" s="17" t="inlineStr">
        <is>
          <t>Biotech pre-revenue (18A)</t>
        </is>
      </c>
      <c r="D53" s="50">
        <f>IFERROR(BDP("2493 HK Equity","PX_LAST"),"")</f>
        <v/>
      </c>
      <c r="E53" s="171" t="n"/>
      <c r="F53" s="50">
        <f>IF($E53&lt;&gt;"",$E53,$D53)</f>
        <v/>
      </c>
      <c r="G53" s="17" t="inlineStr">
        <is>
          <t>688062.SS</t>
        </is>
      </c>
      <c r="H53" s="50">
        <f>IFERROR(BDP("688062 CH Equity","PX_LAST"),"")</f>
        <v/>
      </c>
      <c r="I53" s="171" t="n"/>
      <c r="J53" s="50">
        <f>IF($I53&lt;&gt;"",$I53,$H53)</f>
        <v/>
      </c>
      <c r="K53" s="53">
        <f>IF(OR(N($F53)&lt;=0,N($J53)&lt;=0,N($D$4)&lt;=0),"",($J53*$D$4)/$F53-1)</f>
        <v/>
      </c>
      <c r="L53" s="172" t="n">
        <v>0.4622</v>
      </c>
      <c r="M53" s="2" t="inlineStr">
        <is>
          <t>Apr 2026 H listing (ADC biotech); A+H on STAR</t>
        </is>
      </c>
    </row>
    <row r="54">
      <c r="A54" s="170" t="inlineStr">
        <is>
          <t>1187</t>
        </is>
      </c>
      <c r="B54" s="17" t="inlineStr">
        <is>
          <t>COFOE MEDICAL</t>
        </is>
      </c>
      <c r="C54" s="17" t="inlineStr">
        <is>
          <t>Medical devices</t>
        </is>
      </c>
      <c r="D54" s="50">
        <f>IFERROR(BDP("1187 HK Equity","PX_LAST"),"")</f>
        <v/>
      </c>
      <c r="E54" s="171" t="n"/>
      <c r="F54" s="50">
        <f>IF($E54&lt;&gt;"",$E54,$D54)</f>
        <v/>
      </c>
      <c r="G54" s="17" t="inlineStr">
        <is>
          <t>301087.SZ</t>
        </is>
      </c>
      <c r="H54" s="50">
        <f>IFERROR(BDP("301087 CH Equity","PX_LAST"),"")</f>
        <v/>
      </c>
      <c r="I54" s="171" t="n"/>
      <c r="J54" s="50">
        <f>IF($I54&lt;&gt;"",$I54,$H54)</f>
        <v/>
      </c>
      <c r="K54" s="53">
        <f>IF(OR(N($F54)&lt;=0,N($J54)&lt;=0,N($D$4)&lt;=0),"",($J54*$D$4)/$F54-1)</f>
        <v/>
      </c>
      <c r="L54" s="172" t="n">
        <v>0.9478</v>
      </c>
      <c r="M54" s="2" t="inlineStr">
        <is>
          <t>May 2026 H listing (home medical devices)</t>
        </is>
      </c>
    </row>
    <row r="55">
      <c r="A55" s="170" t="inlineStr">
        <is>
          <t>1081</t>
        </is>
      </c>
      <c r="B55" s="17" t="inlineStr">
        <is>
          <t>DAJIN</t>
        </is>
      </c>
      <c r="C55" s="17" t="inlineStr">
        <is>
          <t>Solar / wind supply chain</t>
        </is>
      </c>
      <c r="D55" s="50">
        <f>IFERROR(BDP("1081 HK Equity","PX_LAST"),"")</f>
        <v/>
      </c>
      <c r="E55" s="171" t="n"/>
      <c r="F55" s="50">
        <f>IF($E55&lt;&gt;"",$E55,$D55)</f>
        <v/>
      </c>
      <c r="G55" s="17" t="inlineStr">
        <is>
          <t>002487.SZ</t>
        </is>
      </c>
      <c r="H55" s="50">
        <f>IFERROR(BDP("002487 CH Equity","PX_LAST"),"")</f>
        <v/>
      </c>
      <c r="I55" s="171" t="n"/>
      <c r="J55" s="50">
        <f>IF($I55&lt;&gt;"",$I55,$H55)</f>
        <v/>
      </c>
      <c r="K55" s="53">
        <f>IF(OR(N($F55)&lt;=0,N($J55)&lt;=0,N($D$4)&lt;=0),"",($J55*$D$4)/$F55-1)</f>
        <v/>
      </c>
      <c r="L55" s="172" t="n">
        <v>0.3761</v>
      </c>
      <c r="M55" s="2" t="inlineStr">
        <is>
          <t>Jun 2026 H listing (offshore wind towers/monopiles)</t>
        </is>
      </c>
    </row>
    <row r="56">
      <c r="A56" s="170" t="inlineStr">
        <is>
          <t>6067</t>
        </is>
      </c>
      <c r="B56" s="17" t="inlineStr">
        <is>
          <t>SENIOR MATERIAL</t>
        </is>
      </c>
      <c r="C56" s="17" t="inlineStr">
        <is>
          <t>Batteries / energy storage</t>
        </is>
      </c>
      <c r="D56" s="50">
        <f>IFERROR(BDP("6067 HK Equity","PX_LAST"),"")</f>
        <v/>
      </c>
      <c r="E56" s="171" t="n"/>
      <c r="F56" s="50">
        <f>IF($E56&lt;&gt;"",$E56,$D56)</f>
        <v/>
      </c>
      <c r="G56" s="17" t="inlineStr">
        <is>
          <t>300568.SZ</t>
        </is>
      </c>
      <c r="H56" s="50">
        <f>IFERROR(BDP("300568 CH Equity","PX_LAST"),"")</f>
        <v/>
      </c>
      <c r="I56" s="171" t="n"/>
      <c r="J56" s="50">
        <f>IF($I56&lt;&gt;"",$I56,$H56)</f>
        <v/>
      </c>
      <c r="K56" s="53">
        <f>IF(OR(N($F56)&lt;=0,N($J56)&lt;=0,N($D$4)&lt;=0),"",($J56*$D$4)/$F56-1)</f>
        <v/>
      </c>
      <c r="L56" s="172" t="n">
        <v>1.2889</v>
      </c>
      <c r="M56" s="2" t="inlineStr">
        <is>
          <t>Jun 2026 H listing (battery separators)</t>
        </is>
      </c>
    </row>
    <row r="57">
      <c r="A57" s="170" t="inlineStr">
        <is>
          <t>3661</t>
        </is>
      </c>
      <c r="B57" s="17" t="inlineStr">
        <is>
          <t>SG MICRO</t>
        </is>
      </c>
      <c r="C57" s="17" t="inlineStr">
        <is>
          <t>AI chips &amp; semis</t>
        </is>
      </c>
      <c r="D57" s="50">
        <f>IFERROR(BDP("3661 HK Equity","PX_LAST"),"")</f>
        <v/>
      </c>
      <c r="E57" s="171" t="n"/>
      <c r="F57" s="50">
        <f>IF($E57&lt;&gt;"",$E57,$D57)</f>
        <v/>
      </c>
      <c r="G57" s="17" t="inlineStr">
        <is>
          <t>300661.SZ</t>
        </is>
      </c>
      <c r="H57" s="50">
        <f>IFERROR(BDP("300661 CH Equity","PX_LAST"),"")</f>
        <v/>
      </c>
      <c r="I57" s="171" t="n"/>
      <c r="J57" s="50">
        <f>IF($I57&lt;&gt;"",$I57,$H57)</f>
        <v/>
      </c>
      <c r="K57" s="53">
        <f>IF(OR(N($F57)&lt;=0,N($J57)&lt;=0,N($D$4)&lt;=0),"",($J57*$D$4)/$F57-1)</f>
        <v/>
      </c>
      <c r="L57" s="172" t="n">
        <v>0.4049</v>
      </c>
      <c r="M57" s="2" t="inlineStr">
        <is>
          <t>Jun 2026 H listing (analog chips)</t>
        </is>
      </c>
    </row>
    <row r="58">
      <c r="A58" s="170" t="inlineStr">
        <is>
          <t>1688</t>
        </is>
      </c>
      <c r="B58" s="17" t="inlineStr">
        <is>
          <t>LINGYI ITECH</t>
        </is>
      </c>
      <c r="C58" s="17" t="inlineStr">
        <is>
          <t>Smart hardware / consumer electronics</t>
        </is>
      </c>
      <c r="D58" s="50">
        <f>IFERROR(BDP("1688 HK Equity","PX_LAST"),"")</f>
        <v/>
      </c>
      <c r="E58" s="171" t="n"/>
      <c r="F58" s="50">
        <f>IF($E58&lt;&gt;"",$E58,$D58)</f>
        <v/>
      </c>
      <c r="G58" s="17" t="inlineStr">
        <is>
          <t>002600.SZ</t>
        </is>
      </c>
      <c r="H58" s="50">
        <f>IFERROR(BDP("002600 CH Equity","PX_LAST"),"")</f>
        <v/>
      </c>
      <c r="I58" s="171" t="n"/>
      <c r="J58" s="50">
        <f>IF($I58&lt;&gt;"",$I58,$H58)</f>
        <v/>
      </c>
      <c r="K58" s="53">
        <f>IF(OR(N($F58)&lt;=0,N($J58)&lt;=0,N($D$4)&lt;=0),"",($J58*$D$4)/$F58-1)</f>
        <v/>
      </c>
      <c r="L58" s="172" t="n">
        <v>1.4038</v>
      </c>
      <c r="M58" s="2" t="inlineStr">
        <is>
          <t>Jun 2026 H listing (consumer-electronics precision parts)</t>
        </is>
      </c>
    </row>
    <row r="59">
      <c r="A59" s="170" t="inlineStr">
        <is>
          <t>9630</t>
        </is>
      </c>
      <c r="B59" s="17" t="inlineStr">
        <is>
          <t>CFMEE</t>
        </is>
      </c>
      <c r="C59" s="17" t="inlineStr">
        <is>
          <t>AI chips &amp; semis</t>
        </is>
      </c>
      <c r="D59" s="50">
        <f>IFERROR(BDP("9630 HK Equity","PX_LAST"),"")</f>
        <v/>
      </c>
      <c r="E59" s="171" t="n"/>
      <c r="F59" s="50">
        <f>IF($E59&lt;&gt;"",$E59,$D59)</f>
        <v/>
      </c>
      <c r="G59" s="17" t="inlineStr">
        <is>
          <t>688630.SS</t>
        </is>
      </c>
      <c r="H59" s="50">
        <f>IFERROR(BDP("688630 CH Equity","PX_LAST"),"")</f>
        <v/>
      </c>
      <c r="I59" s="171" t="n"/>
      <c r="J59" s="50">
        <f>IF($I59&lt;&gt;"",$I59,$H59)</f>
        <v/>
      </c>
      <c r="K59" s="53">
        <f>IF(OR(N($F59)&lt;=0,N($J59)&lt;=0,N($D$4)&lt;=0),"",($J59*$D$4)/$F59-1)</f>
        <v/>
      </c>
      <c r="L59" s="172" t="n">
        <v>0.3628</v>
      </c>
      <c r="M59" s="2" t="inlineStr">
        <is>
          <t>Jun 2026 H listing (direct-write lithography equipment)</t>
        </is>
      </c>
    </row>
    <row r="60">
      <c r="A60" s="170" t="inlineStr">
        <is>
          <t>0668</t>
        </is>
      </c>
      <c r="B60" s="17" t="inlineStr">
        <is>
          <t>ANKER</t>
        </is>
      </c>
      <c r="C60" s="17" t="inlineStr">
        <is>
          <t>Smart hardware / consumer electronics</t>
        </is>
      </c>
      <c r="D60" s="50">
        <f>IFERROR(BDP("668 HK Equity","PX_LAST"),"")</f>
        <v/>
      </c>
      <c r="E60" s="171" t="n"/>
      <c r="F60" s="50">
        <f>IF($E60&lt;&gt;"",$E60,$D60)</f>
        <v/>
      </c>
      <c r="G60" s="17" t="inlineStr">
        <is>
          <t>300866.SZ</t>
        </is>
      </c>
      <c r="H60" s="50">
        <f>IFERROR(BDP("300866 CH Equity","PX_LAST"),"")</f>
        <v/>
      </c>
      <c r="I60" s="171" t="n"/>
      <c r="J60" s="50">
        <f>IF($I60&lt;&gt;"",$I60,$H60)</f>
        <v/>
      </c>
      <c r="K60" s="53">
        <f>IF(OR(N($F60)&lt;=0,N($J60)&lt;=0,N($D$4)&lt;=0),"",($J60*$D$4)/$F60-1)</f>
        <v/>
      </c>
      <c r="L60" s="172" t="n">
        <v>0.222</v>
      </c>
      <c r="M60" s="2" t="inlineStr">
        <is>
          <t>Jun 2026 H listing (consumer charging/power brands)</t>
        </is>
      </c>
    </row>
    <row r="61">
      <c r="A61" s="170" t="inlineStr">
        <is>
          <t>0537</t>
        </is>
      </c>
      <c r="B61" s="17" t="inlineStr">
        <is>
          <t>RIGOL</t>
        </is>
      </c>
      <c r="C61" s="17" t="inlineStr">
        <is>
          <t>Capital goods / machinery</t>
        </is>
      </c>
      <c r="D61" s="50">
        <f>IFERROR(BDP("537 HK Equity","PX_LAST"),"")</f>
        <v/>
      </c>
      <c r="E61" s="171" t="n"/>
      <c r="F61" s="50">
        <f>IF($E61&lt;&gt;"",$E61,$D61)</f>
        <v/>
      </c>
      <c r="G61" s="17" t="inlineStr">
        <is>
          <t>688337.SS</t>
        </is>
      </c>
      <c r="H61" s="50">
        <f>IFERROR(BDP("688337 CH Equity","PX_LAST"),"")</f>
        <v/>
      </c>
      <c r="I61" s="171" t="n"/>
      <c r="J61" s="50">
        <f>IF($I61&lt;&gt;"",$I61,$H61)</f>
        <v/>
      </c>
      <c r="K61" s="53">
        <f>IF(OR(N($F61)&lt;=0,N($J61)&lt;=0,N($D$4)&lt;=0),"",($J61*$D$4)/$F61-1)</f>
        <v/>
      </c>
      <c r="L61" s="172" t="n">
        <v>1.3646</v>
      </c>
      <c r="M61" s="2" t="inlineStr">
        <is>
          <t>Jul 2026 H listing (electronic test &amp; measurement)</t>
        </is>
      </c>
    </row>
    <row r="62">
      <c r="A62" s="170" t="inlineStr">
        <is>
          <t>2475</t>
        </is>
      </c>
      <c r="B62" s="17" t="inlineStr">
        <is>
          <t>LUXSHARE ICT</t>
        </is>
      </c>
      <c r="C62" s="17" t="inlineStr">
        <is>
          <t>Smart hardware / consumer electronics</t>
        </is>
      </c>
      <c r="D62" s="50">
        <f>IFERROR(BDP("2475 HK Equity","PX_LAST"),"")</f>
        <v/>
      </c>
      <c r="E62" s="171" t="n"/>
      <c r="F62" s="50">
        <f>IF($E62&lt;&gt;"",$E62,$D62)</f>
        <v/>
      </c>
      <c r="G62" s="17" t="inlineStr">
        <is>
          <t>002475.SZ</t>
        </is>
      </c>
      <c r="H62" s="50">
        <f>IFERROR(BDP("002475 CH Equity","PX_LAST"),"")</f>
        <v/>
      </c>
      <c r="I62" s="171" t="n"/>
      <c r="J62" s="50">
        <f>IF($I62&lt;&gt;"",$I62,$H62)</f>
        <v/>
      </c>
      <c r="K62" s="53">
        <f>IF(OR(N($F62)&lt;=0,N($J62)&lt;=0,N($D$4)&lt;=0),"",($J62*$D$4)/$F62-1)</f>
        <v/>
      </c>
      <c r="L62" s="172" t="n">
        <v>0.08260000000000001</v>
      </c>
      <c r="M62" s="2" t="inlineStr">
        <is>
          <t>Jul 2026, ~US$3.1bn; largest HK IPO of 2026 until Innolight</t>
        </is>
      </c>
    </row>
    <row r="63">
      <c r="A63" s="170" t="inlineStr">
        <is>
          <t>6951</t>
        </is>
      </c>
      <c r="B63" s="17" t="inlineStr">
        <is>
          <t>CCTC</t>
        </is>
      </c>
      <c r="C63" s="17" t="inlineStr">
        <is>
          <t>Smart hardware / consumer electronics</t>
        </is>
      </c>
      <c r="D63" s="50">
        <f>IFERROR(BDP("6951 HK Equity","PX_LAST"),"")</f>
        <v/>
      </c>
      <c r="E63" s="171" t="n"/>
      <c r="F63" s="50">
        <f>IF($E63&lt;&gt;"",$E63,$D63)</f>
        <v/>
      </c>
      <c r="G63" s="17" t="inlineStr">
        <is>
          <t>300408.SZ</t>
        </is>
      </c>
      <c r="H63" s="50">
        <f>IFERROR(BDP("300408 CH Equity","PX_LAST"),"")</f>
        <v/>
      </c>
      <c r="I63" s="171" t="n"/>
      <c r="J63" s="50">
        <f>IF($I63&lt;&gt;"",$I63,$H63)</f>
        <v/>
      </c>
      <c r="K63" s="53">
        <f>IF(OR(N($F63)&lt;=0,N($J63)&lt;=0,N($D$4)&lt;=0),"",($J63*$D$4)/$F63-1)</f>
        <v/>
      </c>
      <c r="L63" s="172" t="n">
        <v>0.1629</v>
      </c>
      <c r="M63" s="2" t="inlineStr">
        <is>
          <t>Jul 2026 H listing (ceramic components; targeted ~US$1bn)</t>
        </is>
      </c>
    </row>
    <row r="64">
      <c r="A64" s="170" t="inlineStr">
        <is>
          <t>1377</t>
        </is>
      </c>
      <c r="B64" s="17" t="inlineStr">
        <is>
          <t>DTECH</t>
        </is>
      </c>
      <c r="C64" s="17" t="inlineStr">
        <is>
          <t>Smart hardware / consumer electronics</t>
        </is>
      </c>
      <c r="D64" s="50">
        <f>IFERROR(BDP("1377 HK Equity","PX_LAST"),"")</f>
        <v/>
      </c>
      <c r="E64" s="171" t="n"/>
      <c r="F64" s="50">
        <f>IF($E64&lt;&gt;"",$E64,$D64)</f>
        <v/>
      </c>
      <c r="G64" s="17" t="inlineStr">
        <is>
          <t>301377.SZ</t>
        </is>
      </c>
      <c r="H64" s="50">
        <f>IFERROR(BDP("301377 CH Equity","PX_LAST"),"")</f>
        <v/>
      </c>
      <c r="I64" s="171" t="n"/>
      <c r="J64" s="50">
        <f>IF($I64&lt;&gt;"",$I64,$H64)</f>
        <v/>
      </c>
      <c r="K64" s="53">
        <f>IF(OR(N($F64)&lt;=0,N($J64)&lt;=0,N($D$4)&lt;=0),"",($J64*$D$4)/$F64-1)</f>
        <v/>
      </c>
      <c r="L64" s="172" t="n">
        <v>0.5468</v>
      </c>
      <c r="M64" s="2" t="inlineStr">
        <is>
          <t>Jul 2026 H listing (PCB drilling tools)</t>
        </is>
      </c>
    </row>
    <row r="65">
      <c r="A65" s="170" t="inlineStr">
        <is>
          <t>6745</t>
        </is>
      </c>
      <c r="B65" s="17" t="inlineStr">
        <is>
          <t>BEFAR GROUP</t>
        </is>
      </c>
      <c r="C65" s="17" t="inlineStr">
        <is>
          <t>Chemicals</t>
        </is>
      </c>
      <c r="D65" s="50">
        <f>IFERROR(BDP("6745 HK Equity","PX_LAST"),"")</f>
        <v/>
      </c>
      <c r="E65" s="171" t="n"/>
      <c r="F65" s="50">
        <f>IF($E65&lt;&gt;"",$E65,$D65)</f>
        <v/>
      </c>
      <c r="G65" s="17" t="inlineStr">
        <is>
          <t>601678.SS</t>
        </is>
      </c>
      <c r="H65" s="50">
        <f>IFERROR(BDP("601678 CH Equity","PX_LAST"),"")</f>
        <v/>
      </c>
      <c r="I65" s="171" t="n"/>
      <c r="J65" s="50">
        <f>IF($I65&lt;&gt;"",$I65,$H65)</f>
        <v/>
      </c>
      <c r="K65" s="53">
        <f>IF(OR(N($F65)&lt;=0,N($J65)&lt;=0,N($D$4)&lt;=0),"",($J65*$D$4)/$F65-1)</f>
        <v/>
      </c>
      <c r="L65" s="172" t="n">
        <v>1.2432</v>
      </c>
      <c r="M65" s="2" t="inlineStr">
        <is>
          <t>Jul 2026 H listing (chlor-alkali/chemicals)</t>
        </is>
      </c>
    </row>
    <row r="66">
      <c r="A66" s="170" t="inlineStr">
        <is>
          <t>2249</t>
        </is>
      </c>
      <c r="B66" s="17" t="inlineStr">
        <is>
          <t>NEXCHIP</t>
        </is>
      </c>
      <c r="C66" s="17" t="inlineStr">
        <is>
          <t>AI chips &amp; semis</t>
        </is>
      </c>
      <c r="D66" s="50">
        <f>IFERROR(BDP("2249 HK Equity","PX_LAST"),"")</f>
        <v/>
      </c>
      <c r="E66" s="171" t="n"/>
      <c r="F66" s="50">
        <f>IF($E66&lt;&gt;"",$E66,$D66)</f>
        <v/>
      </c>
      <c r="G66" s="17" t="inlineStr">
        <is>
          <t>688249.SS</t>
        </is>
      </c>
      <c r="H66" s="50">
        <f>IFERROR(BDP("688249 CH Equity","PX_LAST"),"")</f>
        <v/>
      </c>
      <c r="I66" s="171" t="n"/>
      <c r="J66" s="50">
        <f>IF($I66&lt;&gt;"",$I66,$H66)</f>
        <v/>
      </c>
      <c r="K66" s="53">
        <f>IF(OR(N($F66)&lt;=0,N($J66)&lt;=0,N($D$4)&lt;=0),"",($J66*$D$4)/$F66-1)</f>
        <v/>
      </c>
      <c r="L66" s="172" t="n">
        <v>0.5382</v>
      </c>
      <c r="M66" s="2" t="inlineStr">
        <is>
          <t>Jul 2026 H listing (foundry)</t>
        </is>
      </c>
    </row>
    <row r="67">
      <c r="A67" s="170" t="inlineStr">
        <is>
          <t>3308</t>
        </is>
      </c>
      <c r="B67" s="17" t="inlineStr">
        <is>
          <t>ZJ INNOLIGHT</t>
        </is>
      </c>
      <c r="C67" s="17" t="inlineStr">
        <is>
          <t>Smart hardware / consumer electronics</t>
        </is>
      </c>
      <c r="D67" s="50">
        <f>IFERROR(BDP("3308 HK Equity","PX_LAST"),"")</f>
        <v/>
      </c>
      <c r="E67" s="171" t="n"/>
      <c r="F67" s="50">
        <f>IF($E67&lt;&gt;"",$E67,$D67)</f>
        <v/>
      </c>
      <c r="G67" s="17" t="inlineStr">
        <is>
          <t>300308.SZ</t>
        </is>
      </c>
      <c r="H67" s="50">
        <f>IFERROR(BDP("300308 CH Equity","PX_LAST"),"")</f>
        <v/>
      </c>
      <c r="I67" s="171" t="n"/>
      <c r="J67" s="50">
        <f>IF($I67&lt;&gt;"",$I67,$H67)</f>
        <v/>
      </c>
      <c r="K67" s="53">
        <f>IF(OR(N($F67)&lt;=0,N($J67)&lt;=0,N($D$4)&lt;=0),"",($J67*$D$4)/$F67-1)</f>
        <v/>
      </c>
      <c r="L67" s="172" t="n">
        <v>-0.0461</v>
      </c>
      <c r="M67" s="2" t="inlineStr">
        <is>
          <t>Jul 2026; Hong Kong's largest IPO in seven years (optical transceivers for AI datacenters)</t>
        </is>
      </c>
    </row>
    <row r="68">
      <c r="A68" s="170" t="inlineStr">
        <is>
          <t>3223</t>
        </is>
      </c>
      <c r="B68" s="17" t="inlineStr">
        <is>
          <t>INGENIC</t>
        </is>
      </c>
      <c r="C68" s="17" t="inlineStr">
        <is>
          <t>AI chips &amp; semis</t>
        </is>
      </c>
      <c r="D68" s="50">
        <f>IFERROR(BDP("3223 HK Equity","PX_LAST"),"")</f>
        <v/>
      </c>
      <c r="E68" s="171" t="n"/>
      <c r="F68" s="50">
        <f>IF($E68&lt;&gt;"",$E68,$D68)</f>
        <v/>
      </c>
      <c r="G68" s="17" t="inlineStr">
        <is>
          <t>300223.SZ</t>
        </is>
      </c>
      <c r="H68" s="50">
        <f>IFERROR(BDP("300223 CH Equity","PX_LAST"),"")</f>
        <v/>
      </c>
      <c r="I68" s="171" t="n"/>
      <c r="J68" s="50">
        <f>IF($I68&lt;&gt;"",$I68,$H68)</f>
        <v/>
      </c>
      <c r="K68" s="53">
        <f>IF(OR(N($F68)&lt;=0,N($J68)&lt;=0,N($D$4)&lt;=0),"",($J68*$D$4)/$F68-1)</f>
        <v/>
      </c>
      <c r="L68" s="172" t="n">
        <v>0.5679</v>
      </c>
      <c r="M68" s="2" t="inlineStr">
        <is>
          <t>H listed 2026-08-25; fabless CPU/analog+memory (auto)</t>
        </is>
      </c>
    </row>
    <row r="69"/>
    <row r="70"/>
    <row r="71">
      <c r="A71" s="165"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0"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0"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0"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0"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0"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0"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0"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0" t="inlineStr">
        <is>
          <t>9678</t>
        </is>
      </c>
      <c r="B80" s="17" t="inlineStr">
        <is>
          <t>UNISOUND</t>
        </is>
      </c>
      <c r="C80" s="17" t="inlineStr">
        <is>
          <t>002230.SZ</t>
        </is>
      </c>
      <c r="D80" s="17" t="inlineStr">
        <is>
          <t>iFlytek</t>
        </is>
      </c>
      <c r="E80" s="2" t="inlineStr">
        <is>
          <t>Direct A-share competitor in voice AI and speech-centric LLMs (Spark model).</t>
        </is>
      </c>
    </row>
    <row r="81">
      <c r="A81" s="170"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0"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0"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0"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0"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8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5" t="inlineStr">
        <is>
          <t>VS OFFER (WITH POP)</t>
        </is>
      </c>
      <c r="H3" s="165"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67" t="n">
        <v>38</v>
      </c>
      <c r="C5" s="173" t="n">
        <v>63</v>
      </c>
      <c r="D5" s="174" t="n">
        <v>30.9</v>
      </c>
      <c r="E5" s="174" t="n">
        <v>28.2</v>
      </c>
      <c r="F5" s="174" t="n">
        <v>14.8</v>
      </c>
      <c r="G5" s="174" t="n">
        <v>35.2</v>
      </c>
      <c r="H5" s="174" t="n">
        <v>-1.6</v>
      </c>
      <c r="I5" s="174" t="n">
        <v>-9.6</v>
      </c>
      <c r="J5" s="174" t="n">
        <v>9.300000000000001</v>
      </c>
      <c r="K5" s="175"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167" t="n">
        <v>34</v>
      </c>
      <c r="C6" s="173" t="n">
        <v>47</v>
      </c>
      <c r="D6" s="174" t="n">
        <v>6.6</v>
      </c>
      <c r="E6" s="174" t="n">
        <v>11</v>
      </c>
      <c r="F6" s="174" t="n">
        <v>14.5</v>
      </c>
      <c r="G6" s="174" t="n">
        <v>25.5</v>
      </c>
      <c r="H6" s="174" t="n">
        <v>5.1</v>
      </c>
      <c r="I6" s="174" t="n">
        <v>8.4</v>
      </c>
      <c r="J6" s="174" t="n">
        <v>21.3</v>
      </c>
      <c r="K6" s="17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67" t="n">
        <v>32</v>
      </c>
      <c r="C7" s="173" t="n">
        <v>75</v>
      </c>
      <c r="D7" s="174" t="n">
        <v>38.2</v>
      </c>
      <c r="E7" s="174" t="n">
        <v>37.7</v>
      </c>
      <c r="F7" s="174" t="n">
        <v>34</v>
      </c>
      <c r="G7" s="174" t="n">
        <v>27.4</v>
      </c>
      <c r="H7" s="174" t="n">
        <v>-0.5</v>
      </c>
      <c r="I7" s="174" t="n">
        <v>1</v>
      </c>
      <c r="J7" s="174" t="n">
        <v>-2.2</v>
      </c>
      <c r="K7" s="17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67" t="n">
        <v>28</v>
      </c>
      <c r="C8" s="173" t="n">
        <v>71</v>
      </c>
      <c r="D8" s="174" t="n">
        <v>38.6</v>
      </c>
      <c r="E8" s="174" t="n">
        <v>36.3</v>
      </c>
      <c r="F8" s="174" t="n">
        <v>26.9</v>
      </c>
      <c r="G8" s="174" t="n">
        <v>23.9</v>
      </c>
      <c r="H8" s="174" t="n">
        <v>-0.5</v>
      </c>
      <c r="I8" s="174" t="n">
        <v>-3.8</v>
      </c>
      <c r="J8" s="174" t="n">
        <v>-5.4</v>
      </c>
      <c r="K8" s="175"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67" t="n">
        <v>22</v>
      </c>
      <c r="C9" s="173" t="n">
        <v>64</v>
      </c>
      <c r="D9" s="174" t="n">
        <v>44.3</v>
      </c>
      <c r="E9" s="174" t="n">
        <v>45.4</v>
      </c>
      <c r="F9" s="174" t="n">
        <v>37.9</v>
      </c>
      <c r="G9" s="174" t="n">
        <v>56.5</v>
      </c>
      <c r="H9" s="174" t="n">
        <v>1</v>
      </c>
      <c r="I9" s="174" t="n">
        <v>-0.8</v>
      </c>
      <c r="J9" s="174" t="n">
        <v>9.4</v>
      </c>
      <c r="K9" s="17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67" t="n">
        <v>22</v>
      </c>
      <c r="C10" s="173" t="n">
        <v>73</v>
      </c>
      <c r="D10" s="174" t="n">
        <v>20.5</v>
      </c>
      <c r="E10" s="174" t="n">
        <v>27.6</v>
      </c>
      <c r="F10" s="174" t="n">
        <v>19.6</v>
      </c>
      <c r="G10" s="174" t="n">
        <v>72.8</v>
      </c>
      <c r="H10" s="174" t="n">
        <v>4.1</v>
      </c>
      <c r="I10" s="174" t="n">
        <v>1</v>
      </c>
      <c r="J10" s="174" t="n">
        <v>43.7</v>
      </c>
      <c r="K10" s="17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67" t="n">
        <v>15</v>
      </c>
      <c r="C11" s="173" t="n">
        <v>73</v>
      </c>
      <c r="D11" s="174" t="n">
        <v>62</v>
      </c>
      <c r="E11" s="174" t="n">
        <v>52.7</v>
      </c>
      <c r="F11" s="174" t="n">
        <v>39.2</v>
      </c>
      <c r="G11" s="174" t="n">
        <v>29.8</v>
      </c>
      <c r="H11" s="174" t="n">
        <v>-5.6</v>
      </c>
      <c r="I11" s="174" t="n">
        <v>-8.5</v>
      </c>
      <c r="J11" s="174" t="n">
        <v>-10.3</v>
      </c>
      <c r="K11" s="175"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167" t="n">
        <v>15</v>
      </c>
      <c r="C12" s="173" t="n">
        <v>93</v>
      </c>
      <c r="D12" s="174" t="n">
        <v>51.9</v>
      </c>
      <c r="E12" s="174" t="n">
        <v>49.8</v>
      </c>
      <c r="F12" s="174" t="n">
        <v>39.5</v>
      </c>
      <c r="G12" s="174" t="n">
        <v>35.6</v>
      </c>
      <c r="H12" s="174" t="n">
        <v>-0</v>
      </c>
      <c r="I12" s="174" t="n">
        <v>-5.1</v>
      </c>
      <c r="J12" s="174" t="n">
        <v>-9.4</v>
      </c>
      <c r="K12" s="17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167" t="n">
        <v>15</v>
      </c>
      <c r="C13" s="173" t="n">
        <v>73</v>
      </c>
      <c r="D13" s="174" t="n">
        <v>51.1</v>
      </c>
      <c r="E13" s="174" t="n">
        <v>54.9</v>
      </c>
      <c r="F13" s="174" t="n">
        <v>48.9</v>
      </c>
      <c r="G13" s="174" t="n">
        <v>52.3</v>
      </c>
      <c r="H13" s="174" t="n">
        <v>2.8</v>
      </c>
      <c r="I13" s="174" t="n">
        <v>3.6</v>
      </c>
      <c r="J13" s="174" t="n">
        <v>11.8</v>
      </c>
      <c r="K13" s="175"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167" t="n">
        <v>15</v>
      </c>
      <c r="C14" s="173" t="n">
        <v>93</v>
      </c>
      <c r="D14" s="174" t="n">
        <v>26.5</v>
      </c>
      <c r="E14" s="174" t="n">
        <v>26.5</v>
      </c>
      <c r="F14" s="174" t="n">
        <v>34.2</v>
      </c>
      <c r="G14" s="174" t="n">
        <v>111.8</v>
      </c>
      <c r="H14" s="174" t="n">
        <v>1.7</v>
      </c>
      <c r="I14" s="174" t="n">
        <v>9.6</v>
      </c>
      <c r="J14" s="174" t="n">
        <v>54.7</v>
      </c>
      <c r="K14" s="175"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167" t="n">
        <v>15</v>
      </c>
      <c r="C15" s="173" t="n">
        <v>60</v>
      </c>
      <c r="D15" s="174" t="n">
        <v>17.8</v>
      </c>
      <c r="E15" s="174" t="n">
        <v>13.3</v>
      </c>
      <c r="F15" s="174" t="n">
        <v>16.9</v>
      </c>
      <c r="G15" s="174" t="n">
        <v>-8.699999999999999</v>
      </c>
      <c r="H15" s="174" t="n">
        <v>-3.6</v>
      </c>
      <c r="I15" s="174" t="n">
        <v>0.5</v>
      </c>
      <c r="J15" s="174" t="n">
        <v>-24.5</v>
      </c>
      <c r="K15" s="175"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167" t="n">
        <v>14</v>
      </c>
      <c r="C16" s="173" t="n">
        <v>64</v>
      </c>
      <c r="D16" s="174" t="n">
        <v>65.09999999999999</v>
      </c>
      <c r="E16" s="174" t="n">
        <v>67.8</v>
      </c>
      <c r="F16" s="174" t="n">
        <v>42.3</v>
      </c>
      <c r="G16" s="174" t="n">
        <v>21.4</v>
      </c>
      <c r="H16" s="174" t="n">
        <v>0.9</v>
      </c>
      <c r="I16" s="174" t="n">
        <v>-7.6</v>
      </c>
      <c r="J16" s="174" t="n">
        <v>-13.6</v>
      </c>
      <c r="K16" s="175"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167" t="n">
        <v>14</v>
      </c>
      <c r="C17" s="173" t="n">
        <v>71</v>
      </c>
      <c r="D17" s="174" t="n">
        <v>25.1</v>
      </c>
      <c r="E17" s="174" t="n">
        <v>21.9</v>
      </c>
      <c r="F17" s="174" t="n">
        <v>19.1</v>
      </c>
      <c r="G17" s="174" t="n">
        <v>36.2</v>
      </c>
      <c r="H17" s="174" t="n">
        <v>-2.4</v>
      </c>
      <c r="I17" s="174" t="n">
        <v>-3.8</v>
      </c>
      <c r="J17" s="174" t="n">
        <v>4.5</v>
      </c>
      <c r="K17" s="175"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67" t="n">
        <v>14</v>
      </c>
      <c r="C18" s="173" t="n">
        <v>57</v>
      </c>
      <c r="D18" s="174" t="n">
        <v>23.9</v>
      </c>
      <c r="E18" s="174" t="n">
        <v>17.6</v>
      </c>
      <c r="F18" s="174" t="n">
        <v>-0.7</v>
      </c>
      <c r="G18" s="174" t="n">
        <v>-15.1</v>
      </c>
      <c r="H18" s="174" t="n">
        <v>-3.7</v>
      </c>
      <c r="I18" s="174" t="n">
        <v>-17.5</v>
      </c>
      <c r="J18" s="174" t="n">
        <v>-30.6</v>
      </c>
      <c r="K18" s="175"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67" t="n">
        <v>12</v>
      </c>
      <c r="C19" s="173" t="n">
        <v>67</v>
      </c>
      <c r="D19" s="174" t="n">
        <v>64.40000000000001</v>
      </c>
      <c r="E19" s="174" t="n">
        <v>63.4</v>
      </c>
      <c r="F19" s="174" t="n">
        <v>35.4</v>
      </c>
      <c r="G19" s="174" t="n">
        <v>20.4</v>
      </c>
      <c r="H19" s="174" t="n">
        <v>-2.8</v>
      </c>
      <c r="I19" s="174" t="n">
        <v>-13.1</v>
      </c>
      <c r="J19" s="174" t="n">
        <v>-19.3</v>
      </c>
      <c r="K19" s="175"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67" t="n">
        <v>12</v>
      </c>
      <c r="C20" s="173" t="n">
        <v>67</v>
      </c>
      <c r="D20" s="174" t="n">
        <v>28.7</v>
      </c>
      <c r="E20" s="174" t="n">
        <v>33.8</v>
      </c>
      <c r="F20" s="174" t="n">
        <v>31.2</v>
      </c>
      <c r="G20" s="174" t="n">
        <v>53.6</v>
      </c>
      <c r="H20" s="174" t="n">
        <v>2.3</v>
      </c>
      <c r="I20" s="174" t="n">
        <v>0.7</v>
      </c>
      <c r="J20" s="174" t="n">
        <v>7.1</v>
      </c>
      <c r="K20" s="175"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67" t="n">
        <v>12</v>
      </c>
      <c r="C21" s="173" t="n">
        <v>58</v>
      </c>
      <c r="D21" s="174" t="n">
        <v>12</v>
      </c>
      <c r="E21" s="174" t="n">
        <v>11.8</v>
      </c>
      <c r="F21" s="174" t="n">
        <v>7.9</v>
      </c>
      <c r="G21" s="174" t="n">
        <v>20</v>
      </c>
      <c r="H21" s="174" t="n">
        <v>-0.7</v>
      </c>
      <c r="I21" s="174" t="n">
        <v>-4.7</v>
      </c>
      <c r="J21" s="174" t="n">
        <v>-1.4</v>
      </c>
      <c r="K21" s="175" t="inlineStr">
        <is>
          <t>2170 BASECARE-B; 2171 CARSGEN-B; 2190 ZYLOXTB-B; 9960 KINDSTAR GLOBAL; 2251 AIRDOC-B; 2279 YONGHE MEDICAL; 2285 CHERVON; 1318 MAO GEPING; 7618 JD INDUSTRIALS; 3296 HUAQIN; 6951 CCTC; 2249 NEXCHIP</t>
        </is>
      </c>
    </row>
    <row r="22">
      <c r="A22" s="17" t="inlineStr">
        <is>
          <t>Athos Capital Limited</t>
        </is>
      </c>
      <c r="B22" s="167" t="n">
        <v>12</v>
      </c>
      <c r="C22" s="173" t="n">
        <v>42</v>
      </c>
      <c r="D22" s="174" t="n">
        <v>1.3</v>
      </c>
      <c r="E22" s="174" t="n">
        <v>-1.2</v>
      </c>
      <c r="F22" s="174" t="n">
        <v>-2.5</v>
      </c>
      <c r="G22" s="174" t="n">
        <v>-12.7</v>
      </c>
      <c r="H22" s="174" t="n">
        <v>-2.4</v>
      </c>
      <c r="I22" s="174" t="n">
        <v>-3.7</v>
      </c>
      <c r="J22" s="174" t="n">
        <v>-14</v>
      </c>
      <c r="K22" s="175"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67" t="n">
        <v>11</v>
      </c>
      <c r="C23" s="173" t="n">
        <v>82</v>
      </c>
      <c r="D23" s="174" t="n">
        <v>78.3</v>
      </c>
      <c r="E23" s="174" t="n">
        <v>72.2</v>
      </c>
      <c r="F23" s="174" t="n">
        <v>49.3</v>
      </c>
      <c r="G23" s="174" t="n">
        <v>12.5</v>
      </c>
      <c r="H23" s="174" t="n">
        <v>-4</v>
      </c>
      <c r="I23" s="174" t="n">
        <v>-14.6</v>
      </c>
      <c r="J23" s="174" t="n">
        <v>-32.5</v>
      </c>
      <c r="K23" s="175" t="inlineStr">
        <is>
          <t>2158 YIDU TECH; 2160 CARDIOFLOW-B; 6609 HEARTCARE-B; 2285 CHERVON; 6656 SIGENERGY; 3277 GPIXEL; 3296 HUAQIN; 1879 XIZHI TECH-P; 7688 TOPNC; 6106 SEER TECH; 1688 LINGYI ITECH</t>
        </is>
      </c>
    </row>
    <row r="24">
      <c r="A24" s="17" t="inlineStr">
        <is>
          <t>Huang River Investment Limited</t>
        </is>
      </c>
      <c r="B24" s="167" t="n">
        <v>11</v>
      </c>
      <c r="C24" s="173" t="n">
        <v>64</v>
      </c>
      <c r="D24" s="174" t="n">
        <v>38</v>
      </c>
      <c r="E24" s="174" t="n">
        <v>31.9</v>
      </c>
      <c r="F24" s="174" t="n">
        <v>30.1</v>
      </c>
      <c r="G24" s="174" t="n">
        <v>72.09999999999999</v>
      </c>
      <c r="H24" s="174" t="n">
        <v>-1.2</v>
      </c>
      <c r="I24" s="174" t="n">
        <v>-0.9</v>
      </c>
      <c r="J24" s="174" t="n">
        <v>30.8</v>
      </c>
      <c r="K24" s="175" t="inlineStr">
        <is>
          <t>1519 J&amp;T EXPRESS-W; 6181 LAOPU GOLD; 1364 GUMING; 2718 MININGLAMP-W; 2675 EDGE MEDICAL-B; 9980 EASTROC; 7630 IMPACT THERAP-B; 9637 ALEBUND-B; 2475 LUXSHARE ICT; 6951 CCTC; 3308 ZJ INNOLIGHT</t>
        </is>
      </c>
    </row>
    <row r="25">
      <c r="A25" s="17" t="inlineStr">
        <is>
          <t>OrbiMed Funds</t>
        </is>
      </c>
      <c r="B25" s="167" t="n">
        <v>11</v>
      </c>
      <c r="C25" s="173" t="n">
        <v>55</v>
      </c>
      <c r="D25" s="174" t="n">
        <v>21.3</v>
      </c>
      <c r="E25" s="174" t="n">
        <v>22.6</v>
      </c>
      <c r="F25" s="174" t="n">
        <v>11.6</v>
      </c>
      <c r="G25" s="174" t="n">
        <v>4.3</v>
      </c>
      <c r="H25" s="174" t="n">
        <v>1</v>
      </c>
      <c r="I25" s="174" t="n">
        <v>-8.5</v>
      </c>
      <c r="J25" s="174" t="n">
        <v>-11</v>
      </c>
      <c r="K25" s="175" t="inlineStr">
        <is>
          <t>2158 YIDU TECH; 2170 BASECARE-B; 6127 JOINN; 2192 MEDLIVE; 2256 ABBISKO-B; 2235 MICROTECH MED-B; 2197 CLOVER BIO-B; 6639 ARRAIL GROUP; 2105 LAEKNA-B; 2675 EDGE MEDICAL-B; 1779 LONGBIO-B</t>
        </is>
      </c>
    </row>
    <row r="26">
      <c r="A26" s="17" t="inlineStr">
        <is>
          <t>WT Asset Management Limited</t>
        </is>
      </c>
      <c r="B26" s="167" t="n">
        <v>11</v>
      </c>
      <c r="C26" s="173" t="n">
        <v>73</v>
      </c>
      <c r="D26" s="174" t="n">
        <v>17.8</v>
      </c>
      <c r="E26" s="174" t="n">
        <v>17</v>
      </c>
      <c r="F26" s="174" t="n">
        <v>7.8</v>
      </c>
      <c r="G26" s="174" t="n">
        <v>7.1</v>
      </c>
      <c r="H26" s="174" t="n">
        <v>-1.9</v>
      </c>
      <c r="I26" s="174" t="n">
        <v>-9.5</v>
      </c>
      <c r="J26" s="174" t="n">
        <v>-11.4</v>
      </c>
      <c r="K26" s="175" t="inlineStr">
        <is>
          <t>2160 CARDIOFLOW-B; 2171 CARSGEN-B; 2251 AIRDOC-B; 2279 YONGHE MEDICAL; 3750 CATL; 2525 HESAI-W; 6687 JST GROUP; 3355 FS.COM; 3277 GPIXEL; 0668 ANKER; 2249 NEXCHIP</t>
        </is>
      </c>
    </row>
    <row r="27">
      <c r="A27" s="17" t="inlineStr">
        <is>
          <t>Sage Partners Master Fund</t>
        </is>
      </c>
      <c r="B27" s="167" t="n">
        <v>11</v>
      </c>
      <c r="C27" s="173" t="n">
        <v>55</v>
      </c>
      <c r="D27" s="174" t="n">
        <v>9.199999999999999</v>
      </c>
      <c r="E27" s="174" t="n">
        <v>6.4</v>
      </c>
      <c r="F27" s="174" t="n">
        <v>19.2</v>
      </c>
      <c r="G27" s="174" t="n">
        <v>-2.7</v>
      </c>
      <c r="H27" s="174" t="n">
        <v>-0.3</v>
      </c>
      <c r="I27" s="174" t="n">
        <v>16.8</v>
      </c>
      <c r="J27" s="174" t="n">
        <v>-8.199999999999999</v>
      </c>
      <c r="K27" s="175"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167" t="n">
        <v>11</v>
      </c>
      <c r="C28" s="173" t="n">
        <v>55</v>
      </c>
      <c r="D28" s="174" t="n">
        <v>6.4</v>
      </c>
      <c r="E28" s="174" t="n">
        <v>17.8</v>
      </c>
      <c r="F28" s="174" t="n">
        <v>15.2</v>
      </c>
      <c r="G28" s="174" t="n">
        <v>34.2</v>
      </c>
      <c r="H28" s="174" t="n">
        <v>11.1</v>
      </c>
      <c r="I28" s="174" t="n">
        <v>6</v>
      </c>
      <c r="J28" s="174" t="n">
        <v>19</v>
      </c>
      <c r="K28" s="175" t="inlineStr">
        <is>
          <t>2618 JD LOGISTICS; 1880 CTG DUTY-FREE; 2460 CR BEVERAGE; 3750 CATL; 1276 HENGRUI PHARMA; 6031 SANY HEAVY IND; 3696 INSILICO; 0470 WUXI LEAD; 3952 LAIFUAL; 6880 MOMENTA-W; 3308 ZJ INNOLIGHT</t>
        </is>
      </c>
    </row>
    <row r="29">
      <c r="A29" s="17" t="inlineStr">
        <is>
          <t>BlackRock, Inc</t>
        </is>
      </c>
      <c r="B29" s="167" t="n">
        <v>10</v>
      </c>
      <c r="C29" s="173" t="n">
        <v>60</v>
      </c>
      <c r="D29" s="174" t="n">
        <v>72.5</v>
      </c>
      <c r="E29" s="174" t="n">
        <v>73.59999999999999</v>
      </c>
      <c r="F29" s="174" t="n">
        <v>36.9</v>
      </c>
      <c r="G29" s="174" t="n">
        <v>11.8</v>
      </c>
      <c r="H29" s="174" t="n">
        <v>-0.1</v>
      </c>
      <c r="I29" s="174" t="n">
        <v>-14.8</v>
      </c>
      <c r="J29" s="174" t="n">
        <v>-31.6</v>
      </c>
      <c r="K29" s="175" t="inlineStr">
        <is>
          <t>1024 KUAISHOU-W; 9959 LINKLOGIS–W; 9960 KINDSTAR GLOBAL; 2256 ABBISKO-B; 6031 SANY HEAVY IND; 1879 XIZHI TECH-P; 7666 METIS TECHBIO-P; 6715 XUNLONG SCITECH; 6880 MOMENTA-W; 3308 ZJ INNOLIGHT</t>
        </is>
      </c>
    </row>
    <row r="30">
      <c r="A30" s="17" t="inlineStr">
        <is>
          <t>Aspex Master Fund</t>
        </is>
      </c>
      <c r="B30" s="167" t="n">
        <v>10</v>
      </c>
      <c r="C30" s="173" t="n">
        <v>60</v>
      </c>
      <c r="D30" s="174" t="n">
        <v>62.6</v>
      </c>
      <c r="E30" s="174" t="n">
        <v>75.90000000000001</v>
      </c>
      <c r="F30" s="174" t="n">
        <v>58</v>
      </c>
      <c r="G30" s="174" t="n">
        <v>121.1</v>
      </c>
      <c r="H30" s="174" t="n">
        <v>9.1</v>
      </c>
      <c r="I30" s="174" t="n">
        <v>1.5</v>
      </c>
      <c r="J30" s="174" t="n">
        <v>33.4</v>
      </c>
      <c r="K30" s="175" t="inlineStr">
        <is>
          <t>6609 HEARTCARE-B; 2252 MEDBOT-B; 1519 J&amp;T EXPRESS-W; 6082 BIREN TECH; 0100 MINIMAX-WP; 6809 MONTAGE TECH; 1879 XIZHI TECH-P; 0668 ANKER; 1377 DTECH; 3308 ZJ INNOLIGHT</t>
        </is>
      </c>
    </row>
    <row r="31">
      <c r="A31" s="17" t="inlineStr">
        <is>
          <t>Mega Prime Development Limited</t>
        </is>
      </c>
      <c r="B31" s="167" t="n">
        <v>10</v>
      </c>
      <c r="C31" s="173" t="n">
        <v>90</v>
      </c>
      <c r="D31" s="174" t="n">
        <v>38.1</v>
      </c>
      <c r="E31" s="174" t="n">
        <v>43.7</v>
      </c>
      <c r="F31" s="174" t="n">
        <v>42</v>
      </c>
      <c r="G31" s="174" t="n">
        <v>59</v>
      </c>
      <c r="H31" s="174" t="n">
        <v>4.7</v>
      </c>
      <c r="I31" s="174" t="n">
        <v>4.8</v>
      </c>
      <c r="J31" s="174" t="n">
        <v>19.6</v>
      </c>
      <c r="K31" s="175" t="inlineStr">
        <is>
          <t>9879 MIGAO GROUP; 1318 MAO GEPING; 2050 SANHUA; 6603 IFBH; 1304 FORTIOR; 2657 FOREST CABIN; 2675 EDGE MEDICAL-B; 2476 VGT; 1609 STAR SPORTS MED; 1779 LONGBIO-B</t>
        </is>
      </c>
    </row>
    <row r="32">
      <c r="A32" s="17" t="inlineStr">
        <is>
          <t>Value Partners Hong Kong Limited</t>
        </is>
      </c>
      <c r="B32" s="167" t="n">
        <v>10</v>
      </c>
      <c r="C32" s="173" t="n">
        <v>80</v>
      </c>
      <c r="D32" s="174" t="n">
        <v>34</v>
      </c>
      <c r="E32" s="174" t="n">
        <v>33.9</v>
      </c>
      <c r="F32" s="174" t="n">
        <v>25.4</v>
      </c>
      <c r="G32" s="174" t="n">
        <v>46.8</v>
      </c>
      <c r="H32" s="174" t="n">
        <v>-0.6</v>
      </c>
      <c r="I32" s="174" t="n">
        <v>-5.6</v>
      </c>
      <c r="J32" s="174" t="n">
        <v>7.7</v>
      </c>
      <c r="K32" s="175" t="inlineStr">
        <is>
          <t>2285 CHERVON; 1497 YAN PALACE; 3288 HAITIAN FLAV; 2595 GENFLEET-B; 1989 DELTON; 3277 GPIXEL; 1779 LONGBIO-B; 3661 SG MICRO; 1688 LINGYI ITECH; 0668 ANKER</t>
        </is>
      </c>
    </row>
    <row r="33">
      <c r="A33" s="17" t="inlineStr">
        <is>
          <t>LAV Star Opportunities Limited</t>
        </is>
      </c>
      <c r="B33" s="167" t="n">
        <v>10</v>
      </c>
      <c r="C33" s="173" t="n">
        <v>50</v>
      </c>
      <c r="D33" s="174" t="n">
        <v>22.8</v>
      </c>
      <c r="E33" s="174" t="n">
        <v>26.1</v>
      </c>
      <c r="F33" s="174" t="n">
        <v>12.5</v>
      </c>
      <c r="G33" s="174" t="n">
        <v>4.7</v>
      </c>
      <c r="H33" s="174" t="n">
        <v>3.5</v>
      </c>
      <c r="I33" s="174" t="n">
        <v>-9.199999999999999</v>
      </c>
      <c r="J33" s="174" t="n">
        <v>-17.6</v>
      </c>
      <c r="K33" s="175" t="inlineStr">
        <is>
          <t>2171 CARSGEN-B; 2162 KEYMED BIO-B; 6628 TRANSCENTA-B; 2256 ABBISKO-B; 2235 MICROTECH MED-B; 2252 MEDBOT-B; 2251 AIRDOC-B; 2279 YONGHE MEDICAL; 9606 DUALITYBIO-B; 7630 IMPACT THERAP-B</t>
        </is>
      </c>
    </row>
    <row r="34">
      <c r="A34" s="17" t="inlineStr">
        <is>
          <t>Foresight Funds</t>
        </is>
      </c>
      <c r="B34" s="167" t="n">
        <v>10</v>
      </c>
      <c r="C34" s="173" t="n">
        <v>60</v>
      </c>
      <c r="D34" s="174" t="n">
        <v>15.1</v>
      </c>
      <c r="E34" s="174" t="n">
        <v>14.7</v>
      </c>
      <c r="F34" s="174" t="n">
        <v>15.9</v>
      </c>
      <c r="G34" s="174" t="n">
        <v>3.8</v>
      </c>
      <c r="H34" s="174" t="n">
        <v>0.7</v>
      </c>
      <c r="I34" s="174" t="n">
        <v>4.5</v>
      </c>
      <c r="J34" s="174" t="n">
        <v>-10.3</v>
      </c>
      <c r="K34" s="175"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167" t="n">
        <v>9</v>
      </c>
      <c r="C35" s="173" t="n">
        <v>67</v>
      </c>
      <c r="D35" s="174" t="n">
        <v>61.7</v>
      </c>
      <c r="E35" s="174" t="n">
        <v>74.90000000000001</v>
      </c>
      <c r="F35" s="174" t="n">
        <v>61.5</v>
      </c>
      <c r="G35" s="174" t="n">
        <v>182.3</v>
      </c>
      <c r="H35" s="174" t="n">
        <v>0.8</v>
      </c>
      <c r="I35" s="174" t="n">
        <v>-1.4</v>
      </c>
      <c r="J35" s="174" t="n">
        <v>44.8</v>
      </c>
      <c r="K35" s="175" t="inlineStr">
        <is>
          <t>2155 MORIMATSU INTL; 6669 ACOTEC-B; 6990 SKB BIO-B; 0100 MINIMAX-WP; 9630 CFMEE; 9637 ALEBUND-B; 2475 LUXSHARE ICT; 6951 CCTC; 2249 NEXCHIP</t>
        </is>
      </c>
    </row>
    <row r="36">
      <c r="A36" s="17" t="inlineStr">
        <is>
          <t>E Fund Management Co., Ltd</t>
        </is>
      </c>
      <c r="B36" s="167" t="n">
        <v>9</v>
      </c>
      <c r="C36" s="173" t="n">
        <v>89</v>
      </c>
      <c r="D36" s="174" t="n">
        <v>44.9</v>
      </c>
      <c r="E36" s="174" t="n">
        <v>51.3</v>
      </c>
      <c r="F36" s="174" t="n">
        <v>46.2</v>
      </c>
      <c r="G36" s="174" t="n">
        <v>84.40000000000001</v>
      </c>
      <c r="H36" s="174" t="n">
        <v>6.1</v>
      </c>
      <c r="I36" s="174" t="n">
        <v>4.6</v>
      </c>
      <c r="J36" s="174" t="n">
        <v>24.8</v>
      </c>
      <c r="K36" s="175" t="inlineStr">
        <is>
          <t>9606 DUALITYBIO-B; 2698 SOFTCARE; 3696 INSILICO; 9611 LONGCHEER; 2768 GON TECHNOLOGY; 3277 GPIXEL; 1191 CREALIGHTS; 9637 ALEBUND-B; 1377 DTECH</t>
        </is>
      </c>
    </row>
    <row r="37">
      <c r="A37" s="17" t="inlineStr">
        <is>
          <t>Morgan Stanley &amp; Co. International plc</t>
        </is>
      </c>
      <c r="B37" s="167" t="n">
        <v>9</v>
      </c>
      <c r="C37" s="173" t="n">
        <v>56</v>
      </c>
      <c r="D37" s="174" t="n">
        <v>18.2</v>
      </c>
      <c r="E37" s="174" t="n">
        <v>20.4</v>
      </c>
      <c r="F37" s="174" t="n">
        <v>16.3</v>
      </c>
      <c r="G37" s="174" t="n">
        <v>63</v>
      </c>
      <c r="H37" s="174" t="n">
        <v>1.6</v>
      </c>
      <c r="I37" s="174" t="n">
        <v>-2.3</v>
      </c>
      <c r="J37" s="174" t="n">
        <v>26.4</v>
      </c>
      <c r="K37" s="175" t="inlineStr">
        <is>
          <t>2561 VISEN PHARMA-B; 2050 SANHUA; 6166 CIG; 3200 HANS CNC; 6809 MONTAGE TECH; 1021 HUAYAN ROBOTICS; 2476 VGT; 1688 LINGYI ITECH; 3308 ZJ INNOLIGHT</t>
        </is>
      </c>
    </row>
    <row r="38">
      <c r="A38" s="17" t="inlineStr">
        <is>
          <t>Suzhou Harvest International Co., Limited</t>
        </is>
      </c>
      <c r="B38" s="167" t="n">
        <v>9</v>
      </c>
      <c r="C38" s="173" t="n">
        <v>33</v>
      </c>
      <c r="D38" s="174" t="n">
        <v>16.7</v>
      </c>
      <c r="E38" s="174" t="n">
        <v>8.4</v>
      </c>
      <c r="F38" s="174" t="n">
        <v>5.9</v>
      </c>
      <c r="G38" s="174" t="n">
        <v>44.6</v>
      </c>
      <c r="H38" s="174" t="n">
        <v>-5.2</v>
      </c>
      <c r="I38" s="174" t="n">
        <v>-10.1</v>
      </c>
      <c r="J38" s="174" t="n">
        <v>-0.4</v>
      </c>
      <c r="K38" s="175" t="inlineStr">
        <is>
          <t>2152 SUXIN SERVICES; 2479 TIANJUDIHE; 2561 VISEN PHARMA-B; 9606 DUALITYBIO-B; 2630 VIGONVITA-B; 2581 BENQ HOLDING; 2692 ZHAOWEI; 6880 MOMENTA-W; 0537 RIGOL</t>
        </is>
      </c>
    </row>
    <row r="39">
      <c r="A39" s="17" t="inlineStr">
        <is>
          <t>FIL Investment Management (Hong Kong) Limited</t>
        </is>
      </c>
      <c r="B39" s="167" t="n">
        <v>8</v>
      </c>
      <c r="C39" s="173" t="n">
        <v>75</v>
      </c>
      <c r="D39" s="174" t="n">
        <v>72.5</v>
      </c>
      <c r="E39" s="174" t="n">
        <v>81.40000000000001</v>
      </c>
      <c r="F39" s="174" t="n">
        <v>51.9</v>
      </c>
      <c r="G39" s="174" t="n">
        <v>31.5</v>
      </c>
      <c r="H39" s="174" t="n">
        <v>2.1</v>
      </c>
      <c r="I39" s="174" t="n">
        <v>-4.6</v>
      </c>
      <c r="J39" s="174" t="n">
        <v>-19.7</v>
      </c>
      <c r="K39" s="175" t="inlineStr">
        <is>
          <t>1024 KUAISHOU-W; 2192 MEDLIVE; 2657 FOREST CABIN; 2714 MUYUAN; 1879 XIZHI TECH-P; 6880 MOMENTA-W; 7687 EACON; 2475 LUXSHARE ICT</t>
        </is>
      </c>
    </row>
    <row r="40">
      <c r="A40" s="17" t="inlineStr">
        <is>
          <t>China Asset Management (Hong Kong) Limited</t>
        </is>
      </c>
      <c r="B40" s="167" t="n">
        <v>8</v>
      </c>
      <c r="C40" s="173" t="n">
        <v>88</v>
      </c>
      <c r="D40" s="174" t="n">
        <v>54.4</v>
      </c>
      <c r="E40" s="174" t="n">
        <v>49.6</v>
      </c>
      <c r="F40" s="174" t="n">
        <v>30.7</v>
      </c>
      <c r="G40" s="174" t="n">
        <v>17.5</v>
      </c>
      <c r="H40" s="174" t="n">
        <v>-1.1</v>
      </c>
      <c r="I40" s="174" t="n">
        <v>-12.8</v>
      </c>
      <c r="J40" s="174" t="n">
        <v>-25.6</v>
      </c>
      <c r="K40" s="175" t="inlineStr">
        <is>
          <t>2160 CARDIOFLOW-B; 2675 EDGE MEDICAL-B; 6938 RIBOLIFE-B; 3636 JINXUN RESOURCE; 3277 GPIXEL; 7666 METIS TECHBIO-P; 7688 TOPNC; 6880 MOMENTA-W</t>
        </is>
      </c>
    </row>
    <row r="41">
      <c r="A41" s="17" t="inlineStr">
        <is>
          <t>Zhejiang Innoforce Pharmaceuticals Co., Ltd</t>
        </is>
      </c>
      <c r="B41" s="167" t="n">
        <v>8</v>
      </c>
      <c r="C41" s="173" t="n">
        <v>38</v>
      </c>
      <c r="D41" s="174" t="n">
        <v>-7.3</v>
      </c>
      <c r="E41" s="174" t="n">
        <v>-8.5</v>
      </c>
      <c r="F41" s="174" t="n">
        <v>0.9</v>
      </c>
      <c r="G41" s="174" t="n">
        <v>22.1</v>
      </c>
      <c r="H41" s="174" t="n">
        <v>-2</v>
      </c>
      <c r="I41" s="174" t="n">
        <v>7.3</v>
      </c>
      <c r="J41" s="174" t="n">
        <v>32.9</v>
      </c>
      <c r="K41" s="175" t="inlineStr">
        <is>
          <t>2257 SIRNAOMICS-B; 6661 HUZHOU GAS; 9863 LEAPMOTOR; 6610 FLOWING CLOUD; 2420 ZIBUYU; 9930 HORIZON CD; 9690 TUHU-W; 1274 IMOTIONAUTOTECH</t>
        </is>
      </c>
    </row>
    <row r="42">
      <c r="A42" s="17" t="inlineStr">
        <is>
          <t>WuXi Biologics HealthCare Venture</t>
        </is>
      </c>
      <c r="B42" s="167" t="n">
        <v>7</v>
      </c>
      <c r="C42" s="173" t="n">
        <v>57</v>
      </c>
      <c r="D42" s="174" t="n">
        <v>32.2</v>
      </c>
      <c r="E42" s="174" t="n">
        <v>68.7</v>
      </c>
      <c r="F42" s="174" t="n">
        <v>39.3</v>
      </c>
      <c r="G42" s="174" t="n">
        <v>36.5</v>
      </c>
      <c r="H42" s="174" t="n">
        <v>15.3</v>
      </c>
      <c r="I42" s="174" t="n">
        <v>2.1</v>
      </c>
      <c r="J42" s="174" t="n">
        <v>-0.9</v>
      </c>
      <c r="K42" s="175" t="inlineStr">
        <is>
          <t>2155 MORIMATSU INTL; 1228 CANBRIDGE-B; 2407 GAUSH MEDITECH; 2487 CUTIA-B; 1541 IMMUNEONCO-B; 6831 GREEN TEA GROUP; 2493 MABWELL-B</t>
        </is>
      </c>
    </row>
    <row r="43">
      <c r="A43" s="17" t="inlineStr">
        <is>
          <t>Dajia Life Insurance Co., Ltd</t>
        </is>
      </c>
      <c r="B43" s="167" t="n">
        <v>7</v>
      </c>
      <c r="C43" s="173" t="n">
        <v>100</v>
      </c>
      <c r="D43" s="174" t="n">
        <v>17.4</v>
      </c>
      <c r="E43" s="174" t="n">
        <v>17.9</v>
      </c>
      <c r="F43" s="174" t="n">
        <v>26.1</v>
      </c>
      <c r="G43" s="174" t="n">
        <v>26.6</v>
      </c>
      <c r="H43" s="174" t="n">
        <v>0.7</v>
      </c>
      <c r="I43" s="174" t="n">
        <v>7.8</v>
      </c>
      <c r="J43" s="174" t="n">
        <v>9.800000000000001</v>
      </c>
      <c r="K43" s="175" t="inlineStr">
        <is>
          <t>0300 MIDEA GROUP; 9973 CHERY AUTO; 2657 FOREST CABIN; 0501 OMNIVISION; 2714 MUYUAN; 1989 DELTON; 3661 SG MICRO</t>
        </is>
      </c>
    </row>
    <row r="44">
      <c r="A44" s="17" t="inlineStr">
        <is>
          <t>Jump Trading Pacific Pte. Ltd</t>
        </is>
      </c>
      <c r="B44" s="167" t="n">
        <v>7</v>
      </c>
      <c r="C44" s="173" t="n">
        <v>86</v>
      </c>
      <c r="D44" s="174" t="n">
        <v>14.5</v>
      </c>
      <c r="E44" s="174" t="n">
        <v>18.9</v>
      </c>
      <c r="F44" s="174" t="n">
        <v>24.9</v>
      </c>
      <c r="G44" s="174" t="n">
        <v>13</v>
      </c>
      <c r="H44" s="174" t="n">
        <v>3.7</v>
      </c>
      <c r="I44" s="174" t="n">
        <v>7.8</v>
      </c>
      <c r="J44" s="174" t="n">
        <v>-1.6</v>
      </c>
      <c r="K44" s="175" t="inlineStr">
        <is>
          <t>0300 MIDEA GROUP; 6168 ZHOU LIU FU; 0699 JOYSON ELEC; 9981 WOER; 2692 ZHAOWEI; 2476 VGT; 3388 CREALITY</t>
        </is>
      </c>
    </row>
    <row r="45">
      <c r="A45" s="17" t="inlineStr">
        <is>
          <t>Jane Street Asia Trading Limited</t>
        </is>
      </c>
      <c r="B45" s="167" t="n">
        <v>7</v>
      </c>
      <c r="C45" s="173" t="n">
        <v>71</v>
      </c>
      <c r="D45" s="174" t="n">
        <v>13.7</v>
      </c>
      <c r="E45" s="174" t="n">
        <v>17.1</v>
      </c>
      <c r="F45" s="174" t="n">
        <v>24.1</v>
      </c>
      <c r="G45" s="174" t="n">
        <v>43</v>
      </c>
      <c r="H45" s="174" t="n">
        <v>2.7</v>
      </c>
      <c r="I45" s="174" t="n">
        <v>9.300000000000001</v>
      </c>
      <c r="J45" s="174" t="n">
        <v>24.5</v>
      </c>
      <c r="K45" s="175" t="inlineStr">
        <is>
          <t>2050 SANHUA; 6603 IFBH; 6031 SANY HEAVY IND; 2788 CHUANGXIN IND; 2714 MUYUAN; 0668 ANKER; 2475 LUXSHARE ICT</t>
        </is>
      </c>
    </row>
    <row r="46">
      <c r="A46" s="17" t="inlineStr">
        <is>
          <t>PSBC Wealth Management Co., Ltd</t>
        </is>
      </c>
      <c r="B46" s="167" t="n">
        <v>7</v>
      </c>
      <c r="C46" s="173" t="n">
        <v>43</v>
      </c>
      <c r="D46" s="174" t="n">
        <v>9.4</v>
      </c>
      <c r="E46" s="174" t="n">
        <v>10.7</v>
      </c>
      <c r="F46" s="174" t="n">
        <v>4.8</v>
      </c>
      <c r="G46" s="174" t="n">
        <v>20.1</v>
      </c>
      <c r="H46" s="174" t="n">
        <v>1.5</v>
      </c>
      <c r="I46" s="174" t="n">
        <v>-3.1</v>
      </c>
      <c r="J46" s="174" t="n">
        <v>14.7</v>
      </c>
      <c r="K46" s="175" t="inlineStr">
        <is>
          <t>0300 MIDEA GROUP; 3750 CATL; 2050 SANHUA; 2580 AUX ELECTRIC; 1081 DAJIN; 3661 SG MICRO; 2249 NEXCHIP</t>
        </is>
      </c>
    </row>
    <row r="47">
      <c r="A47" s="17" t="inlineStr">
        <is>
          <t>Pinpoint Asset Management Limited</t>
        </is>
      </c>
      <c r="B47" s="167" t="n">
        <v>7</v>
      </c>
      <c r="C47" s="173" t="n">
        <v>43</v>
      </c>
      <c r="D47" s="174" t="n">
        <v>6.5</v>
      </c>
      <c r="E47" s="174" t="n">
        <v>6.7</v>
      </c>
      <c r="F47" s="174" t="n">
        <v>-4.5</v>
      </c>
      <c r="G47" s="174" t="n">
        <v>-0.4</v>
      </c>
      <c r="H47" s="174" t="n">
        <v>-0.4</v>
      </c>
      <c r="I47" s="174" t="n">
        <v>-10.6</v>
      </c>
      <c r="J47" s="174" t="n">
        <v>-8.4</v>
      </c>
      <c r="K47" s="175" t="inlineStr">
        <is>
          <t>2160 CARDIOFLOW-B; 6669 ACOTEC-B; 1304 FORTIOR; 9980 EASTROC; 0470 WUXI LEAD; 1081 DAJIN; 2249 NEXCHIP</t>
        </is>
      </c>
    </row>
    <row r="48">
      <c r="A48" s="17" t="inlineStr">
        <is>
          <t>Hudson Bay Master Fund Ltd</t>
        </is>
      </c>
      <c r="B48" s="167" t="n">
        <v>7</v>
      </c>
      <c r="C48" s="173" t="n">
        <v>43</v>
      </c>
      <c r="D48" s="174" t="n">
        <v>5.7</v>
      </c>
      <c r="E48" s="174" t="n">
        <v>2.9</v>
      </c>
      <c r="F48" s="174" t="n">
        <v>-8.4</v>
      </c>
      <c r="G48" s="174" t="n">
        <v>-28.2</v>
      </c>
      <c r="H48" s="174" t="n">
        <v>-2.5</v>
      </c>
      <c r="I48" s="174" t="n">
        <v>-13</v>
      </c>
      <c r="J48" s="174" t="n">
        <v>-33</v>
      </c>
      <c r="K48" s="175" t="inlineStr">
        <is>
          <t>2190 ZYLOXTB-B; 2162 KEYMED BIO-B; 2256 ABBISKO-B; 2235 MICROTECH MED-B; 1228 CANBRIDGE-B; 2279 YONGHE MEDICAL; 6639 ARRAIL GROUP</t>
        </is>
      </c>
    </row>
    <row r="49">
      <c r="A49" s="17" t="inlineStr">
        <is>
          <t>CITIC-Prudential Life Insurance Company Limited</t>
        </is>
      </c>
      <c r="B49" s="167" t="n">
        <v>7</v>
      </c>
      <c r="C49" s="173" t="n">
        <v>43</v>
      </c>
      <c r="D49" s="174" t="n">
        <v>-2.9</v>
      </c>
      <c r="E49" s="174" t="n">
        <v>-2</v>
      </c>
      <c r="F49" s="174" t="n">
        <v>2.5</v>
      </c>
      <c r="G49" s="174" t="n">
        <v>7.2</v>
      </c>
      <c r="H49" s="174" t="n">
        <v>-0.3</v>
      </c>
      <c r="I49" s="174" t="n">
        <v>3</v>
      </c>
      <c r="J49" s="174" t="n">
        <v>-0.1</v>
      </c>
      <c r="K49" s="175" t="inlineStr">
        <is>
          <t>9858 YOURAN DAIRY; 6680 JLMAG; 3288 HAITIAN FLAV; 6168 ZHOU LIU FU; 3388 CREALITY; 0537 RIGOL; 9976 LONGSYS</t>
        </is>
      </c>
    </row>
    <row r="50">
      <c r="A50" s="17" t="inlineStr">
        <is>
          <t>Hongkong Ruihua Investment Management Limited</t>
        </is>
      </c>
      <c r="B50" s="167" t="n">
        <v>7</v>
      </c>
      <c r="C50" s="173" t="n">
        <v>29</v>
      </c>
      <c r="D50" s="174" t="n">
        <v>-3.2</v>
      </c>
      <c r="E50" s="174" t="n">
        <v>-7.8</v>
      </c>
      <c r="F50" s="174" t="n">
        <v>-3.1</v>
      </c>
      <c r="G50" s="174" t="n">
        <v>-5.8</v>
      </c>
      <c r="H50" s="174" t="n">
        <v>-5.8</v>
      </c>
      <c r="I50" s="174" t="n">
        <v>-1.6</v>
      </c>
      <c r="J50" s="174" t="n">
        <v>-7.6</v>
      </c>
      <c r="K50" s="175" t="inlineStr">
        <is>
          <t>1228 CANBRIDGE-B; 2245 LYGEND RESOURCE; 2529 HOLLWIN URBAN; 9680 CHENQI TECH; 2519 AUGROUP; 2582 GUOFUHEE; 1187 COFOE MEDICAL</t>
        </is>
      </c>
    </row>
    <row r="51">
      <c r="A51" s="17" t="inlineStr">
        <is>
          <t>The Valliance Fund</t>
        </is>
      </c>
      <c r="B51" s="167" t="n">
        <v>7</v>
      </c>
      <c r="C51" s="173" t="n">
        <v>29</v>
      </c>
      <c r="D51" s="174" t="n">
        <v>-6.1</v>
      </c>
      <c r="E51" s="174" t="n">
        <v>-5.3</v>
      </c>
      <c r="F51" s="174" t="n">
        <v>-4.9</v>
      </c>
      <c r="G51" s="174" t="n">
        <v>-23.8</v>
      </c>
      <c r="H51" s="174" t="n">
        <v>-0.1</v>
      </c>
      <c r="I51" s="174" t="n">
        <v>-1</v>
      </c>
      <c r="J51" s="174" t="n">
        <v>-19.7</v>
      </c>
      <c r="K51" s="175" t="inlineStr">
        <is>
          <t>6127 JOINN; 2219 CHAOJU EYE CARE; 2137 BRII - B; 6609 HEARTCARE-B; 6669 ACOTEC-B; 2216 BRONCUS-B; 0600 AXERA</t>
        </is>
      </c>
    </row>
    <row r="52">
      <c r="A52" s="17" t="inlineStr">
        <is>
          <t>Schroders</t>
        </is>
      </c>
      <c r="B52" s="167" t="n">
        <v>6</v>
      </c>
      <c r="C52" s="173" t="n">
        <v>67</v>
      </c>
      <c r="D52" s="174" t="n">
        <v>73.09999999999999</v>
      </c>
      <c r="E52" s="174" t="n">
        <v>78.59999999999999</v>
      </c>
      <c r="F52" s="174" t="n">
        <v>75.90000000000001</v>
      </c>
      <c r="G52" s="174" t="n">
        <v>55.8</v>
      </c>
      <c r="H52" s="174" t="n">
        <v>4.2</v>
      </c>
      <c r="I52" s="174" t="n">
        <v>17.4</v>
      </c>
      <c r="J52" s="174" t="n">
        <v>21.8</v>
      </c>
      <c r="K52" s="175" t="inlineStr">
        <is>
          <t>2050 SANHUA; 9927 SERES; 3696 INSILICO; 3200 HANS CNC; 1879 XIZHI TECH-P; 0668 ANKER</t>
        </is>
      </c>
    </row>
    <row r="53">
      <c r="A53" s="17" t="inlineStr">
        <is>
          <t>Huadeng Technology Space Ventures Ltd</t>
        </is>
      </c>
      <c r="B53" s="167" t="n">
        <v>6</v>
      </c>
      <c r="C53" s="173" t="n">
        <v>67</v>
      </c>
      <c r="D53" s="174" t="n">
        <v>63</v>
      </c>
      <c r="E53" s="174" t="n">
        <v>51.1</v>
      </c>
      <c r="F53" s="174" t="n">
        <v>26.3</v>
      </c>
      <c r="G53" s="174" t="n">
        <v>5.5</v>
      </c>
      <c r="H53" s="174" t="n">
        <v>-9.800000000000001</v>
      </c>
      <c r="I53" s="174" t="n">
        <v>-24</v>
      </c>
      <c r="J53" s="174" t="n">
        <v>-51.3</v>
      </c>
      <c r="K53" s="175" t="inlineStr">
        <is>
          <t>6656 SIGENERGY; 7666 METIS TECHBIO-P; 3661 SG MICRO; 9630 CFMEE; 3308 ZJ INNOLIGHT; 9976 LONGSYS</t>
        </is>
      </c>
    </row>
    <row r="54">
      <c r="A54" s="17" t="inlineStr">
        <is>
          <t>Invesco Advisers, Inc</t>
        </is>
      </c>
      <c r="B54" s="167" t="n">
        <v>6</v>
      </c>
      <c r="C54" s="173" t="n">
        <v>83</v>
      </c>
      <c r="D54" s="174" t="n">
        <v>42.1</v>
      </c>
      <c r="E54" s="174" t="n">
        <v>57.4</v>
      </c>
      <c r="F54" s="174" t="n">
        <v>52.6</v>
      </c>
      <c r="G54" s="174" t="n">
        <v>25.3</v>
      </c>
      <c r="H54" s="174" t="n">
        <v>5.7</v>
      </c>
      <c r="I54" s="174" t="n">
        <v>11.5</v>
      </c>
      <c r="J54" s="174" t="n">
        <v>-9.699999999999999</v>
      </c>
      <c r="K54" s="175" t="inlineStr">
        <is>
          <t>1024 KUAISHOU-W; 2162 KEYMED BIO-B; 2137 BRII - B; 2235 MICROTECH MED-B; 2268 WUXI XDC; 1276 HENGRUI PHARMA</t>
        </is>
      </c>
    </row>
    <row r="55">
      <c r="A55" s="17" t="inlineStr">
        <is>
          <t>Baring Asset Management (Asia) Limited</t>
        </is>
      </c>
      <c r="B55" s="167" t="n">
        <v>6</v>
      </c>
      <c r="C55" s="173" t="n">
        <v>83</v>
      </c>
      <c r="D55" s="174" t="n">
        <v>38.3</v>
      </c>
      <c r="E55" s="174" t="n">
        <v>23.3</v>
      </c>
      <c r="F55" s="174" t="n">
        <v>27.5</v>
      </c>
      <c r="G55" s="174" t="n">
        <v>56</v>
      </c>
      <c r="H55" s="174" t="n">
        <v>-9</v>
      </c>
      <c r="I55" s="174" t="n">
        <v>-5.6</v>
      </c>
      <c r="J55" s="174" t="n">
        <v>9.4</v>
      </c>
      <c r="K55" s="175" t="inlineStr">
        <is>
          <t>6166 CIG; 1989 DELTON; 6656 SIGENERGY; 6715 XUNLONG SCITECH; 7687 EACON; 1377 DTECH</t>
        </is>
      </c>
    </row>
    <row r="56">
      <c r="A56" s="17" t="inlineStr">
        <is>
          <t>JPMorgan Asset Management (Asia Pacific) Limited</t>
        </is>
      </c>
      <c r="B56" s="167" t="n">
        <v>6</v>
      </c>
      <c r="C56" s="173" t="n">
        <v>83</v>
      </c>
      <c r="D56" s="174" t="n">
        <v>29.5</v>
      </c>
      <c r="E56" s="174" t="n">
        <v>21.3</v>
      </c>
      <c r="F56" s="174" t="n">
        <v>15.8</v>
      </c>
      <c r="G56" s="174" t="n">
        <v>21.2</v>
      </c>
      <c r="H56" s="174" t="n">
        <v>-3.4</v>
      </c>
      <c r="I56" s="174" t="n">
        <v>-5.7</v>
      </c>
      <c r="J56" s="174" t="n">
        <v>7</v>
      </c>
      <c r="K56" s="175" t="inlineStr">
        <is>
          <t>3296 HUAQIN; 3661 SG MICRO; 9630 CFMEE; 7687 EACON; 6951 CCTC; 3308 ZJ INNOLIGHT</t>
        </is>
      </c>
    </row>
    <row r="57">
      <c r="A57" s="17" t="inlineStr">
        <is>
          <t>CPIC Investment Management (H.K.) Company Limited</t>
        </is>
      </c>
      <c r="B57" s="167" t="n">
        <v>6</v>
      </c>
      <c r="C57" s="173" t="n">
        <v>33</v>
      </c>
      <c r="D57" s="174" t="n">
        <v>29.3</v>
      </c>
      <c r="E57" s="174" t="n">
        <v>15</v>
      </c>
      <c r="F57" s="174" t="n">
        <v>18.9</v>
      </c>
      <c r="G57" s="174" t="n">
        <v>-0.1</v>
      </c>
      <c r="H57" s="174" t="n">
        <v>-8</v>
      </c>
      <c r="I57" s="174" t="n">
        <v>-7.4</v>
      </c>
      <c r="J57" s="174" t="n">
        <v>-20.5</v>
      </c>
      <c r="K57" s="175" t="inlineStr">
        <is>
          <t>9696 TIANQI LITHIUM; 2505 EDA GROUP HLDGS; 6936 SF HOLDING; 0638 FIBOCOM; 6656 SIGENERGY; 6880 MOMENTA-W</t>
        </is>
      </c>
    </row>
    <row r="58">
      <c r="A58" s="17" t="inlineStr">
        <is>
          <t>Snow Lake Funds and Accounts</t>
        </is>
      </c>
      <c r="B58" s="167" t="n">
        <v>6</v>
      </c>
      <c r="C58" s="173" t="n">
        <v>67</v>
      </c>
      <c r="D58" s="174" t="n">
        <v>26.2</v>
      </c>
      <c r="E58" s="174" t="n">
        <v>17.2</v>
      </c>
      <c r="F58" s="174" t="n">
        <v>5.7</v>
      </c>
      <c r="G58" s="174" t="n">
        <v>10.8</v>
      </c>
      <c r="H58" s="174" t="n">
        <v>-5.1</v>
      </c>
      <c r="I58" s="174" t="n">
        <v>-14.7</v>
      </c>
      <c r="J58" s="174" t="n">
        <v>-17.5</v>
      </c>
      <c r="K58" s="175" t="inlineStr">
        <is>
          <t>2125 STRAWBEAR ENT; 2160 CARDIOFLOW-B; 2190 ZYLOXTB-B; 9960 KINDSTAR GLOBAL; 2216 BRONCUS-B; 2252 MEDBOT-B</t>
        </is>
      </c>
    </row>
    <row r="59">
      <c r="A59" s="17" t="inlineStr">
        <is>
          <t>Dymon Asia Multi-Strategy Investment Master Fund</t>
        </is>
      </c>
      <c r="B59" s="167" t="n">
        <v>6</v>
      </c>
      <c r="C59" s="173" t="n">
        <v>50</v>
      </c>
      <c r="D59" s="174" t="n">
        <v>23.9</v>
      </c>
      <c r="E59" s="174" t="n">
        <v>8.1</v>
      </c>
      <c r="F59" s="174" t="n">
        <v>-1.3</v>
      </c>
      <c r="G59" s="174" t="n">
        <v>3.4</v>
      </c>
      <c r="H59" s="174" t="n">
        <v>-8.1</v>
      </c>
      <c r="I59" s="174" t="n">
        <v>-15.6</v>
      </c>
      <c r="J59" s="174" t="n">
        <v>4.4</v>
      </c>
      <c r="K59" s="175" t="inlineStr">
        <is>
          <t>2171 CARSGEN-B; 6669 ACOTEC-B; 6166 CIG; 3661 SG MICRO; 6228 MERDEKAGOLD-DRS; 9637 ALEBUND-B</t>
        </is>
      </c>
    </row>
    <row r="60">
      <c r="A60" s="17" t="inlineStr">
        <is>
          <t>CloudAlpha Master Fund</t>
        </is>
      </c>
      <c r="B60" s="167" t="n">
        <v>6</v>
      </c>
      <c r="C60" s="173" t="n">
        <v>33</v>
      </c>
      <c r="D60" s="174" t="n">
        <v>5.7</v>
      </c>
      <c r="E60" s="174" t="n">
        <v>14.7</v>
      </c>
      <c r="F60" s="174" t="n">
        <v>10.8</v>
      </c>
      <c r="G60" s="174" t="n">
        <v>-1.1</v>
      </c>
      <c r="H60" s="174" t="n">
        <v>9.300000000000001</v>
      </c>
      <c r="I60" s="174" t="n">
        <v>3.9</v>
      </c>
      <c r="J60" s="174" t="n">
        <v>-7.6</v>
      </c>
      <c r="K60" s="175" t="inlineStr">
        <is>
          <t>2171 CARSGEN-B; 2252 MEDBOT-B; 2251 AIRDOC-B; 2476 VGT; 1377 DTECH; 3308 ZJ INNOLIGHT</t>
        </is>
      </c>
    </row>
    <row r="61">
      <c r="A61" s="17" t="inlineStr">
        <is>
          <t>Springhill Master Fund Limited</t>
        </is>
      </c>
      <c r="B61" s="167" t="n">
        <v>6</v>
      </c>
      <c r="C61" s="173" t="n">
        <v>50</v>
      </c>
      <c r="D61" s="174" t="n">
        <v>3.7</v>
      </c>
      <c r="E61" s="174" t="n">
        <v>-2.9</v>
      </c>
      <c r="F61" s="174" t="n">
        <v>11.4</v>
      </c>
      <c r="G61" s="174" t="n">
        <v>-8.699999999999999</v>
      </c>
      <c r="H61" s="174" t="n">
        <v>-6.9</v>
      </c>
      <c r="I61" s="174" t="n">
        <v>6.4</v>
      </c>
      <c r="J61" s="174" t="n">
        <v>-13.4</v>
      </c>
      <c r="K61" s="175" t="inlineStr">
        <is>
          <t>2162 KEYMED BIO-B; 2137 BRII - B; 2192 MEDLIVE; 2216 BRONCUS-B; 2235 MICROTECH MED-B; 2197 CLOVER BIO-B</t>
        </is>
      </c>
    </row>
    <row r="62">
      <c r="A62" s="17" t="inlineStr">
        <is>
          <t>Green Better</t>
        </is>
      </c>
      <c r="B62" s="167" t="n">
        <v>6</v>
      </c>
      <c r="C62" s="173" t="n">
        <v>50</v>
      </c>
      <c r="D62" s="174" t="n">
        <v>2.3</v>
      </c>
      <c r="E62" s="174" t="n">
        <v>5.9</v>
      </c>
      <c r="F62" s="174" t="n">
        <v>11.7</v>
      </c>
      <c r="G62" s="174" t="n">
        <v>19.7</v>
      </c>
      <c r="H62" s="174" t="n">
        <v>3.6</v>
      </c>
      <c r="I62" s="174" t="n">
        <v>8.6</v>
      </c>
      <c r="J62" s="174" t="n">
        <v>16.3</v>
      </c>
      <c r="K62" s="175" t="inlineStr">
        <is>
          <t>3658 NEW HOPE SERV; 1948 UJU HOLDING; 2050 SANHUA; 6613 LENS; 2676 NOVOSENSE; 3296 HUAQIN</t>
        </is>
      </c>
    </row>
    <row r="63">
      <c r="A63" s="17" t="inlineStr">
        <is>
          <t>Verition Multi-Strategy Master Fund Ltd</t>
        </is>
      </c>
      <c r="B63" s="167" t="n">
        <v>6</v>
      </c>
      <c r="C63" s="173" t="n">
        <v>33</v>
      </c>
      <c r="D63" s="174" t="n">
        <v>1.2</v>
      </c>
      <c r="E63" s="174" t="n">
        <v>1.8</v>
      </c>
      <c r="F63" s="174" t="n">
        <v>2.4</v>
      </c>
      <c r="G63" s="174" t="n">
        <v>73.59999999999999</v>
      </c>
      <c r="H63" s="174" t="n">
        <v>0.7</v>
      </c>
      <c r="I63" s="174" t="n">
        <v>0.9</v>
      </c>
      <c r="J63" s="174" t="n">
        <v>66.3</v>
      </c>
      <c r="K63" s="175" t="inlineStr">
        <is>
          <t>2050 SANHUA; 6613 LENS; 1688 LINGYI ITECH; 6951 CCTC; 1377 DTECH; 2249 NEXCHIP</t>
        </is>
      </c>
    </row>
    <row r="64">
      <c r="A64" s="17" t="inlineStr">
        <is>
          <t>Jiangsu Pure Precision Technology Co., Ltd</t>
        </is>
      </c>
      <c r="B64" s="167" t="n">
        <v>6</v>
      </c>
      <c r="C64" s="173" t="n">
        <v>33</v>
      </c>
      <c r="D64" s="174" t="n">
        <v>-0.5</v>
      </c>
      <c r="E64" s="174" t="n">
        <v>-1.3</v>
      </c>
      <c r="F64" s="174" t="n">
        <v>4.8</v>
      </c>
      <c r="G64" s="174" t="n">
        <v>9.4</v>
      </c>
      <c r="H64" s="174" t="n">
        <v>-0.6</v>
      </c>
      <c r="I64" s="174" t="n">
        <v>6</v>
      </c>
      <c r="J64" s="174" t="n">
        <v>10.7</v>
      </c>
      <c r="K64" s="175" t="inlineStr">
        <is>
          <t>3931 CALB; 2407 GAUSH MEDITECH; 2517 GUOQUAN; 6657 BAIWANG CO; 2495 VOICECOMM; 2577 INNOSCIENCE</t>
        </is>
      </c>
    </row>
    <row r="65">
      <c r="A65" s="17" t="inlineStr">
        <is>
          <t>China Structural Reform Fund Corporation Limited</t>
        </is>
      </c>
      <c r="B65" s="167" t="n">
        <v>6</v>
      </c>
      <c r="C65" s="173" t="n">
        <v>17</v>
      </c>
      <c r="D65" s="174" t="n">
        <v>-5.7</v>
      </c>
      <c r="E65" s="174" t="n">
        <v>-2</v>
      </c>
      <c r="F65" s="174" t="n">
        <v>-7.2</v>
      </c>
      <c r="G65" s="174" t="n">
        <v>-10.1</v>
      </c>
      <c r="H65" s="174" t="n">
        <v>3.6</v>
      </c>
      <c r="I65" s="174" t="n">
        <v>-3.4</v>
      </c>
      <c r="J65" s="174" t="n">
        <v>-6.3</v>
      </c>
      <c r="K65" s="175" t="inlineStr">
        <is>
          <t>6127 JOINN; 6608 BAIRONG-W; 6628 TRANSCENTA-B; 1880 CTG DUTY-FREE; 2507 CIRRUS; 0300 MIDEA GROUP</t>
        </is>
      </c>
    </row>
    <row r="66">
      <c r="A66" s="17" t="inlineStr">
        <is>
          <t>Alibaba Investment Limited</t>
        </is>
      </c>
      <c r="B66" s="167" t="n">
        <v>5</v>
      </c>
      <c r="C66" s="173" t="n">
        <v>60</v>
      </c>
      <c r="D66" s="174" t="n">
        <v>82.3</v>
      </c>
      <c r="E66" s="174" t="n">
        <v>92.40000000000001</v>
      </c>
      <c r="F66" s="174" t="n">
        <v>53.3</v>
      </c>
      <c r="G66" s="174" t="n">
        <v>97.40000000000001</v>
      </c>
      <c r="H66" s="174" t="n">
        <v>7.8</v>
      </c>
      <c r="I66" s="174" t="n">
        <v>-6.7</v>
      </c>
      <c r="J66" s="174" t="n">
        <v>21.2</v>
      </c>
      <c r="K66" s="175" t="inlineStr">
        <is>
          <t>2566 JIUYUAN GENE; 6809 MONTAGE TECH; 1879 XIZHI TECH-P; 6951 CCTC; 3308 ZJ INNOLIGHT</t>
        </is>
      </c>
    </row>
    <row r="67">
      <c r="A67" s="17" t="inlineStr">
        <is>
          <t>China Orient Multi-Strategy Master Fund</t>
        </is>
      </c>
      <c r="B67" s="167" t="n">
        <v>5</v>
      </c>
      <c r="C67" s="173" t="n">
        <v>80</v>
      </c>
      <c r="D67" s="174" t="n">
        <v>80.5</v>
      </c>
      <c r="E67" s="174" t="n">
        <v>69.3</v>
      </c>
      <c r="F67" s="174" t="n">
        <v>78</v>
      </c>
      <c r="G67" s="174" t="n">
        <v>87</v>
      </c>
      <c r="H67" s="174" t="n">
        <v>-3.1</v>
      </c>
      <c r="I67" s="174" t="n">
        <v>-2.3</v>
      </c>
      <c r="J67" s="174" t="n">
        <v>23.1</v>
      </c>
      <c r="K67" s="175" t="inlineStr">
        <is>
          <t>2158 YIDU TECH; 2191 SF REIT; 9903 ILUVATAR COREX; 6872 TENNOR THERAP-B; 1956 WENGE AI</t>
        </is>
      </c>
    </row>
    <row r="68">
      <c r="A68" s="17" t="inlineStr">
        <is>
          <t>RIME Capital Limited</t>
        </is>
      </c>
      <c r="B68" s="167" t="n">
        <v>5</v>
      </c>
      <c r="C68" s="173" t="n">
        <v>100</v>
      </c>
      <c r="D68" s="174" t="n">
        <v>78.90000000000001</v>
      </c>
      <c r="E68" s="174" t="n">
        <v>100.4</v>
      </c>
      <c r="F68" s="174" t="n">
        <v>73.8</v>
      </c>
      <c r="G68" s="174" t="n">
        <v>29.3</v>
      </c>
      <c r="H68" s="174" t="n">
        <v>9.6</v>
      </c>
      <c r="I68" s="174" t="n">
        <v>-3.1</v>
      </c>
      <c r="J68" s="174" t="n">
        <v>-21.6</v>
      </c>
      <c r="K68" s="175" t="inlineStr">
        <is>
          <t>2655 GUOXIA TECH; 9981 WOER; 2692 ZHAOWEI; 0068 MANYCORE TECH; 6675 SENASIC</t>
        </is>
      </c>
    </row>
    <row r="69">
      <c r="A69" s="17" t="inlineStr">
        <is>
          <t>SensePower Management Limited</t>
        </is>
      </c>
      <c r="B69" s="167" t="n">
        <v>5</v>
      </c>
      <c r="C69" s="173" t="n">
        <v>60</v>
      </c>
      <c r="D69" s="174" t="n">
        <v>39.1</v>
      </c>
      <c r="E69" s="174" t="n">
        <v>8.6</v>
      </c>
      <c r="F69" s="174" t="n">
        <v>20.4</v>
      </c>
      <c r="G69" s="174" t="n">
        <v>34.5</v>
      </c>
      <c r="H69" s="174" t="n">
        <v>-0.2</v>
      </c>
      <c r="I69" s="174" t="n">
        <v>9.6</v>
      </c>
      <c r="J69" s="174" t="n">
        <v>22.3</v>
      </c>
      <c r="K69" s="175" t="inlineStr">
        <is>
          <t>6626 YUEXIU SERVICES; 9878 HUITONGDA NET; 6610 FLOWING CLOUD; 2429 UBOX ONLINE; 3231 EXCELLAND ROBOT</t>
        </is>
      </c>
    </row>
    <row r="70">
      <c r="A70" s="17" t="inlineStr">
        <is>
          <t>Hillhouse Investment Management, Ltd</t>
        </is>
      </c>
      <c r="B70" s="167" t="n">
        <v>5</v>
      </c>
      <c r="C70" s="173" t="n">
        <v>80</v>
      </c>
      <c r="D70" s="174" t="n">
        <v>28</v>
      </c>
      <c r="E70" s="174" t="n">
        <v>27.7</v>
      </c>
      <c r="F70" s="174" t="n">
        <v>16.1</v>
      </c>
      <c r="G70" s="174" t="n">
        <v>-9.800000000000001</v>
      </c>
      <c r="H70" s="174" t="n">
        <v>2.4</v>
      </c>
      <c r="I70" s="174" t="n">
        <v>-7.9</v>
      </c>
      <c r="J70" s="174" t="n">
        <v>-24.5</v>
      </c>
      <c r="K70" s="175" t="inlineStr">
        <is>
          <t>2162 KEYMED BIO-B; 2252 MEDBOT-B; 6031 SANY HEAVY IND; 6656 SIGENERGY; 1081 DAJIN</t>
        </is>
      </c>
    </row>
    <row r="71">
      <c r="A71" s="17" t="inlineStr">
        <is>
          <t>Janchor Partners Pan-Asian Master Fund</t>
        </is>
      </c>
      <c r="B71" s="167" t="n">
        <v>5</v>
      </c>
      <c r="C71" s="173" t="n">
        <v>60</v>
      </c>
      <c r="D71" s="174" t="n">
        <v>26.5</v>
      </c>
      <c r="E71" s="174" t="n">
        <v>29.8</v>
      </c>
      <c r="F71" s="174" t="n">
        <v>26</v>
      </c>
      <c r="G71" s="174" t="n">
        <v>57.6</v>
      </c>
      <c r="H71" s="174" t="n">
        <v>1.1</v>
      </c>
      <c r="I71" s="174" t="n">
        <v>-1.2</v>
      </c>
      <c r="J71" s="174" t="n">
        <v>16.2</v>
      </c>
      <c r="K71" s="175" t="inlineStr">
        <is>
          <t>6127 JOINN; 2162 KEYMED BIO-B; 2256 ABBISKO-B; 6809 MONTAGE TECH; 2476 VGT</t>
        </is>
      </c>
    </row>
    <row r="72">
      <c r="A72" s="17" t="inlineStr">
        <is>
          <t>Martis Fund, L.P</t>
        </is>
      </c>
      <c r="B72" s="167" t="n">
        <v>5</v>
      </c>
      <c r="C72" s="173" t="n">
        <v>60</v>
      </c>
      <c r="D72" s="174" t="n">
        <v>26.4</v>
      </c>
      <c r="E72" s="174" t="n">
        <v>40.4</v>
      </c>
      <c r="F72" s="174" t="n">
        <v>57.3</v>
      </c>
      <c r="G72" s="174" t="n">
        <v>135.3</v>
      </c>
      <c r="H72" s="174" t="n">
        <v>8.4</v>
      </c>
      <c r="I72" s="174" t="n">
        <v>19.5</v>
      </c>
      <c r="J72" s="174" t="n">
        <v>57.8</v>
      </c>
      <c r="K72" s="175" t="inlineStr">
        <is>
          <t>2050 SANHUA; 9973 CHERY AUTO; 0100 MINIMAX-WP; 3388 CREALITY; 1377 DTECH</t>
        </is>
      </c>
    </row>
    <row r="73">
      <c r="A73" s="17" t="inlineStr">
        <is>
          <t>MY Asian Opportunities Master Fund, L.P</t>
        </is>
      </c>
      <c r="B73" s="167" t="n">
        <v>5</v>
      </c>
      <c r="C73" s="173" t="n">
        <v>60</v>
      </c>
      <c r="D73" s="174" t="n">
        <v>18</v>
      </c>
      <c r="E73" s="174" t="n">
        <v>20.7</v>
      </c>
      <c r="F73" s="174" t="n">
        <v>40.8</v>
      </c>
      <c r="G73" s="174" t="n">
        <v>56.9</v>
      </c>
      <c r="H73" s="174" t="n">
        <v>2.7</v>
      </c>
      <c r="I73" s="174" t="n">
        <v>17.5</v>
      </c>
      <c r="J73" s="174" t="n">
        <v>28.7</v>
      </c>
      <c r="K73" s="175" t="inlineStr">
        <is>
          <t>0300 MIDEA GROUP; 0470 WUXI LEAD; 1989 DELTON; 2476 VGT; 2475 LUXSHARE ICT</t>
        </is>
      </c>
    </row>
    <row r="74">
      <c r="A74" s="17" t="inlineStr">
        <is>
          <t>Dreamee HK Fund</t>
        </is>
      </c>
      <c r="B74" s="167" t="n">
        <v>5</v>
      </c>
      <c r="C74" s="173" t="n">
        <v>20</v>
      </c>
      <c r="D74" s="174" t="n">
        <v>14.2</v>
      </c>
      <c r="E74" s="174" t="n">
        <v>20.1</v>
      </c>
      <c r="F74" s="174" t="n">
        <v>31.3</v>
      </c>
      <c r="G74" s="174" t="n">
        <v>33.4</v>
      </c>
      <c r="H74" s="174" t="n">
        <v>8.199999999999999</v>
      </c>
      <c r="I74" s="174" t="n">
        <v>4.5</v>
      </c>
      <c r="J74" s="174" t="n">
        <v>9.6</v>
      </c>
      <c r="K74" s="175" t="inlineStr">
        <is>
          <t>0638 FIBOCOM; 2676 NOVOSENSE; 2655 GUOXIA TECH; 2715 ESTUN; 3952 LAIFUAL</t>
        </is>
      </c>
    </row>
    <row r="75">
      <c r="A75" s="17" t="inlineStr">
        <is>
          <t>Infini Global Master Fund</t>
        </is>
      </c>
      <c r="B75" s="167" t="n">
        <v>5</v>
      </c>
      <c r="C75" s="173" t="n">
        <v>80</v>
      </c>
      <c r="D75" s="174" t="n">
        <v>10.1</v>
      </c>
      <c r="E75" s="174" t="n">
        <v>30.9</v>
      </c>
      <c r="F75" s="174" t="n">
        <v>70.40000000000001</v>
      </c>
      <c r="G75" s="174" t="n">
        <v>59.7</v>
      </c>
      <c r="H75" s="174" t="n">
        <v>17.8</v>
      </c>
      <c r="I75" s="174" t="n">
        <v>54.3</v>
      </c>
      <c r="J75" s="174" t="n">
        <v>45.5</v>
      </c>
      <c r="K75" s="175" t="inlineStr">
        <is>
          <t>2643 CAOCAO INC; 6613 LENS; 3696 INSILICO; 6600 ONEROBOTICS; 2675 EDGE MEDICAL-B</t>
        </is>
      </c>
    </row>
    <row r="76">
      <c r="A76" s="17" t="inlineStr">
        <is>
          <t>Da Cheng International Asset Management Company Limited</t>
        </is>
      </c>
      <c r="B76" s="167" t="n">
        <v>5</v>
      </c>
      <c r="C76" s="173" t="n">
        <v>40</v>
      </c>
      <c r="D76" s="174" t="n">
        <v>8.800000000000001</v>
      </c>
      <c r="E76" s="174" t="n">
        <v>5.6</v>
      </c>
      <c r="F76" s="174" t="n">
        <v>-11.2</v>
      </c>
      <c r="G76" s="174" t="n">
        <v>-15.4</v>
      </c>
      <c r="H76" s="174" t="n">
        <v>-2.7</v>
      </c>
      <c r="I76" s="174" t="n">
        <v>-17.6</v>
      </c>
      <c r="J76" s="174" t="n">
        <v>-16</v>
      </c>
      <c r="K76" s="175" t="inlineStr">
        <is>
          <t>2692 ZHAOWEI; 1187 COFOE MEDICAL; 3661 SG MICRO; 1688 LINGYI ITECH; 2249 NEXCHIP</t>
        </is>
      </c>
    </row>
    <row r="77">
      <c r="A77" s="17" t="inlineStr">
        <is>
          <t>Millennium Capital Management (Singapore) Pte. Ltd</t>
        </is>
      </c>
      <c r="B77" s="167" t="n">
        <v>5</v>
      </c>
      <c r="C77" s="173" t="n">
        <v>20</v>
      </c>
      <c r="D77" s="174" t="n">
        <v>8.699999999999999</v>
      </c>
      <c r="E77" s="174" t="n">
        <v>7.9</v>
      </c>
      <c r="F77" s="174" t="n">
        <v>-6.4</v>
      </c>
      <c r="G77" s="174" t="n">
        <v>-20.8</v>
      </c>
      <c r="H77" s="174" t="n">
        <v>-0.2</v>
      </c>
      <c r="I77" s="174" t="n">
        <v>-12.4</v>
      </c>
      <c r="J77" s="174" t="n">
        <v>-20.8</v>
      </c>
      <c r="K77" s="175" t="inlineStr">
        <is>
          <t>0470 WUXI LEAD; 1081 DAJIN; 3661 SG MICRO; 2475 LUXSHARE ICT; 1377 DTECH</t>
        </is>
      </c>
    </row>
    <row r="78">
      <c r="A78" s="17" t="inlineStr">
        <is>
          <t>Octagon Investments Master Fund LP</t>
        </is>
      </c>
      <c r="B78" s="167" t="n">
        <v>5</v>
      </c>
      <c r="C78" s="173" t="n">
        <v>40</v>
      </c>
      <c r="D78" s="174" t="n">
        <v>7</v>
      </c>
      <c r="E78" s="174" t="n">
        <v>3.4</v>
      </c>
      <c r="F78" s="174" t="n">
        <v>-5.3</v>
      </c>
      <c r="G78" s="174" t="n">
        <v>-19.3</v>
      </c>
      <c r="H78" s="174" t="n">
        <v>-3.3</v>
      </c>
      <c r="I78" s="174" t="n">
        <v>-11.3</v>
      </c>
      <c r="J78" s="174" t="n">
        <v>-24.2</v>
      </c>
      <c r="K78" s="175" t="inlineStr">
        <is>
          <t>6127 JOINN; 2190 ZYLOXTB-B; 2162 KEYMED BIO-B; 6609 HEARTCARE-B; 2235 MICROTECH MED-B</t>
        </is>
      </c>
    </row>
    <row r="79">
      <c r="A79" s="17" t="inlineStr">
        <is>
          <t>Panjing Harbourview Investment Fund</t>
        </is>
      </c>
      <c r="B79" s="167" t="n">
        <v>5</v>
      </c>
      <c r="C79" s="173" t="n">
        <v>40</v>
      </c>
      <c r="D79" s="174" t="n">
        <v>4.5</v>
      </c>
      <c r="E79" s="174" t="n">
        <v>15.6</v>
      </c>
      <c r="F79" s="174" t="n">
        <v>9.800000000000001</v>
      </c>
      <c r="G79" s="174" t="n">
        <v>11.9</v>
      </c>
      <c r="H79" s="174" t="n">
        <v>7</v>
      </c>
      <c r="I79" s="174" t="n">
        <v>5.1</v>
      </c>
      <c r="J79" s="174" t="n">
        <v>-9.6</v>
      </c>
      <c r="K79" s="175" t="inlineStr">
        <is>
          <t>6669 ACOTEC-B; 2675 EDGE MEDICAL-B; 3277 GPIXEL; 1187 COFOE MEDICAL; 6132 HJ SCIENCE-B</t>
        </is>
      </c>
    </row>
    <row r="80">
      <c r="A80" s="17" t="inlineStr">
        <is>
          <t>New China Asset Management (Hong Kong) Limited</t>
        </is>
      </c>
      <c r="B80" s="167" t="n">
        <v>5</v>
      </c>
      <c r="C80" s="173" t="n">
        <v>60</v>
      </c>
      <c r="D80" s="174" t="n">
        <v>3.9</v>
      </c>
      <c r="E80" s="174" t="n">
        <v>2.3</v>
      </c>
      <c r="F80" s="174" t="n">
        <v>2.4</v>
      </c>
      <c r="G80" s="174" t="n">
        <v>-10.9</v>
      </c>
      <c r="H80" s="174" t="n">
        <v>-1.6</v>
      </c>
      <c r="I80" s="174" t="n">
        <v>-2.2</v>
      </c>
      <c r="J80" s="174" t="n">
        <v>-14.8</v>
      </c>
      <c r="K80" s="175" t="inlineStr">
        <is>
          <t>6626 YUEXIU SERVICES; 9636 JF WEALTH; 6682 FOURTH PARADIGM; 9927 SERES; 3296 HUAQIN</t>
        </is>
      </c>
    </row>
    <row r="81">
      <c r="A81" s="17" t="inlineStr">
        <is>
          <t>Wind Sabre Fund SPC</t>
        </is>
      </c>
      <c r="B81" s="167" t="n">
        <v>5</v>
      </c>
      <c r="C81" s="173" t="n">
        <v>40</v>
      </c>
      <c r="D81" s="174" t="n">
        <v>3.4</v>
      </c>
      <c r="E81" s="174" t="n">
        <v>14.2</v>
      </c>
      <c r="F81" s="174" t="n">
        <v>17.8</v>
      </c>
      <c r="G81" s="174" t="n">
        <v>97.3</v>
      </c>
      <c r="H81" s="174" t="n">
        <v>9.300000000000001</v>
      </c>
      <c r="I81" s="174" t="n">
        <v>12.9</v>
      </c>
      <c r="J81" s="174" t="n">
        <v>83.09999999999999</v>
      </c>
      <c r="K81" s="175" t="inlineStr">
        <is>
          <t>2050 SANHUA; 1304 FORTIOR; 9903 ILUVATAR COREX; 6228 MERDEKAGOLD-DRS; 9976 LONGSYS</t>
        </is>
      </c>
    </row>
    <row r="82">
      <c r="A82" s="17" t="inlineStr">
        <is>
          <t>The China State-owned Enterprise Mixed Ownership Reform Fund Co., Ltd</t>
        </is>
      </c>
      <c r="B82" s="167" t="n">
        <v>5</v>
      </c>
      <c r="C82" s="173" t="n">
        <v>20</v>
      </c>
      <c r="D82" s="174" t="n">
        <v>-3.2</v>
      </c>
      <c r="E82" s="174" t="n">
        <v>16</v>
      </c>
      <c r="F82" s="174" t="n">
        <v>6.2</v>
      </c>
      <c r="G82" s="174" t="n">
        <v>2.6</v>
      </c>
      <c r="H82" s="174" t="n">
        <v>17.7</v>
      </c>
      <c r="I82" s="174" t="n">
        <v>8.4</v>
      </c>
      <c r="J82" s="174" t="n">
        <v>4.5</v>
      </c>
      <c r="K82" s="175" t="inlineStr">
        <is>
          <t>0020 SENSETIME-W; 6680 JLMAG; 1880 CTG DUTY-FREE; 2602 ONEWO; 2245 LYGEND RESOURCE</t>
        </is>
      </c>
    </row>
    <row r="83">
      <c r="A83" s="17" t="inlineStr">
        <is>
          <t>CPP Investment Board PMI-2 Inc</t>
        </is>
      </c>
      <c r="B83" s="167" t="n">
        <v>4</v>
      </c>
      <c r="C83" s="173" t="n">
        <v>75</v>
      </c>
      <c r="D83" s="174" t="n">
        <v>89.40000000000001</v>
      </c>
      <c r="E83" s="174" t="n">
        <v>105.8</v>
      </c>
      <c r="F83" s="174" t="n">
        <v>88.5</v>
      </c>
      <c r="G83" s="174" t="n">
        <v>62.8</v>
      </c>
      <c r="H83" s="174" t="n">
        <v>5</v>
      </c>
      <c r="I83" s="174" t="n">
        <v>1.7</v>
      </c>
      <c r="J83" s="174" t="n">
        <v>-23.1</v>
      </c>
      <c r="K83" s="175" t="inlineStr">
        <is>
          <t>2158 YIDU TECH; 1024 KUAISHOU-W; 0013 HUTCHMED; 2475 LUXSHARE ICT</t>
        </is>
      </c>
    </row>
    <row r="84">
      <c r="A84" s="17" t="inlineStr">
        <is>
          <t>RTW Master Fund, Ltd</t>
        </is>
      </c>
      <c r="B84" s="167" t="n">
        <v>4</v>
      </c>
      <c r="C84" s="173" t="n">
        <v>100</v>
      </c>
      <c r="D84" s="174" t="n">
        <v>85</v>
      </c>
      <c r="E84" s="174" t="n">
        <v>49.2</v>
      </c>
      <c r="F84" s="174" t="n">
        <v>23.7</v>
      </c>
      <c r="G84" s="174" t="n">
        <v>28.3</v>
      </c>
      <c r="H84" s="174" t="n">
        <v>-16.2</v>
      </c>
      <c r="I84" s="174" t="n">
        <v>-26.7</v>
      </c>
      <c r="J84" s="174" t="n">
        <v>-18</v>
      </c>
      <c r="K84" s="175" t="inlineStr">
        <is>
          <t>6990 SKB BIO-B; 2595 GENFLEET-B; 7666 METIS TECHBIO-P; 9637 ALEBUND-B</t>
        </is>
      </c>
    </row>
    <row r="85">
      <c r="A85" s="17" t="inlineStr">
        <is>
          <t>Aranda Investments Pte. Ltd</t>
        </is>
      </c>
      <c r="B85" s="167" t="n">
        <v>4</v>
      </c>
      <c r="C85" s="173" t="n">
        <v>75</v>
      </c>
      <c r="D85" s="174" t="n">
        <v>72.8</v>
      </c>
      <c r="E85" s="174" t="n">
        <v>86.3</v>
      </c>
      <c r="F85" s="174" t="n">
        <v>54</v>
      </c>
      <c r="G85" s="174" t="n">
        <v>13.1</v>
      </c>
      <c r="H85" s="174" t="n">
        <v>3.4</v>
      </c>
      <c r="I85" s="174" t="n">
        <v>-10.8</v>
      </c>
      <c r="J85" s="174" t="n">
        <v>-34.4</v>
      </c>
      <c r="K85" s="175" t="inlineStr">
        <is>
          <t>1024 KUAISHOU-W; 2162 KEYMED BIO-B; 2256 ABBISKO-B; 6656 SIGENERGY</t>
        </is>
      </c>
    </row>
    <row r="86">
      <c r="A86" s="17" t="inlineStr">
        <is>
          <t>Guohui (HK) Holdings Co., Limited</t>
        </is>
      </c>
      <c r="B86" s="167" t="n">
        <v>4</v>
      </c>
      <c r="C86" s="173" t="n">
        <v>100</v>
      </c>
      <c r="D86" s="174" t="n">
        <v>57.9</v>
      </c>
      <c r="E86" s="174" t="n">
        <v>76.2</v>
      </c>
      <c r="F86" s="174" t="n">
        <v>31.8</v>
      </c>
      <c r="G86" s="174" t="n">
        <v>-11.9</v>
      </c>
      <c r="H86" s="174" t="n">
        <v>5.3</v>
      </c>
      <c r="I86" s="174" t="n">
        <v>-16.4</v>
      </c>
      <c r="J86" s="174" t="n">
        <v>-35.7</v>
      </c>
      <c r="K86" s="175" t="inlineStr">
        <is>
          <t>9981 WOER; 0068 MANYCORE TECH; 2493 MABWELL-B; 1956 WENGE AI</t>
        </is>
      </c>
    </row>
    <row r="87">
      <c r="A87" s="17" t="inlineStr">
        <is>
          <t>TruMed Healthcare Master Fund and TruMed Health Innovation Fund LP</t>
        </is>
      </c>
      <c r="B87" s="167" t="n">
        <v>4</v>
      </c>
      <c r="C87" s="173" t="n">
        <v>100</v>
      </c>
      <c r="D87" s="174" t="n">
        <v>52.6</v>
      </c>
      <c r="E87" s="174" t="n">
        <v>63.2</v>
      </c>
      <c r="F87" s="174" t="n">
        <v>44</v>
      </c>
      <c r="G87" s="174" t="n">
        <v>95.2</v>
      </c>
      <c r="H87" s="174" t="n">
        <v>6.6</v>
      </c>
      <c r="I87" s="174" t="n">
        <v>-4.8</v>
      </c>
      <c r="J87" s="174" t="n">
        <v>23.5</v>
      </c>
      <c r="K87" s="175" t="inlineStr">
        <is>
          <t>2373 BEAUTYFARM MED; 6990 SKB BIO-B; 9606 DUALITYBIO-B; 1779 LONGBIO-B</t>
        </is>
      </c>
    </row>
    <row r="88">
      <c r="A88" s="17" t="inlineStr">
        <is>
          <t>Tencent Mobility Limited</t>
        </is>
      </c>
      <c r="B88" s="167" t="n">
        <v>4</v>
      </c>
      <c r="C88" s="173" t="n">
        <v>75</v>
      </c>
      <c r="D88" s="174" t="n">
        <v>46.6</v>
      </c>
      <c r="E88" s="174" t="n">
        <v>53.9</v>
      </c>
      <c r="F88" s="174" t="n">
        <v>82.8</v>
      </c>
      <c r="G88" s="174" t="n">
        <v>45.8</v>
      </c>
      <c r="H88" s="174" t="n">
        <v>7</v>
      </c>
      <c r="I88" s="174" t="n">
        <v>30.1</v>
      </c>
      <c r="J88" s="174" t="n">
        <v>9</v>
      </c>
      <c r="K88" s="175" t="inlineStr">
        <is>
          <t>2158 YIDU TECH; 2192 MEDLIVE; 2235 MICROTECH MED-B; 3696 INSILICO</t>
        </is>
      </c>
    </row>
    <row r="89">
      <c r="A89" s="17" t="inlineStr">
        <is>
          <t>JSC International Investment Fund SPC</t>
        </is>
      </c>
      <c r="B89" s="167" t="n">
        <v>4</v>
      </c>
      <c r="C89" s="173" t="n">
        <v>75</v>
      </c>
      <c r="D89" s="174" t="n">
        <v>39.4</v>
      </c>
      <c r="E89" s="174" t="n">
        <v>40.5</v>
      </c>
      <c r="F89" s="174" t="n">
        <v>6.8</v>
      </c>
      <c r="G89" s="174" t="n">
        <v>4.5</v>
      </c>
      <c r="H89" s="174" t="n">
        <v>1.6</v>
      </c>
      <c r="I89" s="174" t="n">
        <v>-23</v>
      </c>
      <c r="J89" s="174" t="n">
        <v>-17.1</v>
      </c>
      <c r="K89" s="175" t="inlineStr">
        <is>
          <t>9660 HORIZONROBOT-W; 0699 JOYSON ELEC; 1609 STAR SPORTS MED; 1191 CREALIGHTS</t>
        </is>
      </c>
    </row>
    <row r="90">
      <c r="A90" s="17" t="inlineStr">
        <is>
          <t>Bosera Asset Management (International) Co., Limited</t>
        </is>
      </c>
      <c r="B90" s="167" t="n">
        <v>4</v>
      </c>
      <c r="C90" s="173" t="n">
        <v>75</v>
      </c>
      <c r="D90" s="174" t="n">
        <v>39.2</v>
      </c>
      <c r="E90" s="174" t="n">
        <v>22.6</v>
      </c>
      <c r="F90" s="174" t="n">
        <v>25.5</v>
      </c>
      <c r="G90" s="174" t="n">
        <v>9.6</v>
      </c>
      <c r="H90" s="174" t="n">
        <v>-9.800000000000001</v>
      </c>
      <c r="I90" s="174" t="n">
        <v>-5.6</v>
      </c>
      <c r="J90" s="174" t="n">
        <v>-27</v>
      </c>
      <c r="K90" s="175" t="inlineStr">
        <is>
          <t>2476 VGT; 9630 CFMEE; 2475 LUXSHARE ICT; 6951 CCTC</t>
        </is>
      </c>
    </row>
    <row r="91">
      <c r="A91" s="17" t="inlineStr">
        <is>
          <t>Sunwoda Treasury (Hong Kong) Limited</t>
        </is>
      </c>
      <c r="B91" s="167" t="n">
        <v>4</v>
      </c>
      <c r="C91" s="173" t="n">
        <v>75</v>
      </c>
      <c r="D91" s="174" t="n">
        <v>38.4</v>
      </c>
      <c r="E91" s="174" t="n">
        <v>31.6</v>
      </c>
      <c r="F91" s="174" t="n">
        <v>-2.6</v>
      </c>
      <c r="G91" s="174" t="n">
        <v>10.2</v>
      </c>
      <c r="H91" s="174" t="n">
        <v>-3.5</v>
      </c>
      <c r="I91" s="174" t="n">
        <v>-23.1</v>
      </c>
      <c r="J91" s="174" t="n">
        <v>7.9</v>
      </c>
      <c r="K91" s="175" t="inlineStr">
        <is>
          <t>2579 CNGR; 2701 NSING TECH; 6675 SENASIC; 6067 SENIOR MATERIAL</t>
        </is>
      </c>
    </row>
    <row r="92">
      <c r="A92" s="17" t="inlineStr">
        <is>
          <t>Matthews Funds</t>
        </is>
      </c>
      <c r="B92" s="167" t="n">
        <v>4</v>
      </c>
      <c r="C92" s="173" t="n">
        <v>75</v>
      </c>
      <c r="D92" s="174" t="n">
        <v>37.6</v>
      </c>
      <c r="E92" s="174" t="n">
        <v>32.8</v>
      </c>
      <c r="F92" s="174" t="n">
        <v>37.1</v>
      </c>
      <c r="G92" s="174" t="n">
        <v>1.1</v>
      </c>
      <c r="H92" s="174" t="n">
        <v>-3.8</v>
      </c>
      <c r="I92" s="174" t="n">
        <v>0.6</v>
      </c>
      <c r="J92" s="174" t="n">
        <v>-22.5</v>
      </c>
      <c r="K92" s="175" t="inlineStr">
        <is>
          <t>2158 YIDU TECH; 6622 ZHAOKE OPHTH-B; 2618 JD LOGISTICS; 2192 MEDLIVE</t>
        </is>
      </c>
    </row>
    <row r="93">
      <c r="A93" s="17" t="inlineStr">
        <is>
          <t>Sunshine Life Insurance Corporation Limited</t>
        </is>
      </c>
      <c r="B93" s="167" t="n">
        <v>4</v>
      </c>
      <c r="C93" s="173" t="n">
        <v>25</v>
      </c>
      <c r="D93" s="174" t="n">
        <v>34.7</v>
      </c>
      <c r="E93" s="174" t="n">
        <v>65.5</v>
      </c>
      <c r="F93" s="174" t="n">
        <v>37.7</v>
      </c>
      <c r="G93" s="174" t="n">
        <v>2.8</v>
      </c>
      <c r="H93" s="174" t="n">
        <v>11.5</v>
      </c>
      <c r="I93" s="174" t="n">
        <v>3.2</v>
      </c>
      <c r="J93" s="174" t="n">
        <v>-12.9</v>
      </c>
      <c r="K93" s="175" t="inlineStr">
        <is>
          <t>9638 FERRETTI; 9886 DINGDANG HEALTH; 9985 WEILONG; 0068 MANYCORE TECH</t>
        </is>
      </c>
    </row>
    <row r="94">
      <c r="A94" s="17" t="inlineStr">
        <is>
          <t>Ocean Fine Industrial Limited</t>
        </is>
      </c>
      <c r="B94" s="167" t="n">
        <v>4</v>
      </c>
      <c r="C94" s="173" t="n">
        <v>50</v>
      </c>
      <c r="D94" s="174" t="n">
        <v>30.7</v>
      </c>
      <c r="E94" s="174" t="n">
        <v>17.7</v>
      </c>
      <c r="F94" s="174" t="n">
        <v>1</v>
      </c>
      <c r="G94" s="174" t="n">
        <v>-11.3</v>
      </c>
      <c r="H94" s="174" t="n">
        <v>-5.4</v>
      </c>
      <c r="I94" s="174" t="n">
        <v>-17</v>
      </c>
      <c r="J94" s="174" t="n">
        <v>4.3</v>
      </c>
      <c r="K94" s="175" t="inlineStr">
        <is>
          <t>6911 LANCANG TEA; 2026 PONY-W; 3661 SG MICRO; 9630 CFMEE</t>
        </is>
      </c>
    </row>
    <row r="95">
      <c r="A95" s="17" t="inlineStr">
        <is>
          <t>Hefei Beicheng Construction Investment (Group) Company Limited</t>
        </is>
      </c>
      <c r="B95" s="167" t="n">
        <v>4</v>
      </c>
      <c r="C95" s="173" t="n">
        <v>25</v>
      </c>
      <c r="D95" s="174" t="n">
        <v>25.4</v>
      </c>
      <c r="E95" s="174" t="n">
        <v>10.4</v>
      </c>
      <c r="F95" s="174" t="n">
        <v>-3</v>
      </c>
      <c r="G95" s="174" t="n">
        <v>-26.3</v>
      </c>
      <c r="H95" s="174" t="n">
        <v>-8.9</v>
      </c>
      <c r="I95" s="174" t="n">
        <v>-19.1</v>
      </c>
      <c r="J95" s="174" t="n">
        <v>-25.4</v>
      </c>
      <c r="K95" s="175" t="inlineStr">
        <is>
          <t>3931 CALB; 2482 LOGORY; 9630 CFMEE; 2249 NEXCHIP</t>
        </is>
      </c>
    </row>
    <row r="96">
      <c r="A96" s="17" t="inlineStr">
        <is>
          <t>Sungrow Power (Hong Kong) Co., Limited</t>
        </is>
      </c>
      <c r="B96" s="167" t="n">
        <v>4</v>
      </c>
      <c r="C96" s="173" t="n">
        <v>50</v>
      </c>
      <c r="D96" s="174" t="n">
        <v>22.6</v>
      </c>
      <c r="E96" s="174" t="n">
        <v>6.8</v>
      </c>
      <c r="F96" s="174" t="n">
        <v>-11.3</v>
      </c>
      <c r="G96" s="174" t="n">
        <v>-36.2</v>
      </c>
      <c r="H96" s="174" t="n">
        <v>-9.800000000000001</v>
      </c>
      <c r="I96" s="174" t="n">
        <v>-23.3</v>
      </c>
      <c r="J96" s="174" t="n">
        <v>-17.2</v>
      </c>
      <c r="K96" s="175" t="inlineStr">
        <is>
          <t>9609 HAIWEI ELEC; 3661 SG MICRO; 9630 CFMEE; 0537 RIGOL</t>
        </is>
      </c>
    </row>
    <row r="97">
      <c r="A97" s="17" t="inlineStr">
        <is>
          <t>Black Dragon CP Fund SPC</t>
        </is>
      </c>
      <c r="B97" s="167" t="n">
        <v>4</v>
      </c>
      <c r="C97" s="173" t="n">
        <v>50</v>
      </c>
      <c r="D97" s="174" t="n">
        <v>22.5</v>
      </c>
      <c r="E97" s="174" t="n">
        <v>23</v>
      </c>
      <c r="F97" s="174" t="n">
        <v>28</v>
      </c>
      <c r="G97" s="174" t="n">
        <v>-3.4</v>
      </c>
      <c r="H97" s="174" t="n">
        <v>0.9</v>
      </c>
      <c r="I97" s="174" t="n">
        <v>4.9</v>
      </c>
      <c r="J97" s="174" t="n">
        <v>-26.4</v>
      </c>
      <c r="K97" s="175" t="inlineStr">
        <is>
          <t>6603 IFBH; 3887 HASHKEY HLDGS; 2476 VGT; 3308 ZJ INNOLIGHT</t>
        </is>
      </c>
    </row>
    <row r="98">
      <c r="A98" s="17" t="inlineStr">
        <is>
          <t>King Terrace Limited</t>
        </is>
      </c>
      <c r="B98" s="167" t="n">
        <v>4</v>
      </c>
      <c r="C98" s="173" t="n">
        <v>75</v>
      </c>
      <c r="D98" s="174" t="n">
        <v>21.6</v>
      </c>
      <c r="E98" s="174" t="n">
        <v>28.6</v>
      </c>
      <c r="F98" s="174" t="n">
        <v>16.5</v>
      </c>
      <c r="G98" s="174" t="n">
        <v>53.3</v>
      </c>
      <c r="H98" s="174" t="n">
        <v>4.5</v>
      </c>
      <c r="I98" s="174" t="n">
        <v>-5.7</v>
      </c>
      <c r="J98" s="174" t="n">
        <v>11.5</v>
      </c>
      <c r="K98" s="175" t="inlineStr">
        <is>
          <t>0606 SCE CM; 2157 LEPU BIO-B; 2566 JIUYUAN GENE; 9606 DUALITYBIO-B</t>
        </is>
      </c>
    </row>
    <row r="99">
      <c r="A99" s="17" t="inlineStr">
        <is>
          <t>YHG Investment, L.P</t>
        </is>
      </c>
      <c r="B99" s="167" t="n">
        <v>4</v>
      </c>
      <c r="C99" s="173" t="n">
        <v>50</v>
      </c>
      <c r="D99" s="174" t="n">
        <v>21.2</v>
      </c>
      <c r="E99" s="174" t="n">
        <v>13.7</v>
      </c>
      <c r="F99" s="174" t="n">
        <v>-4.6</v>
      </c>
      <c r="G99" s="174" t="n">
        <v>1.9</v>
      </c>
      <c r="H99" s="174" t="n">
        <v>-7.4</v>
      </c>
      <c r="I99" s="174" t="n">
        <v>-22.1</v>
      </c>
      <c r="J99" s="174" t="n">
        <v>-14</v>
      </c>
      <c r="K99" s="175" t="inlineStr">
        <is>
          <t>2160 CARDIOFLOW-B; 2190 ZYLOXTB-B; 2197 CLOVER BIO-B; 2602 ONEWO</t>
        </is>
      </c>
    </row>
    <row r="100">
      <c r="A100" s="17" t="inlineStr">
        <is>
          <t>Jain Global Master Fund Ltd</t>
        </is>
      </c>
      <c r="B100" s="167" t="n">
        <v>4</v>
      </c>
      <c r="C100" s="173" t="n">
        <v>75</v>
      </c>
      <c r="D100" s="174" t="n">
        <v>17.8</v>
      </c>
      <c r="E100" s="174" t="n">
        <v>12.9</v>
      </c>
      <c r="F100" s="174" t="n">
        <v>-6.1</v>
      </c>
      <c r="G100" s="174" t="n">
        <v>1.6</v>
      </c>
      <c r="H100" s="174" t="n">
        <v>-4.3</v>
      </c>
      <c r="I100" s="174" t="n">
        <v>-21.4</v>
      </c>
      <c r="J100" s="174" t="n">
        <v>-23.6</v>
      </c>
      <c r="K100" s="175" t="inlineStr">
        <is>
          <t>6603 IFBH; 6687 JST GROUP; 1688 LINGYI ITECH; 7687 EACON</t>
        </is>
      </c>
    </row>
    <row r="101">
      <c r="A101" s="17" t="inlineStr">
        <is>
          <t>Fidelity International</t>
        </is>
      </c>
      <c r="B101" s="167" t="n">
        <v>4</v>
      </c>
      <c r="C101" s="173" t="n">
        <v>75</v>
      </c>
      <c r="D101" s="174" t="n">
        <v>16.1</v>
      </c>
      <c r="E101" s="174" t="n">
        <v>13</v>
      </c>
      <c r="F101" s="174" t="n">
        <v>17.6</v>
      </c>
      <c r="G101" s="174" t="n">
        <v>-1.5</v>
      </c>
      <c r="H101" s="174" t="n">
        <v>-2.6</v>
      </c>
      <c r="I101" s="174" t="n">
        <v>3</v>
      </c>
      <c r="J101" s="174" t="n">
        <v>-14.8</v>
      </c>
      <c r="K101" s="175" t="inlineStr">
        <is>
          <t>9959 LINKLOGIS–W; 2190 ZYLOXTB-B; 2192 MEDLIVE; 3887 HASHKEY HLDGS</t>
        </is>
      </c>
    </row>
    <row r="102">
      <c r="A102" s="17" t="inlineStr">
        <is>
          <t>General Atlantic Singapore HCM Pte. Ltd</t>
        </is>
      </c>
      <c r="B102" s="167" t="n">
        <v>4</v>
      </c>
      <c r="C102" s="173" t="n">
        <v>50</v>
      </c>
      <c r="D102" s="174" t="n">
        <v>14.3</v>
      </c>
      <c r="E102" s="174" t="n">
        <v>17.5</v>
      </c>
      <c r="F102" s="174" t="n">
        <v>25.1</v>
      </c>
      <c r="G102" s="174" t="n">
        <v>-10</v>
      </c>
      <c r="H102" s="174" t="n">
        <v>3.4</v>
      </c>
      <c r="I102" s="174" t="n">
        <v>7.1</v>
      </c>
      <c r="J102" s="174" t="n">
        <v>-29.7</v>
      </c>
      <c r="K102" s="175" t="inlineStr">
        <is>
          <t>0013 HUTCHMED; 1228 CANBRIDGE-B; 2268 WUXI XDC; 3308 ZJ INNOLIGHT</t>
        </is>
      </c>
    </row>
    <row r="103">
      <c r="A103" s="17" t="inlineStr">
        <is>
          <t>The Reynold Lemkins Group (Asia) Limited</t>
        </is>
      </c>
      <c r="B103" s="167" t="n">
        <v>4</v>
      </c>
      <c r="C103" s="173" t="n">
        <v>50</v>
      </c>
      <c r="D103" s="174" t="n">
        <v>5.7</v>
      </c>
      <c r="E103" s="174" t="n">
        <v>-12.2</v>
      </c>
      <c r="F103" s="174" t="n">
        <v>1.3</v>
      </c>
      <c r="G103" s="174" t="n">
        <v>-8</v>
      </c>
      <c r="H103" s="174" t="n">
        <v>-12.1</v>
      </c>
      <c r="I103" s="174" t="n">
        <v>-4.4</v>
      </c>
      <c r="J103" s="174" t="n">
        <v>-11.8</v>
      </c>
      <c r="K103" s="175" t="inlineStr">
        <is>
          <t>2505 EDA GROUP HLDGS; 2479 TIANJUDIHE; 1471 ZHONGMIAO; 2592 CLOUDBREAK-B</t>
        </is>
      </c>
    </row>
    <row r="104">
      <c r="A104" s="17" t="inlineStr">
        <is>
          <t>Eastspring Investments (Hong Kong) Limited</t>
        </is>
      </c>
      <c r="B104" s="167" t="n">
        <v>4</v>
      </c>
      <c r="C104" s="173" t="n">
        <v>25</v>
      </c>
      <c r="D104" s="174" t="n">
        <v>5.7</v>
      </c>
      <c r="E104" s="174" t="n">
        <v>1.2</v>
      </c>
      <c r="F104" s="174" t="n">
        <v>16.1</v>
      </c>
      <c r="G104" s="174" t="n">
        <v>27.1</v>
      </c>
      <c r="H104" s="174" t="n">
        <v>-5</v>
      </c>
      <c r="I104" s="174" t="n">
        <v>5.3</v>
      </c>
      <c r="J104" s="174" t="n">
        <v>7.5</v>
      </c>
      <c r="K104" s="175" t="inlineStr">
        <is>
          <t>2026 PONY-W; 1989 DELTON; 1081 DAJIN; 2475 LUXSHARE ICT</t>
        </is>
      </c>
    </row>
    <row r="105">
      <c r="A105" s="17" t="inlineStr">
        <is>
          <t>Ghisallo Master Fund LP</t>
        </is>
      </c>
      <c r="B105" s="167" t="n">
        <v>4</v>
      </c>
      <c r="C105" s="173" t="n">
        <v>50</v>
      </c>
      <c r="D105" s="174" t="n">
        <v>5.5</v>
      </c>
      <c r="E105" s="174" t="n">
        <v>-4.2</v>
      </c>
      <c r="F105" s="174" t="n">
        <v>-10.9</v>
      </c>
      <c r="G105" s="174" t="n">
        <v>-23.7</v>
      </c>
      <c r="H105" s="174" t="n">
        <v>-9.5</v>
      </c>
      <c r="I105" s="174" t="n">
        <v>-15</v>
      </c>
      <c r="J105" s="174" t="n">
        <v>-27.1</v>
      </c>
      <c r="K105" s="175" t="inlineStr">
        <is>
          <t>2460 CR BEVERAGE; 9927 SERES; 2026 PONY-W; 0501 OMNIVISION</t>
        </is>
      </c>
    </row>
    <row r="106">
      <c r="A106" s="17" t="inlineStr">
        <is>
          <t>China Post Wealth Management</t>
        </is>
      </c>
      <c r="B106" s="167" t="n">
        <v>4</v>
      </c>
      <c r="C106" s="173" t="n">
        <v>50</v>
      </c>
      <c r="D106" s="174" t="n">
        <v>4.5</v>
      </c>
      <c r="E106" s="174" t="n">
        <v>-2.6</v>
      </c>
      <c r="F106" s="174" t="n">
        <v>-14.1</v>
      </c>
      <c r="G106" s="174" t="n">
        <v>-18.8</v>
      </c>
      <c r="H106" s="174" t="n">
        <v>-6.9</v>
      </c>
      <c r="I106" s="174" t="n">
        <v>-17.5</v>
      </c>
      <c r="J106" s="174" t="n">
        <v>-21.1</v>
      </c>
      <c r="K106" s="175" t="inlineStr">
        <is>
          <t>2460 CR BEVERAGE; 2580 AUX ELECTRIC; 0699 JOYSON ELEC; 0501 OMNIVISION</t>
        </is>
      </c>
    </row>
    <row r="107">
      <c r="A107" s="17" t="inlineStr">
        <is>
          <t>LENS TECHNOLOGY (HK) CO., LIMITED</t>
        </is>
      </c>
      <c r="B107" s="167" t="n">
        <v>4</v>
      </c>
      <c r="C107" s="173" t="n">
        <v>25</v>
      </c>
      <c r="D107" s="174" t="n">
        <v>-0.5</v>
      </c>
      <c r="E107" s="174" t="n">
        <v>-12.3</v>
      </c>
      <c r="F107" s="174" t="n">
        <v>-15.5</v>
      </c>
      <c r="G107" s="174" t="n">
        <v>-9.199999999999999</v>
      </c>
      <c r="H107" s="174" t="n">
        <v>-12</v>
      </c>
      <c r="I107" s="174" t="n">
        <v>-15.3</v>
      </c>
      <c r="J107" s="174" t="n">
        <v>-9</v>
      </c>
      <c r="K107" s="175" t="inlineStr">
        <is>
          <t>2529 HOLLWIN URBAN; 2579 CNGR; 1187 COFOE MEDICAL; 9976 LONGSYS</t>
        </is>
      </c>
    </row>
    <row r="108">
      <c r="A108" s="17" t="inlineStr">
        <is>
          <t>Factorial Master Fund</t>
        </is>
      </c>
      <c r="B108" s="167" t="n">
        <v>4</v>
      </c>
      <c r="C108" s="173" t="n">
        <v>50</v>
      </c>
      <c r="D108" s="174" t="n">
        <v>-2.3</v>
      </c>
      <c r="E108" s="174" t="n">
        <v>14.1</v>
      </c>
      <c r="F108" s="174" t="n">
        <v>-15</v>
      </c>
      <c r="G108" s="174" t="n">
        <v>-23.1</v>
      </c>
      <c r="H108" s="174" t="n">
        <v>18</v>
      </c>
      <c r="I108" s="174" t="n">
        <v>-13.8</v>
      </c>
      <c r="J108" s="174" t="n">
        <v>-24.4</v>
      </c>
      <c r="K108" s="175" t="inlineStr">
        <is>
          <t>0600 AXERA; 9981 WOER; 2692 ZHAOWEI; 3952 LAIFUAL</t>
        </is>
      </c>
    </row>
    <row r="109">
      <c r="A109" s="17" t="inlineStr">
        <is>
          <t>Ningbo Yinzhou District Financial Holding Co., Ltd</t>
        </is>
      </c>
      <c r="B109" s="167" t="n">
        <v>4</v>
      </c>
      <c r="C109" s="173" t="n">
        <v>25</v>
      </c>
      <c r="D109" s="174" t="n">
        <v>-7.5</v>
      </c>
      <c r="E109" s="174" t="n">
        <v>-13.3</v>
      </c>
      <c r="F109" s="174" t="n">
        <v>-17.4</v>
      </c>
      <c r="G109" s="174" t="n">
        <v>-25.5</v>
      </c>
      <c r="H109" s="174" t="n">
        <v>-7.7</v>
      </c>
      <c r="I109" s="174" t="n">
        <v>-14.4</v>
      </c>
      <c r="J109" s="174" t="n">
        <v>-23</v>
      </c>
      <c r="K109" s="175" t="inlineStr">
        <is>
          <t>2245 LYGEND RESOURCE; 2105 LAEKNA-B; 9686 NEUSOFT XIKANG; 0699 JOYSON ELEC</t>
        </is>
      </c>
    </row>
    <row r="110">
      <c r="A110" s="17" t="inlineStr">
        <is>
          <t>Gold Synergy</t>
        </is>
      </c>
      <c r="B110" s="167" t="n">
        <v>4</v>
      </c>
      <c r="C110" s="173" t="n">
        <v>0</v>
      </c>
      <c r="D110" s="174" t="n">
        <v>-8.300000000000001</v>
      </c>
      <c r="E110" s="174" t="n">
        <v>-10.3</v>
      </c>
      <c r="F110" s="174" t="n">
        <v>-7</v>
      </c>
      <c r="G110" s="174" t="n">
        <v>-19.2</v>
      </c>
      <c r="H110" s="174" t="n">
        <v>-1.4</v>
      </c>
      <c r="I110" s="174" t="n">
        <v>2.7</v>
      </c>
      <c r="J110" s="174" t="n">
        <v>-10.5</v>
      </c>
      <c r="K110" s="175" t="inlineStr">
        <is>
          <t>2385 READBOY; 9696 TIANQI LITHIUM; 2479 TIANJUDIHE; 9927 SERES</t>
        </is>
      </c>
    </row>
    <row r="111">
      <c r="A111" s="17" t="inlineStr">
        <is>
          <t>Aurora SF</t>
        </is>
      </c>
      <c r="B111" s="167" t="n">
        <v>4</v>
      </c>
      <c r="C111" s="173" t="n">
        <v>50</v>
      </c>
      <c r="D111" s="174" t="n">
        <v>-8.6</v>
      </c>
      <c r="E111" s="174" t="n">
        <v>-9.6</v>
      </c>
      <c r="F111" s="174" t="n">
        <v>-1.4</v>
      </c>
      <c r="G111" s="174" t="n">
        <v>21.2</v>
      </c>
      <c r="H111" s="174" t="n">
        <v>-1.5</v>
      </c>
      <c r="I111" s="174" t="n">
        <v>5.7</v>
      </c>
      <c r="J111" s="174" t="n">
        <v>7</v>
      </c>
      <c r="K111" s="175" t="inlineStr">
        <is>
          <t>3296 HUAQIN; 2667 TONGRENTANGCARE; 7687 EACON; 6745 BEFAR GROUP</t>
        </is>
      </c>
    </row>
    <row r="112">
      <c r="A112" s="17" t="inlineStr">
        <is>
          <t>Anji Guorong Construction Co., Ltd</t>
        </is>
      </c>
      <c r="B112" s="167" t="n">
        <v>4</v>
      </c>
      <c r="C112" s="173" t="n">
        <v>25</v>
      </c>
      <c r="D112" s="174" t="n">
        <v>-10.6</v>
      </c>
      <c r="E112" s="174" t="n">
        <v>-15.8</v>
      </c>
      <c r="F112" s="174" t="n">
        <v>-2</v>
      </c>
      <c r="G112" s="174" t="n">
        <v>8.199999999999999</v>
      </c>
      <c r="H112" s="174" t="n">
        <v>-6.8</v>
      </c>
      <c r="I112" s="174" t="n">
        <v>7.3</v>
      </c>
      <c r="J112" s="174" t="n">
        <v>18.8</v>
      </c>
      <c r="K112" s="175" t="inlineStr">
        <is>
          <t>6610 FLOWING CLOUD; 2440 HOWKINGTECH; 2415 MEDSCI; 6831 GREEN TEA GROUP</t>
        </is>
      </c>
    </row>
    <row r="113">
      <c r="A113" s="17" t="inlineStr">
        <is>
          <t>Ping An of China Asset Management (Hong Kong) Company Limited</t>
        </is>
      </c>
      <c r="B113" s="167" t="n">
        <v>3</v>
      </c>
      <c r="C113" s="173" t="n">
        <v>67</v>
      </c>
      <c r="D113" s="174" t="n">
        <v>127</v>
      </c>
      <c r="E113" s="174" t="n">
        <v>127.7</v>
      </c>
      <c r="F113" s="174" t="n">
        <v>85.2</v>
      </c>
      <c r="G113" s="174" t="n">
        <v>14</v>
      </c>
      <c r="H113" s="174" t="n">
        <v>0.5</v>
      </c>
      <c r="I113" s="174" t="n">
        <v>-2.9</v>
      </c>
      <c r="J113" s="174" t="n">
        <v>-38.4</v>
      </c>
      <c r="K113" s="175" t="inlineStr">
        <is>
          <t>2714 MUYUAN; 1879 XIZHI TECH-P; 6228 MERDEKAGOLD-DRS</t>
        </is>
      </c>
    </row>
    <row r="114">
      <c r="A114" s="17" t="inlineStr">
        <is>
          <t>Arc Avenue Asset Management Pte. Ltd</t>
        </is>
      </c>
      <c r="B114" s="167" t="n">
        <v>3</v>
      </c>
      <c r="C114" s="173" t="n">
        <v>100</v>
      </c>
      <c r="D114" s="174" t="n">
        <v>81.3</v>
      </c>
      <c r="E114" s="174" t="n">
        <v>71.5</v>
      </c>
      <c r="F114" s="174" t="n">
        <v>50.5</v>
      </c>
      <c r="G114" s="174" t="n">
        <v>40.6</v>
      </c>
      <c r="H114" s="174" t="n">
        <v>-3.7</v>
      </c>
      <c r="I114" s="174" t="n">
        <v>-14.3</v>
      </c>
      <c r="J114" s="174" t="n">
        <v>-20.1</v>
      </c>
      <c r="K114" s="175" t="inlineStr">
        <is>
          <t>6938 RIBOLIFE-B; 3277 GPIXEL; 7666 METIS TECHBIO-P</t>
        </is>
      </c>
    </row>
    <row r="115">
      <c r="A115" s="17" t="inlineStr">
        <is>
          <t>Loyal Valley Fund III</t>
        </is>
      </c>
      <c r="B115" s="167" t="n">
        <v>3</v>
      </c>
      <c r="C115" s="173" t="n">
        <v>100</v>
      </c>
      <c r="D115" s="174" t="n">
        <v>68.2</v>
      </c>
      <c r="E115" s="174" t="n">
        <v>45.3</v>
      </c>
      <c r="F115" s="174" t="n">
        <v>39.1</v>
      </c>
      <c r="G115" s="174" t="n">
        <v>25.4</v>
      </c>
      <c r="H115" s="174" t="n">
        <v>-11.5</v>
      </c>
      <c r="I115" s="174" t="n">
        <v>-15</v>
      </c>
      <c r="J115" s="174" t="n">
        <v>-18.5</v>
      </c>
      <c r="K115" s="175" t="inlineStr">
        <is>
          <t>9887 LEADS BIOLABS-B; 2657 FOREST CABIN; 9637 ALEBUND-B</t>
        </is>
      </c>
    </row>
    <row r="116">
      <c r="A116" s="17" t="inlineStr">
        <is>
          <t>Goldman Sachs Asset Management (Hong Kong) Limited</t>
        </is>
      </c>
      <c r="B116" s="167" t="n">
        <v>3</v>
      </c>
      <c r="C116" s="173" t="n">
        <v>100</v>
      </c>
      <c r="D116" s="174" t="n">
        <v>62.7</v>
      </c>
      <c r="E116" s="174" t="n">
        <v>35.7</v>
      </c>
      <c r="F116" s="174" t="n">
        <v>27.4</v>
      </c>
      <c r="G116" s="174" t="n">
        <v>-26.7</v>
      </c>
      <c r="H116" s="174" t="n">
        <v>-15.3</v>
      </c>
      <c r="I116" s="174" t="n">
        <v>-18.5</v>
      </c>
      <c r="J116" s="174" t="n">
        <v>-62</v>
      </c>
      <c r="K116" s="175" t="inlineStr">
        <is>
          <t>6656 SIGENERGY; 7688 TOPNC; 6951 CCTC</t>
        </is>
      </c>
    </row>
    <row r="117">
      <c r="A117" s="17" t="inlineStr">
        <is>
          <t>Poly Platinum Enterprises Limited</t>
        </is>
      </c>
      <c r="B117" s="167" t="n">
        <v>3</v>
      </c>
      <c r="C117" s="173" t="n">
        <v>100</v>
      </c>
      <c r="D117" s="174" t="n">
        <v>52.8</v>
      </c>
      <c r="E117" s="174" t="n">
        <v>54.8</v>
      </c>
      <c r="F117" s="174" t="n">
        <v>49.4</v>
      </c>
      <c r="G117" s="174" t="n">
        <v>42.7</v>
      </c>
      <c r="H117" s="174" t="n">
        <v>3</v>
      </c>
      <c r="I117" s="174" t="n">
        <v>0.2</v>
      </c>
      <c r="J117" s="174" t="n">
        <v>5.1</v>
      </c>
      <c r="K117" s="175" t="inlineStr">
        <is>
          <t>6613 LENS; 2675 EDGE MEDICAL-B; 1609 STAR SPORTS MED</t>
        </is>
      </c>
    </row>
    <row r="118">
      <c r="A118" s="17" t="inlineStr">
        <is>
          <t>China AMC</t>
        </is>
      </c>
      <c r="B118" s="167" t="n">
        <v>3</v>
      </c>
      <c r="C118" s="173" t="n">
        <v>100</v>
      </c>
      <c r="D118" s="174" t="n">
        <v>52.2</v>
      </c>
      <c r="E118" s="174" t="n">
        <v>47.8</v>
      </c>
      <c r="F118" s="174" t="n">
        <v>77.40000000000001</v>
      </c>
      <c r="G118" s="174" t="n">
        <v>77.7</v>
      </c>
      <c r="H118" s="174" t="n">
        <v>1.6</v>
      </c>
      <c r="I118" s="174" t="n">
        <v>26.6</v>
      </c>
      <c r="J118" s="174" t="n">
        <v>23.4</v>
      </c>
      <c r="K118" s="175" t="inlineStr">
        <is>
          <t>2718 MININGLAMP-W; 2698 SOFTCARE; 3696 INSILICO</t>
        </is>
      </c>
    </row>
    <row r="119">
      <c r="A119" s="17" t="inlineStr">
        <is>
          <t>Hongshan Limited</t>
        </is>
      </c>
      <c r="B119" s="167" t="n">
        <v>3</v>
      </c>
      <c r="C119" s="173" t="n">
        <v>100</v>
      </c>
      <c r="D119" s="174" t="n">
        <v>51</v>
      </c>
      <c r="E119" s="174" t="n">
        <v>70.90000000000001</v>
      </c>
      <c r="F119" s="174" t="n">
        <v>70.90000000000001</v>
      </c>
      <c r="G119" s="174" t="n">
        <v>122.1</v>
      </c>
      <c r="H119" s="174" t="n">
        <v>13.9</v>
      </c>
      <c r="I119" s="174" t="n">
        <v>14</v>
      </c>
      <c r="J119" s="174" t="n">
        <v>49.3</v>
      </c>
      <c r="K119" s="175" t="inlineStr">
        <is>
          <t>0325 BLOKS; 2097 MIXUE GROUP; 1768 BUSYMING</t>
        </is>
      </c>
    </row>
    <row r="120">
      <c r="A120" s="17" t="inlineStr">
        <is>
          <t>TradArt Investment SP</t>
        </is>
      </c>
      <c r="B120" s="167" t="n">
        <v>3</v>
      </c>
      <c r="C120" s="173" t="n">
        <v>100</v>
      </c>
      <c r="D120" s="174" t="n">
        <v>48.1</v>
      </c>
      <c r="E120" s="174" t="n">
        <v>53.3</v>
      </c>
      <c r="F120" s="174" t="n">
        <v>114.9</v>
      </c>
      <c r="G120" s="174" t="n">
        <v>147.8</v>
      </c>
      <c r="H120" s="174" t="n">
        <v>4.9</v>
      </c>
      <c r="I120" s="174" t="n">
        <v>45.8</v>
      </c>
      <c r="J120" s="174" t="n">
        <v>66.8</v>
      </c>
      <c r="K120" s="175" t="inlineStr">
        <is>
          <t>1244 3D MEDICINES-B; 6698 STAR CM; 2306 YH ENT</t>
        </is>
      </c>
    </row>
    <row r="121">
      <c r="A121" s="17" t="inlineStr">
        <is>
          <t>Yunfeng Capital</t>
        </is>
      </c>
      <c r="B121" s="167" t="n">
        <v>3</v>
      </c>
      <c r="C121" s="173" t="n">
        <v>100</v>
      </c>
      <c r="D121" s="174" t="n">
        <v>47.4</v>
      </c>
      <c r="E121" s="174" t="n">
        <v>78.59999999999999</v>
      </c>
      <c r="F121" s="174" t="n">
        <v>62.4</v>
      </c>
      <c r="G121" s="174" t="n">
        <v>191.7</v>
      </c>
      <c r="H121" s="174" t="n">
        <v>21.4</v>
      </c>
      <c r="I121" s="174" t="n">
        <v>10.9</v>
      </c>
      <c r="J121" s="174" t="n">
        <v>95</v>
      </c>
      <c r="K121" s="175" t="inlineStr">
        <is>
          <t>0325 BLOKS; 3986 GIGADEVICE; 6809 MONTAGE TECH</t>
        </is>
      </c>
    </row>
    <row r="122">
      <c r="A122" s="17" t="inlineStr">
        <is>
          <t>ORIX Asia Asset Management Limited</t>
        </is>
      </c>
      <c r="B122" s="167" t="n">
        <v>3</v>
      </c>
      <c r="C122" s="173" t="n">
        <v>67</v>
      </c>
      <c r="D122" s="174" t="n">
        <v>40.4</v>
      </c>
      <c r="E122" s="174" t="n">
        <v>23.3</v>
      </c>
      <c r="F122" s="174" t="n">
        <v>8.5</v>
      </c>
      <c r="G122" s="174" t="n">
        <v>23.3</v>
      </c>
      <c r="H122" s="174" t="n">
        <v>-6.7</v>
      </c>
      <c r="I122" s="174" t="n">
        <v>-12.9</v>
      </c>
      <c r="J122" s="174" t="n">
        <v>-12.4</v>
      </c>
      <c r="K122" s="175" t="inlineStr">
        <is>
          <t>1828 FWD; 7666 METIS TECHBIO-P; 6228 MERDEKAGOLD-DRS</t>
        </is>
      </c>
    </row>
    <row r="123">
      <c r="A123" s="17" t="inlineStr">
        <is>
          <t>Huaqin Technology</t>
        </is>
      </c>
      <c r="B123" s="167" t="n">
        <v>3</v>
      </c>
      <c r="C123" s="173" t="n">
        <v>100</v>
      </c>
      <c r="D123" s="174" t="n">
        <v>39.2</v>
      </c>
      <c r="E123" s="174" t="n">
        <v>65.8</v>
      </c>
      <c r="F123" s="174" t="n">
        <v>48.9</v>
      </c>
      <c r="G123" s="174" t="n">
        <v>149.5</v>
      </c>
      <c r="H123" s="174" t="n">
        <v>17.9</v>
      </c>
      <c r="I123" s="174" t="n">
        <v>6.4</v>
      </c>
      <c r="J123" s="174" t="n">
        <v>68.7</v>
      </c>
      <c r="K123" s="175" t="inlineStr">
        <is>
          <t>0501 OMNIVISION; 3986 GIGADEVICE; 6809 MONTAGE TECH</t>
        </is>
      </c>
    </row>
    <row r="124">
      <c r="A124" s="17" t="inlineStr">
        <is>
          <t>Co Limited (China Southern)</t>
        </is>
      </c>
      <c r="B124" s="167" t="n">
        <v>3</v>
      </c>
      <c r="C124" s="173" t="n">
        <v>100</v>
      </c>
      <c r="D124" s="174" t="n">
        <v>37.1</v>
      </c>
      <c r="E124" s="174" t="n">
        <v>52.6</v>
      </c>
      <c r="F124" s="174" t="n">
        <v>51.8</v>
      </c>
      <c r="G124" s="174" t="n">
        <v>69</v>
      </c>
      <c r="H124" s="174" t="n">
        <v>10.5</v>
      </c>
      <c r="I124" s="174" t="n">
        <v>9.9</v>
      </c>
      <c r="J124" s="174" t="n">
        <v>22</v>
      </c>
      <c r="K124" s="175" t="inlineStr">
        <is>
          <t>2097 MIXUE GROUP; 6603 IFBH; 2698 SOFTCARE</t>
        </is>
      </c>
    </row>
    <row r="125">
      <c r="A125" s="17" t="inlineStr">
        <is>
          <t>Xiamen Evere Sports Goods Co., Ltd</t>
        </is>
      </c>
      <c r="B125" s="167" t="n">
        <v>3</v>
      </c>
      <c r="C125" s="173" t="n">
        <v>100</v>
      </c>
      <c r="D125" s="174" t="n">
        <v>34.8</v>
      </c>
      <c r="E125" s="174" t="n">
        <v>39.9</v>
      </c>
      <c r="F125" s="174" t="n">
        <v>38.3</v>
      </c>
      <c r="G125" s="174" t="n">
        <v>38.7</v>
      </c>
      <c r="H125" s="174" t="n">
        <v>3.8</v>
      </c>
      <c r="I125" s="174" t="n">
        <v>3.5</v>
      </c>
      <c r="J125" s="174" t="n">
        <v>2.1</v>
      </c>
      <c r="K125" s="175" t="inlineStr">
        <is>
          <t>3650 KEEP; 1768 BUSYMING; 2726 EPIWORLD</t>
        </is>
      </c>
    </row>
    <row r="126">
      <c r="A126" s="17" t="inlineStr">
        <is>
          <t>Blue Spark Hub Pte. Ltd</t>
        </is>
      </c>
      <c r="B126" s="167" t="n">
        <v>3</v>
      </c>
      <c r="C126" s="173" t="n">
        <v>100</v>
      </c>
      <c r="D126" s="174" t="n">
        <v>31.4</v>
      </c>
      <c r="E126" s="174" t="n">
        <v>21.5</v>
      </c>
      <c r="F126" s="174" t="n">
        <v>15.9</v>
      </c>
      <c r="G126" s="174" t="n">
        <v>32</v>
      </c>
      <c r="H126" s="174" t="n">
        <v>-7.6</v>
      </c>
      <c r="I126" s="174" t="n">
        <v>-11.9</v>
      </c>
      <c r="J126" s="174" t="n">
        <v>0.8</v>
      </c>
      <c r="K126" s="175" t="inlineStr">
        <is>
          <t>2629 MIRXES-B; 6687 JST GROUP; 6938 RIBOLIFE-B</t>
        </is>
      </c>
    </row>
    <row r="127">
      <c r="A127" s="17" t="inlineStr">
        <is>
          <t>Hao Great China Focus Fund</t>
        </is>
      </c>
      <c r="B127" s="167" t="n">
        <v>3</v>
      </c>
      <c r="C127" s="173" t="n">
        <v>67</v>
      </c>
      <c r="D127" s="174" t="n">
        <v>29.1</v>
      </c>
      <c r="E127" s="174" t="n">
        <v>31.7</v>
      </c>
      <c r="F127" s="174" t="n">
        <v>27</v>
      </c>
      <c r="G127" s="174" t="n">
        <v>30.7</v>
      </c>
      <c r="H127" s="174" t="n">
        <v>3.4</v>
      </c>
      <c r="I127" s="174" t="n">
        <v>-0.6</v>
      </c>
      <c r="J127" s="174" t="n">
        <v>-12.2</v>
      </c>
      <c r="K127" s="175" t="inlineStr">
        <is>
          <t>6082 BIREN TECH; 3355 FS.COM; 3308 ZJ INNOLIGHT</t>
        </is>
      </c>
    </row>
    <row r="128">
      <c r="A128" s="17" t="inlineStr">
        <is>
          <t>Yi Fang Da Brocade Inv. Limited</t>
        </is>
      </c>
      <c r="B128" s="167" t="n">
        <v>3</v>
      </c>
      <c r="C128" s="173" t="n">
        <v>100</v>
      </c>
      <c r="D128" s="174" t="n">
        <v>29</v>
      </c>
      <c r="E128" s="174" t="n">
        <v>29.6</v>
      </c>
      <c r="F128" s="174" t="n">
        <v>11.6</v>
      </c>
      <c r="G128" s="174" t="n">
        <v>-5.6</v>
      </c>
      <c r="H128" s="174" t="n">
        <v>0</v>
      </c>
      <c r="I128" s="174" t="n">
        <v>-13.8</v>
      </c>
      <c r="J128" s="174" t="n">
        <v>-28.3</v>
      </c>
      <c r="K128" s="175" t="inlineStr">
        <is>
          <t>2160 CARDIOFLOW-B; 2162 KEYMED BIO-B; 2279 YONGHE MEDICAL</t>
        </is>
      </c>
    </row>
    <row r="129">
      <c r="A129" s="17" t="inlineStr">
        <is>
          <t>RBC Global Asset Management (Asia) Limited</t>
        </is>
      </c>
      <c r="B129" s="167" t="n">
        <v>3</v>
      </c>
      <c r="C129" s="173" t="n">
        <v>100</v>
      </c>
      <c r="D129" s="174" t="n">
        <v>29</v>
      </c>
      <c r="E129" s="174" t="n">
        <v>9.9</v>
      </c>
      <c r="F129" s="174" t="n">
        <v>36.9</v>
      </c>
      <c r="G129" s="174" t="n">
        <v>-5.4</v>
      </c>
      <c r="H129" s="174" t="n">
        <v>-12.4</v>
      </c>
      <c r="I129" s="174" t="n">
        <v>17.1</v>
      </c>
      <c r="J129" s="174" t="n">
        <v>-16.9</v>
      </c>
      <c r="K129" s="175" t="inlineStr">
        <is>
          <t>2137 BRII - B; 2714 MUYUAN; 7688 TOPNC</t>
        </is>
      </c>
    </row>
    <row r="130">
      <c r="A130" s="17" t="inlineStr">
        <is>
          <t>CDH Global Frontier Ventures Limited</t>
        </is>
      </c>
      <c r="B130" s="167" t="n">
        <v>3</v>
      </c>
      <c r="C130" s="173" t="n">
        <v>67</v>
      </c>
      <c r="D130" s="174" t="n">
        <v>25.1</v>
      </c>
      <c r="E130" s="174" t="n">
        <v>20</v>
      </c>
      <c r="F130" s="174" t="n">
        <v>-12.2</v>
      </c>
      <c r="G130" s="174" t="n">
        <v>-38.8</v>
      </c>
      <c r="H130" s="174" t="n">
        <v>3.8</v>
      </c>
      <c r="I130" s="174" t="n">
        <v>-28.2</v>
      </c>
      <c r="J130" s="174" t="n">
        <v>-66</v>
      </c>
      <c r="K130" s="175" t="inlineStr">
        <is>
          <t>7688 TOPNC; 3952 LAIFUAL; 7687 EACON</t>
        </is>
      </c>
    </row>
    <row r="131">
      <c r="A131" s="17" t="inlineStr">
        <is>
          <t>Metazone Link (HK) Limited</t>
        </is>
      </c>
      <c r="B131" s="167" t="n">
        <v>3</v>
      </c>
      <c r="C131" s="173" t="n">
        <v>100</v>
      </c>
      <c r="D131" s="174" t="n">
        <v>20.9</v>
      </c>
      <c r="E131" s="174" t="n">
        <v>23.2</v>
      </c>
      <c r="F131" s="174" t="n">
        <v>36.1</v>
      </c>
      <c r="G131" s="174" t="n">
        <v>24.3</v>
      </c>
      <c r="H131" s="174" t="n">
        <v>2.7</v>
      </c>
      <c r="I131" s="174" t="n">
        <v>12.8</v>
      </c>
      <c r="J131" s="174" t="n">
        <v>0.9</v>
      </c>
      <c r="K131" s="175" t="inlineStr">
        <is>
          <t>0300 MIDEA GROUP; 2476 VGT; 6951 CCTC</t>
        </is>
      </c>
    </row>
    <row r="132">
      <c r="A132" s="17" t="inlineStr">
        <is>
          <t>Worldwide Healthcare Partners LLC</t>
        </is>
      </c>
      <c r="B132" s="167" t="n">
        <v>3</v>
      </c>
      <c r="C132" s="173" t="n">
        <v>33</v>
      </c>
      <c r="D132" s="174" t="n">
        <v>20.8</v>
      </c>
      <c r="E132" s="174" t="n">
        <v>10.5</v>
      </c>
      <c r="F132" s="174" t="n">
        <v>1.2</v>
      </c>
      <c r="G132" s="174" t="n">
        <v>-45.8</v>
      </c>
      <c r="H132" s="174" t="n">
        <v>-7.2</v>
      </c>
      <c r="I132" s="174" t="n">
        <v>-17.9</v>
      </c>
      <c r="J132" s="174" t="n">
        <v>-45.8</v>
      </c>
      <c r="K132" s="175" t="inlineStr">
        <is>
          <t>6669 ACOTEC-B; 2216 BRONCUS-B; 7630 IMPACT THERAP-B</t>
        </is>
      </c>
    </row>
    <row r="133">
      <c r="A133" s="17" t="inlineStr">
        <is>
          <t>Indus Select Master Fund, Ltd. and Vitruvius SICAV-Asian Equity</t>
        </is>
      </c>
      <c r="B133" s="167" t="n">
        <v>3</v>
      </c>
      <c r="C133" s="173" t="n">
        <v>67</v>
      </c>
      <c r="D133" s="174" t="n">
        <v>20.7</v>
      </c>
      <c r="E133" s="174" t="n">
        <v>26.6</v>
      </c>
      <c r="F133" s="174" t="n">
        <v>10</v>
      </c>
      <c r="G133" s="174" t="n">
        <v>27.5</v>
      </c>
      <c r="H133" s="174" t="n">
        <v>5.6</v>
      </c>
      <c r="I133" s="174" t="n">
        <v>-7.3</v>
      </c>
      <c r="J133" s="174" t="n">
        <v>-17.3</v>
      </c>
      <c r="K133" s="175" t="inlineStr">
        <is>
          <t>2160 CARDIOFLOW-B; 7687 EACON; 3308 ZJ INNOLIGHT</t>
        </is>
      </c>
    </row>
    <row r="134">
      <c r="A134" s="17" t="inlineStr">
        <is>
          <t>Dragon Merit Holdings Limited</t>
        </is>
      </c>
      <c r="B134" s="167" t="n">
        <v>3</v>
      </c>
      <c r="C134" s="173" t="n">
        <v>100</v>
      </c>
      <c r="D134" s="174" t="n">
        <v>18.9</v>
      </c>
      <c r="E134" s="174" t="n">
        <v>19.2</v>
      </c>
      <c r="F134" s="174" t="n">
        <v>22.3</v>
      </c>
      <c r="G134" s="174" t="n">
        <v>7</v>
      </c>
      <c r="H134" s="174" t="n">
        <v>0.3</v>
      </c>
      <c r="I134" s="174" t="n">
        <v>3.7</v>
      </c>
      <c r="J134" s="174" t="n">
        <v>-9.4</v>
      </c>
      <c r="K134" s="175" t="inlineStr">
        <is>
          <t>2162 KEYMED BIO-B; 2285 CHERVON; 3880 MEDTIDE</t>
        </is>
      </c>
    </row>
    <row r="135">
      <c r="A135" s="17" t="inlineStr">
        <is>
          <t>Integrated Core Strategies (Asia) Pte. Ltd</t>
        </is>
      </c>
      <c r="B135" s="167" t="n">
        <v>3</v>
      </c>
      <c r="C135" s="173" t="n">
        <v>100</v>
      </c>
      <c r="D135" s="174" t="n">
        <v>18.7</v>
      </c>
      <c r="E135" s="174" t="n">
        <v>22.4</v>
      </c>
      <c r="F135" s="174" t="n">
        <v>32</v>
      </c>
      <c r="G135" s="174" t="n">
        <v>17</v>
      </c>
      <c r="H135" s="174" t="n">
        <v>2.4</v>
      </c>
      <c r="I135" s="174" t="n">
        <v>11.6</v>
      </c>
      <c r="J135" s="174" t="n">
        <v>-1.4</v>
      </c>
      <c r="K135" s="175" t="inlineStr">
        <is>
          <t>2675 EDGE MEDICAL-B; 2714 MUYUAN; 3388 CREALITY</t>
        </is>
      </c>
    </row>
    <row r="136">
      <c r="A136" s="17" t="inlineStr">
        <is>
          <t>Huizhou Guohuilian Equity Investment Fund Partnership (LP)</t>
        </is>
      </c>
      <c r="B136" s="167" t="n">
        <v>3</v>
      </c>
      <c r="C136" s="173" t="n">
        <v>100</v>
      </c>
      <c r="D136" s="174" t="n">
        <v>18.4</v>
      </c>
      <c r="E136" s="174" t="n">
        <v>34</v>
      </c>
      <c r="F136" s="174" t="n">
        <v>38.3</v>
      </c>
      <c r="G136" s="174" t="n">
        <v>70</v>
      </c>
      <c r="H136" s="174" t="n">
        <v>16</v>
      </c>
      <c r="I136" s="174" t="n">
        <v>18</v>
      </c>
      <c r="J136" s="174" t="n">
        <v>54.9</v>
      </c>
      <c r="K136" s="175" t="inlineStr">
        <is>
          <t>2531 CARLINK TECH; 9981 WOER; 2476 VGT</t>
        </is>
      </c>
    </row>
    <row r="137">
      <c r="A137" s="17" t="inlineStr">
        <is>
          <t>LMR Multi-Strategy Master Fund Limited</t>
        </is>
      </c>
      <c r="B137" s="167" t="n">
        <v>3</v>
      </c>
      <c r="C137" s="173" t="n">
        <v>67</v>
      </c>
      <c r="D137" s="174" t="n">
        <v>18</v>
      </c>
      <c r="E137" s="174" t="n">
        <v>14.1</v>
      </c>
      <c r="F137" s="174" t="n">
        <v>-1</v>
      </c>
      <c r="G137" s="174" t="n">
        <v>0.7</v>
      </c>
      <c r="H137" s="174" t="n">
        <v>-3.1</v>
      </c>
      <c r="I137" s="174" t="n">
        <v>-15</v>
      </c>
      <c r="J137" s="174" t="n">
        <v>-8.1</v>
      </c>
      <c r="K137" s="175" t="inlineStr">
        <is>
          <t>2251 AIRDOC-B; 3750 CATL; 3661 SG MICRO</t>
        </is>
      </c>
    </row>
    <row r="138">
      <c r="A138" s="17" t="inlineStr">
        <is>
          <t>China Southern Asset Management Co., Ltd</t>
        </is>
      </c>
      <c r="B138" s="167" t="n">
        <v>3</v>
      </c>
      <c r="C138" s="173" t="n">
        <v>33</v>
      </c>
      <c r="D138" s="174" t="n">
        <v>16.9</v>
      </c>
      <c r="E138" s="174" t="n">
        <v>29.4</v>
      </c>
      <c r="F138" s="174" t="n">
        <v>17.8</v>
      </c>
      <c r="G138" s="174" t="n">
        <v>85.3</v>
      </c>
      <c r="H138" s="174" t="n">
        <v>7.1</v>
      </c>
      <c r="I138" s="174" t="n">
        <v>-5.2</v>
      </c>
      <c r="J138" s="174" t="n">
        <v>41.6</v>
      </c>
      <c r="K138" s="175" t="inlineStr">
        <is>
          <t>2171 CARSGEN-B; 2150 NAYUKI; 6181 LAOPU GOLD</t>
        </is>
      </c>
    </row>
    <row r="139">
      <c r="A139" s="17" t="inlineStr">
        <is>
          <t>Ninety One Asia Pte. Limited</t>
        </is>
      </c>
      <c r="B139" s="167" t="n">
        <v>3</v>
      </c>
      <c r="C139" s="173" t="n">
        <v>67</v>
      </c>
      <c r="D139" s="174" t="n">
        <v>16.6</v>
      </c>
      <c r="E139" s="174" t="n">
        <v>17.7</v>
      </c>
      <c r="F139" s="174" t="n">
        <v>5.9</v>
      </c>
      <c r="G139" s="174" t="n"/>
      <c r="H139" s="174" t="n">
        <v>2.3</v>
      </c>
      <c r="I139" s="174" t="n">
        <v>-6.1</v>
      </c>
      <c r="J139" s="174" t="n"/>
      <c r="K139" s="175" t="inlineStr">
        <is>
          <t>3661 SG MICRO; 6951 CCTC; 3308 ZJ INNOLIGHT</t>
        </is>
      </c>
    </row>
    <row r="140">
      <c r="A140" s="17" t="inlineStr">
        <is>
          <t>AIHC Master Fund</t>
        </is>
      </c>
      <c r="B140" s="167" t="n">
        <v>3</v>
      </c>
      <c r="C140" s="173" t="n">
        <v>67</v>
      </c>
      <c r="D140" s="174" t="n">
        <v>14.4</v>
      </c>
      <c r="E140" s="174" t="n">
        <v>5.4</v>
      </c>
      <c r="F140" s="174" t="n">
        <v>25.2</v>
      </c>
      <c r="G140" s="174" t="n">
        <v>-3.9</v>
      </c>
      <c r="H140" s="174" t="n">
        <v>-7.9</v>
      </c>
      <c r="I140" s="174" t="n">
        <v>13</v>
      </c>
      <c r="J140" s="174" t="n">
        <v>-14.4</v>
      </c>
      <c r="K140" s="175" t="inlineStr">
        <is>
          <t>2190 ZYLOXTB-B; 2137 BRII - B; 2256 ABBISKO-B</t>
        </is>
      </c>
    </row>
    <row r="141">
      <c r="A141" s="17" t="inlineStr">
        <is>
          <t>ABCI Asset Management Limited</t>
        </is>
      </c>
      <c r="B141" s="167" t="n">
        <v>3</v>
      </c>
      <c r="C141" s="173" t="n">
        <v>67</v>
      </c>
      <c r="D141" s="174" t="n">
        <v>13.5</v>
      </c>
      <c r="E141" s="174" t="n">
        <v>8.199999999999999</v>
      </c>
      <c r="F141" s="174" t="n">
        <v>-2.3</v>
      </c>
      <c r="G141" s="174" t="n">
        <v>-25.5</v>
      </c>
      <c r="H141" s="174" t="n">
        <v>-4.2</v>
      </c>
      <c r="I141" s="174" t="n">
        <v>-13.7</v>
      </c>
      <c r="J141" s="174" t="n">
        <v>-36.9</v>
      </c>
      <c r="K141" s="175" t="inlineStr">
        <is>
          <t>6633 QINGCI GAMES; 6938 RIBOLIFE-B; 9611 LONGCHEER</t>
        </is>
      </c>
    </row>
    <row r="142">
      <c r="A142" s="17" t="inlineStr">
        <is>
          <t>LBC HK Opportunity Fund Limited</t>
        </is>
      </c>
      <c r="B142" s="167" t="n">
        <v>3</v>
      </c>
      <c r="C142" s="173" t="n">
        <v>33</v>
      </c>
      <c r="D142" s="174" t="n">
        <v>11.7</v>
      </c>
      <c r="E142" s="174" t="n">
        <v>17.7</v>
      </c>
      <c r="F142" s="174" t="n">
        <v>-18.2</v>
      </c>
      <c r="G142" s="174" t="n">
        <v>25.8</v>
      </c>
      <c r="H142" s="174" t="n">
        <v>11.7</v>
      </c>
      <c r="I142" s="174" t="n">
        <v>-12</v>
      </c>
      <c r="J142" s="174" t="n">
        <v>-39.1</v>
      </c>
      <c r="K142" s="175" t="inlineStr">
        <is>
          <t>2595 GENFLEET-B; 6132 HJ SCIENCE-B; 3952 LAIFUAL</t>
        </is>
      </c>
    </row>
    <row r="143">
      <c r="A143" s="17" t="inlineStr">
        <is>
          <t>China Pinnacle Equity Management Limited</t>
        </is>
      </c>
      <c r="B143" s="167" t="n">
        <v>3</v>
      </c>
      <c r="C143" s="173" t="n">
        <v>67</v>
      </c>
      <c r="D143" s="174" t="n">
        <v>10.2</v>
      </c>
      <c r="E143" s="174" t="n">
        <v>22.5</v>
      </c>
      <c r="F143" s="174" t="n">
        <v>20.1</v>
      </c>
      <c r="G143" s="174" t="n">
        <v>36.4</v>
      </c>
      <c r="H143" s="174" t="n">
        <v>7.4</v>
      </c>
      <c r="I143" s="174" t="n">
        <v>5.5</v>
      </c>
      <c r="J143" s="174" t="n">
        <v>14</v>
      </c>
      <c r="K143" s="175" t="inlineStr">
        <is>
          <t>9960 KINDSTAR GLOBAL; 3288 HAITIAN FLAV; 3986 GIGADEVICE</t>
        </is>
      </c>
    </row>
    <row r="144">
      <c r="A144" s="17" t="inlineStr">
        <is>
          <t>Seven Grand Managers, LLC</t>
        </is>
      </c>
      <c r="B144" s="167" t="n">
        <v>3</v>
      </c>
      <c r="C144" s="173" t="n">
        <v>67</v>
      </c>
      <c r="D144" s="174" t="n">
        <v>8.9</v>
      </c>
      <c r="E144" s="174" t="n">
        <v>2.9</v>
      </c>
      <c r="F144" s="174" t="n">
        <v>-1.4</v>
      </c>
      <c r="G144" s="174" t="n">
        <v>25.4</v>
      </c>
      <c r="H144" s="174" t="n">
        <v>-5.2</v>
      </c>
      <c r="I144" s="174" t="n">
        <v>-11.3</v>
      </c>
      <c r="J144" s="174" t="n">
        <v>3.4</v>
      </c>
      <c r="K144" s="175" t="inlineStr">
        <is>
          <t>3388 CREALITY; 1688 LINGYI ITECH; 7687 EACON</t>
        </is>
      </c>
    </row>
    <row r="145">
      <c r="A145" s="17" t="inlineStr">
        <is>
          <t>Hongxing International Technology Limited</t>
        </is>
      </c>
      <c r="B145" s="167" t="n">
        <v>3</v>
      </c>
      <c r="C145" s="173" t="n">
        <v>67</v>
      </c>
      <c r="D145" s="174" t="n">
        <v>7.8</v>
      </c>
      <c r="E145" s="174" t="n">
        <v>9.800000000000001</v>
      </c>
      <c r="F145" s="174" t="n">
        <v>12.3</v>
      </c>
      <c r="G145" s="174" t="n">
        <v>45.3</v>
      </c>
      <c r="H145" s="174" t="n">
        <v>1.8</v>
      </c>
      <c r="I145" s="174" t="n">
        <v>2.1</v>
      </c>
      <c r="J145" s="174" t="n">
        <v>27.3</v>
      </c>
      <c r="K145" s="175" t="inlineStr">
        <is>
          <t>3200 HANS CNC; 3296 HUAQIN; 1688 LINGYI ITECH</t>
        </is>
      </c>
    </row>
    <row r="146">
      <c r="A146" s="17" t="inlineStr">
        <is>
          <t>Jinyi Capital Multi-Strategy Fund SPC Ltd</t>
        </is>
      </c>
      <c r="B146" s="167" t="n">
        <v>3</v>
      </c>
      <c r="C146" s="173" t="n">
        <v>67</v>
      </c>
      <c r="D146" s="174" t="n">
        <v>4.9</v>
      </c>
      <c r="E146" s="174" t="n">
        <v>9.1</v>
      </c>
      <c r="F146" s="174" t="n">
        <v>7</v>
      </c>
      <c r="G146" s="174" t="n">
        <v>-12</v>
      </c>
      <c r="H146" s="174" t="n">
        <v>4.1</v>
      </c>
      <c r="I146" s="174" t="n">
        <v>0.6</v>
      </c>
      <c r="J146" s="174" t="n">
        <v>-17.1</v>
      </c>
      <c r="K146" s="175" t="inlineStr">
        <is>
          <t>0600 AXERA; 3268 MEIG; 3296 HUAQIN</t>
        </is>
      </c>
    </row>
    <row r="147">
      <c r="A147" s="17" t="inlineStr">
        <is>
          <t>Glencore International AG</t>
        </is>
      </c>
      <c r="B147" s="167" t="n">
        <v>3</v>
      </c>
      <c r="C147" s="173" t="n">
        <v>33</v>
      </c>
      <c r="D147" s="174" t="n">
        <v>4.8</v>
      </c>
      <c r="E147" s="174" t="n">
        <v>6.7</v>
      </c>
      <c r="F147" s="174" t="n">
        <v>5.5</v>
      </c>
      <c r="G147" s="174" t="n">
        <v>1.9</v>
      </c>
      <c r="H147" s="174" t="n">
        <v>1.6</v>
      </c>
      <c r="I147" s="174" t="n">
        <v>0.8</v>
      </c>
      <c r="J147" s="174" t="n">
        <v>-4</v>
      </c>
      <c r="K147" s="175" t="inlineStr">
        <is>
          <t>2610 NANSHAN AL INTL; 3636 JINXUN RESOURCE; 6228 MERDEKAGOLD-DRS</t>
        </is>
      </c>
    </row>
    <row r="148">
      <c r="A148" s="17" t="inlineStr">
        <is>
          <t>Relationship* Wuxi Lvlian</t>
        </is>
      </c>
      <c r="B148" s="167" t="n">
        <v>3</v>
      </c>
      <c r="C148" s="173" t="n">
        <v>67</v>
      </c>
      <c r="D148" s="174" t="n">
        <v>4.8</v>
      </c>
      <c r="E148" s="174" t="n">
        <v>-0.1</v>
      </c>
      <c r="F148" s="174" t="n">
        <v>9</v>
      </c>
      <c r="G148" s="174" t="n">
        <v>111.3</v>
      </c>
      <c r="H148" s="174" t="n">
        <v>-4.7</v>
      </c>
      <c r="I148" s="174" t="n">
        <v>4.9</v>
      </c>
      <c r="J148" s="174" t="n">
        <v>106.7</v>
      </c>
      <c r="K148" s="175" t="inlineStr">
        <is>
          <t>6831 GREEN TEA GROUP; 2698 SOFTCARE; 3317 XUNCE</t>
        </is>
      </c>
    </row>
    <row r="149">
      <c r="A149" s="17" t="inlineStr">
        <is>
          <t>Duckling Fund, L.P</t>
        </is>
      </c>
      <c r="B149" s="167" t="n">
        <v>3</v>
      </c>
      <c r="C149" s="173" t="n">
        <v>67</v>
      </c>
      <c r="D149" s="174" t="n">
        <v>3.8</v>
      </c>
      <c r="E149" s="174" t="n">
        <v>8.800000000000001</v>
      </c>
      <c r="F149" s="174" t="n">
        <v>21</v>
      </c>
      <c r="G149" s="174" t="n">
        <v>98.40000000000001</v>
      </c>
      <c r="H149" s="174" t="n">
        <v>4.8</v>
      </c>
      <c r="I149" s="174" t="n">
        <v>18.4</v>
      </c>
      <c r="J149" s="174" t="n">
        <v>95.40000000000001</v>
      </c>
      <c r="K149" s="175" t="inlineStr">
        <is>
          <t>1364 GUMING; 2657 FOREST CABIN; 9903 ILUVATAR COREX</t>
        </is>
      </c>
    </row>
    <row r="150">
      <c r="A150" s="17" t="inlineStr">
        <is>
          <t>PT Esta Indonesia</t>
        </is>
      </c>
      <c r="B150" s="167" t="n">
        <v>3</v>
      </c>
      <c r="C150" s="173" t="n">
        <v>33</v>
      </c>
      <c r="D150" s="174" t="n">
        <v>3.3</v>
      </c>
      <c r="E150" s="174" t="n">
        <v>-2.5</v>
      </c>
      <c r="F150" s="174" t="n">
        <v>-7.5</v>
      </c>
      <c r="G150" s="174" t="n">
        <v>0.5</v>
      </c>
      <c r="H150" s="174" t="n">
        <v>-5.5</v>
      </c>
      <c r="I150" s="174" t="n">
        <v>-9.6</v>
      </c>
      <c r="J150" s="174" t="n">
        <v>-1</v>
      </c>
      <c r="K150" s="175" t="inlineStr">
        <is>
          <t>1497 YAN PALACE; 2460 CR BEVERAGE; 2610 NANSHAN AL INTL</t>
        </is>
      </c>
    </row>
    <row r="151">
      <c r="A151" s="17" t="inlineStr">
        <is>
          <t>Colorful Cloud</t>
        </is>
      </c>
      <c r="B151" s="167" t="n">
        <v>3</v>
      </c>
      <c r="C151" s="173" t="n">
        <v>67</v>
      </c>
      <c r="D151" s="174" t="n">
        <v>2.4</v>
      </c>
      <c r="E151" s="174" t="n">
        <v>-1.4</v>
      </c>
      <c r="F151" s="174" t="n">
        <v>-12.7</v>
      </c>
      <c r="G151" s="174" t="n">
        <v>-22.7</v>
      </c>
      <c r="H151" s="174" t="n">
        <v>-5.4</v>
      </c>
      <c r="I151" s="174" t="n">
        <v>-15.5</v>
      </c>
      <c r="J151" s="174" t="n">
        <v>-25.1</v>
      </c>
      <c r="K151" s="175" t="inlineStr">
        <is>
          <t>2392 XUANWU CLOUD; 2671 USAS BUILDING; 9976 LONGSYS</t>
        </is>
      </c>
    </row>
    <row r="152">
      <c r="A152" s="17" t="inlineStr">
        <is>
          <t>Pacific Asset Management Co., Limited</t>
        </is>
      </c>
      <c r="B152" s="167" t="n">
        <v>3</v>
      </c>
      <c r="C152" s="173" t="n">
        <v>33</v>
      </c>
      <c r="D152" s="174" t="n">
        <v>1.6</v>
      </c>
      <c r="E152" s="174" t="n">
        <v>1.1</v>
      </c>
      <c r="F152" s="174" t="n">
        <v>-2.4</v>
      </c>
      <c r="G152" s="174" t="n">
        <v>3.8</v>
      </c>
      <c r="H152" s="174" t="n">
        <v>-0.4</v>
      </c>
      <c r="I152" s="174" t="n">
        <v>-4.6</v>
      </c>
      <c r="J152" s="174" t="n">
        <v>-0.3</v>
      </c>
      <c r="K152" s="175" t="inlineStr">
        <is>
          <t>9696 TIANQI LITHIUM; 3750 CATL; 0638 FIBOCOM</t>
        </is>
      </c>
    </row>
    <row r="153">
      <c r="A153" s="17" t="inlineStr">
        <is>
          <t>Xian Yuanda Electronic Equipment Co., Ltd</t>
        </is>
      </c>
      <c r="B153" s="167" t="n">
        <v>3</v>
      </c>
      <c r="C153" s="173" t="n">
        <v>33</v>
      </c>
      <c r="D153" s="174" t="n">
        <v>1.3</v>
      </c>
      <c r="E153" s="174" t="n">
        <v>26.2</v>
      </c>
      <c r="F153" s="174" t="n">
        <v>35.5</v>
      </c>
      <c r="G153" s="174" t="n">
        <v>83.8</v>
      </c>
      <c r="H153" s="174" t="n">
        <v>20.1</v>
      </c>
      <c r="I153" s="174" t="n">
        <v>31.5</v>
      </c>
      <c r="J153" s="174" t="n">
        <v>85.2</v>
      </c>
      <c r="K153" s="175" t="inlineStr">
        <is>
          <t>2418 DEEWIN; 2536 PALASINO; 1354 KINGFARPROPERTY</t>
        </is>
      </c>
    </row>
    <row r="154">
      <c r="A154" s="17" t="inlineStr">
        <is>
          <t>Golden Link Worldwide Limited</t>
        </is>
      </c>
      <c r="B154" s="167" t="n">
        <v>3</v>
      </c>
      <c r="C154" s="173" t="n">
        <v>33</v>
      </c>
      <c r="D154" s="174" t="n">
        <v>1.2</v>
      </c>
      <c r="E154" s="174" t="n">
        <v>8.9</v>
      </c>
      <c r="F154" s="174" t="n">
        <v>15.8</v>
      </c>
      <c r="G154" s="174" t="n">
        <v>23.8</v>
      </c>
      <c r="H154" s="174" t="n">
        <v>7.3</v>
      </c>
      <c r="I154" s="174" t="n">
        <v>14.3</v>
      </c>
      <c r="J154" s="174" t="n">
        <v>21.2</v>
      </c>
      <c r="K154" s="175" t="inlineStr">
        <is>
          <t>0300 MIDEA GROUP; 2676 NOVOSENSE; 6880 MOMENTA-W</t>
        </is>
      </c>
    </row>
    <row r="155">
      <c r="A155" s="17" t="inlineStr">
        <is>
          <t>China Sichuan International Investment Limited</t>
        </is>
      </c>
      <c r="B155" s="167" t="n">
        <v>3</v>
      </c>
      <c r="C155" s="173" t="n">
        <v>67</v>
      </c>
      <c r="D155" s="174" t="n">
        <v>0.5</v>
      </c>
      <c r="E155" s="174" t="n">
        <v>0.1</v>
      </c>
      <c r="F155" s="174" t="n">
        <v>-9.699999999999999</v>
      </c>
      <c r="G155" s="174" t="n">
        <v>-23.8</v>
      </c>
      <c r="H155" s="174" t="n">
        <v>-0.3</v>
      </c>
      <c r="I155" s="174" t="n">
        <v>-10.1</v>
      </c>
      <c r="J155" s="174" t="n">
        <v>-24.1</v>
      </c>
      <c r="K155" s="175" t="inlineStr">
        <is>
          <t>3658 NEW HOPE SERV; 9696 TIANQI LITHIUM; 9636 JF WEALTH</t>
        </is>
      </c>
    </row>
    <row r="156">
      <c r="A156" s="17" t="inlineStr">
        <is>
          <t>Hainan Financial Holdings Co., Ltd</t>
        </is>
      </c>
      <c r="B156" s="167" t="n">
        <v>3</v>
      </c>
      <c r="C156" s="173" t="n">
        <v>33</v>
      </c>
      <c r="D156" s="174" t="n">
        <v>0.3</v>
      </c>
      <c r="E156" s="174" t="n">
        <v>2.2</v>
      </c>
      <c r="F156" s="174" t="n">
        <v>9</v>
      </c>
      <c r="G156" s="174" t="n">
        <v>-1.7</v>
      </c>
      <c r="H156" s="174" t="n">
        <v>1.9</v>
      </c>
      <c r="I156" s="174" t="n">
        <v>8.699999999999999</v>
      </c>
      <c r="J156" s="174" t="n">
        <v>-2</v>
      </c>
      <c r="K156" s="175" t="inlineStr">
        <is>
          <t>9638 FERRETTI; 1880 CTG DUTY-FREE; 2451 LUYUAN GP HLDG</t>
        </is>
      </c>
    </row>
    <row r="157">
      <c r="A157" s="17" t="inlineStr">
        <is>
          <t>Keltic Investment (HK) Limited</t>
        </is>
      </c>
      <c r="B157" s="167" t="n">
        <v>3</v>
      </c>
      <c r="C157" s="173" t="n">
        <v>33</v>
      </c>
      <c r="D157" s="174" t="n">
        <v>0.1</v>
      </c>
      <c r="E157" s="174" t="n">
        <v>1.9</v>
      </c>
      <c r="F157" s="174" t="n">
        <v>-23.7</v>
      </c>
      <c r="G157" s="174" t="n">
        <v>-40.6</v>
      </c>
      <c r="H157" s="174" t="n">
        <v>1.8</v>
      </c>
      <c r="I157" s="174" t="n">
        <v>-23.7</v>
      </c>
      <c r="J157" s="174" t="n">
        <v>-40.6</v>
      </c>
      <c r="K157" s="175" t="inlineStr">
        <is>
          <t>3658 NEW HOPE SERV; 6626 YUEXIU SERVICES; 2210 BEIJING JIAYE</t>
        </is>
      </c>
    </row>
    <row r="158">
      <c r="A158" s="17" t="inlineStr">
        <is>
          <t>Vivo Opportunity Fund, L.P</t>
        </is>
      </c>
      <c r="B158" s="167" t="n">
        <v>3</v>
      </c>
      <c r="C158" s="173" t="n">
        <v>33</v>
      </c>
      <c r="D158" s="174" t="n">
        <v>-0.1</v>
      </c>
      <c r="E158" s="174" t="n">
        <v>-7.9</v>
      </c>
      <c r="F158" s="174" t="n">
        <v>-17.1</v>
      </c>
      <c r="G158" s="174" t="n">
        <v>-23.9</v>
      </c>
      <c r="H158" s="174" t="n">
        <v>-7.8</v>
      </c>
      <c r="I158" s="174" t="n">
        <v>-17</v>
      </c>
      <c r="J158" s="174" t="n">
        <v>-23.8</v>
      </c>
      <c r="K158" s="175" t="inlineStr">
        <is>
          <t>2256 ABBISKO-B; 2157 LEPU BIO-B; 2561 VISEN PHARMA-B</t>
        </is>
      </c>
    </row>
    <row r="159">
      <c r="A159" s="17" t="inlineStr">
        <is>
          <t>Main Source Capital Limited</t>
        </is>
      </c>
      <c r="B159" s="167" t="n">
        <v>3</v>
      </c>
      <c r="C159" s="173" t="n">
        <v>67</v>
      </c>
      <c r="D159" s="174" t="n">
        <v>-0.6</v>
      </c>
      <c r="E159" s="174" t="n">
        <v>-1.8</v>
      </c>
      <c r="F159" s="174" t="n">
        <v>-17.2</v>
      </c>
      <c r="G159" s="174" t="n">
        <v>-2.4</v>
      </c>
      <c r="H159" s="174" t="n">
        <v>-0.2</v>
      </c>
      <c r="I159" s="174" t="n">
        <v>-12.8</v>
      </c>
      <c r="J159" s="174" t="n">
        <v>13.8</v>
      </c>
      <c r="K159" s="175" t="inlineStr">
        <is>
          <t>9881 RONGTA TECH; 3378 HANXBIO-B; 2692 ZHAOWEI</t>
        </is>
      </c>
    </row>
    <row r="160">
      <c r="A160" s="17" t="inlineStr">
        <is>
          <t>NGS Super Pty Limited</t>
        </is>
      </c>
      <c r="B160" s="167" t="n">
        <v>3</v>
      </c>
      <c r="C160" s="173" t="n">
        <v>0</v>
      </c>
      <c r="D160" s="174" t="n">
        <v>-0.7</v>
      </c>
      <c r="E160" s="174" t="n">
        <v>9.300000000000001</v>
      </c>
      <c r="F160" s="174" t="n">
        <v>-1.7</v>
      </c>
      <c r="G160" s="174" t="n">
        <v>-28</v>
      </c>
      <c r="H160" s="174" t="n">
        <v>10.2</v>
      </c>
      <c r="I160" s="174" t="n">
        <v>-1</v>
      </c>
      <c r="J160" s="174" t="n">
        <v>-28</v>
      </c>
      <c r="K160" s="175" t="inlineStr">
        <is>
          <t>0600 AXERA; 2249 NEXCHIP; 3308 ZJ INNOLIGHT</t>
        </is>
      </c>
    </row>
    <row r="161">
      <c r="A161" s="17" t="inlineStr">
        <is>
          <t>SCC Growth VI Holdco F, Ltd</t>
        </is>
      </c>
      <c r="B161" s="167" t="n">
        <v>3</v>
      </c>
      <c r="C161" s="173" t="n">
        <v>67</v>
      </c>
      <c r="D161" s="174" t="n">
        <v>-1.2</v>
      </c>
      <c r="E161" s="174" t="n">
        <v>-3</v>
      </c>
      <c r="F161" s="174" t="n">
        <v>23.8</v>
      </c>
      <c r="G161" s="174" t="n">
        <v>5.8</v>
      </c>
      <c r="H161" s="174" t="n">
        <v>-1.9</v>
      </c>
      <c r="I161" s="174" t="n">
        <v>24.3</v>
      </c>
      <c r="J161" s="174" t="n">
        <v>7.3</v>
      </c>
      <c r="K161" s="175" t="inlineStr">
        <is>
          <t>6127 JOINN; 2137 BRII - B; 2179 RECBIO-B</t>
        </is>
      </c>
    </row>
    <row r="162">
      <c r="A162" s="17" t="inlineStr">
        <is>
          <t>Horizon Together Holding Ltd</t>
        </is>
      </c>
      <c r="B162" s="167" t="n">
        <v>3</v>
      </c>
      <c r="C162" s="173" t="n">
        <v>67</v>
      </c>
      <c r="D162" s="174" t="n">
        <v>-1.7</v>
      </c>
      <c r="E162" s="174" t="n">
        <v>-5</v>
      </c>
      <c r="F162" s="174" t="n">
        <v>-2</v>
      </c>
      <c r="G162" s="174" t="n">
        <v>17.4</v>
      </c>
      <c r="H162" s="174" t="n">
        <v>-2.7</v>
      </c>
      <c r="I162" s="174" t="n">
        <v>-2</v>
      </c>
      <c r="J162" s="174" t="n">
        <v>14.7</v>
      </c>
      <c r="K162" s="175" t="inlineStr">
        <is>
          <t>2431 MINIEYE; 9973 CHERY AUTO; 9609 HAIWEI ELEC</t>
        </is>
      </c>
    </row>
    <row r="163">
      <c r="A163" s="17" t="inlineStr">
        <is>
          <t>Alphahill Capital Limited</t>
        </is>
      </c>
      <c r="B163" s="167" t="n">
        <v>3</v>
      </c>
      <c r="C163" s="173" t="n">
        <v>33</v>
      </c>
      <c r="D163" s="174" t="n">
        <v>-2.1</v>
      </c>
      <c r="E163" s="174" t="n">
        <v>21.3</v>
      </c>
      <c r="F163" s="174" t="n">
        <v>-13.1</v>
      </c>
      <c r="G163" s="174" t="n">
        <v>64.3</v>
      </c>
      <c r="H163" s="174" t="n">
        <v>25.1</v>
      </c>
      <c r="I163" s="174" t="n">
        <v>-12.7</v>
      </c>
      <c r="J163" s="174" t="n">
        <v>54.3</v>
      </c>
      <c r="K163" s="175" t="inlineStr">
        <is>
          <t>9903 ILUVATAR COREX; 0600 AXERA; 3952 LAIFUAL</t>
        </is>
      </c>
    </row>
    <row r="164">
      <c r="A164" s="17" t="inlineStr">
        <is>
          <t>CRF Investment Holdings Company Limited</t>
        </is>
      </c>
      <c r="B164" s="167" t="n">
        <v>3</v>
      </c>
      <c r="C164" s="173" t="n">
        <v>33</v>
      </c>
      <c r="D164" s="174" t="n">
        <v>-2.5</v>
      </c>
      <c r="E164" s="174" t="n">
        <v>-4.1</v>
      </c>
      <c r="F164" s="174" t="n">
        <v>-21.5</v>
      </c>
      <c r="G164" s="174" t="n">
        <v>-9.4</v>
      </c>
      <c r="H164" s="174" t="n">
        <v>-1.9</v>
      </c>
      <c r="I164" s="174" t="n">
        <v>-18.9</v>
      </c>
      <c r="J164" s="174" t="n">
        <v>-6.5</v>
      </c>
      <c r="K164" s="175" t="inlineStr">
        <is>
          <t>2170 BASECARE-B; 6127 JOINN; 2561 VISEN PHARMA-B</t>
        </is>
      </c>
    </row>
    <row r="165">
      <c r="A165" s="17" t="inlineStr">
        <is>
          <t>China Galaxy International Investment Company Limited</t>
        </is>
      </c>
      <c r="B165" s="167" t="n">
        <v>3</v>
      </c>
      <c r="C165" s="173" t="n">
        <v>67</v>
      </c>
      <c r="D165" s="174" t="n">
        <v>-3.6</v>
      </c>
      <c r="E165" s="174" t="n">
        <v>-11.2</v>
      </c>
      <c r="F165" s="174" t="n">
        <v>-10.6</v>
      </c>
      <c r="G165" s="174" t="n">
        <v>-39.1</v>
      </c>
      <c r="H165" s="174" t="n">
        <v>-6.9</v>
      </c>
      <c r="I165" s="174" t="n">
        <v>-7.9</v>
      </c>
      <c r="J165" s="174" t="n">
        <v>-33.1</v>
      </c>
      <c r="K165" s="175" t="inlineStr">
        <is>
          <t>2408 XIAO NOODLES; 9611 LONGCHEER; 2677 DISTINCT HEALTH</t>
        </is>
      </c>
    </row>
    <row r="166">
      <c r="A166" s="17" t="inlineStr">
        <is>
          <t>Hel Ved Master Fund</t>
        </is>
      </c>
      <c r="B166" s="167" t="n">
        <v>3</v>
      </c>
      <c r="C166" s="173" t="n">
        <v>0</v>
      </c>
      <c r="D166" s="174" t="n">
        <v>-3.7</v>
      </c>
      <c r="E166" s="174" t="n">
        <v>2.6</v>
      </c>
      <c r="F166" s="174" t="n">
        <v>-8.300000000000001</v>
      </c>
      <c r="G166" s="174" t="n">
        <v>-26.7</v>
      </c>
      <c r="H166" s="174" t="n">
        <v>5.9</v>
      </c>
      <c r="I166" s="174" t="n">
        <v>-4.9</v>
      </c>
      <c r="J166" s="174" t="n">
        <v>-22.9</v>
      </c>
      <c r="K166" s="175" t="inlineStr">
        <is>
          <t>2026 PONY-W; 0600 AXERA; 1377 DTECH</t>
        </is>
      </c>
    </row>
    <row r="167">
      <c r="A167" s="17" t="inlineStr">
        <is>
          <t>SCGC Capital Holding Company Limited</t>
        </is>
      </c>
      <c r="B167" s="167" t="n">
        <v>3</v>
      </c>
      <c r="C167" s="173" t="n">
        <v>67</v>
      </c>
      <c r="D167" s="174" t="n">
        <v>-10.2</v>
      </c>
      <c r="E167" s="174" t="n">
        <v>-14.9</v>
      </c>
      <c r="F167" s="174" t="n">
        <v>-18.4</v>
      </c>
      <c r="G167" s="174" t="n">
        <v>-12.9</v>
      </c>
      <c r="H167" s="174" t="n">
        <v>-5.5</v>
      </c>
      <c r="I167" s="174" t="n">
        <v>-10</v>
      </c>
      <c r="J167" s="174" t="n">
        <v>0.1</v>
      </c>
      <c r="K167" s="175" t="inlineStr">
        <is>
          <t>6668 E-STAR CM; 2560 CONCH MAT TECH; 3355 FS.COM</t>
        </is>
      </c>
    </row>
    <row r="168">
      <c r="A168" s="17" t="inlineStr">
        <is>
          <t>Wong Cheuk Tim, Timothy</t>
        </is>
      </c>
      <c r="B168" s="167" t="n">
        <v>3</v>
      </c>
      <c r="C168" s="173" t="n">
        <v>0</v>
      </c>
      <c r="D168" s="174" t="n">
        <v>-12.8</v>
      </c>
      <c r="E168" s="174" t="n">
        <v>-20.7</v>
      </c>
      <c r="F168" s="174" t="n">
        <v>-19.8</v>
      </c>
      <c r="G168" s="174" t="n">
        <v>-25</v>
      </c>
      <c r="H168" s="174" t="n">
        <v>-9.199999999999999</v>
      </c>
      <c r="I168" s="174" t="n">
        <v>-9.1</v>
      </c>
      <c r="J168" s="174" t="n">
        <v>-16.1</v>
      </c>
      <c r="K168" s="175" t="inlineStr">
        <is>
          <t>2350 MTT GROUP; 1497 YAN PALACE; 2519 AUGROUP</t>
        </is>
      </c>
    </row>
    <row r="169">
      <c r="A169" s="17" t="inlineStr">
        <is>
          <t>Yangtze River (Hong Kong) Limited</t>
        </is>
      </c>
      <c r="B169" s="167" t="n">
        <v>3</v>
      </c>
      <c r="C169" s="173" t="n">
        <v>33</v>
      </c>
      <c r="D169" s="174" t="n">
        <v>-17.3</v>
      </c>
      <c r="E169" s="174" t="n">
        <v>-15.5</v>
      </c>
      <c r="F169" s="174" t="n">
        <v>-26.8</v>
      </c>
      <c r="G169" s="174" t="n">
        <v>-22.2</v>
      </c>
      <c r="H169" s="174" t="n">
        <v>1.6</v>
      </c>
      <c r="I169" s="174" t="n">
        <v>-10.4</v>
      </c>
      <c r="J169" s="174" t="n">
        <v>6.2</v>
      </c>
      <c r="K169" s="175" t="inlineStr">
        <is>
          <t>2179 RECBIO-B; 9955 CLOUDR; 3378 HANXBIO-B</t>
        </is>
      </c>
    </row>
    <row r="170">
      <c r="A170" s="17" t="inlineStr">
        <is>
          <t>Gotion High-Tech (HK)</t>
        </is>
      </c>
      <c r="B170" s="167" t="n">
        <v>3</v>
      </c>
      <c r="C170" s="173" t="n">
        <v>33</v>
      </c>
      <c r="D170" s="174" t="n">
        <v>-19.3</v>
      </c>
      <c r="E170" s="174" t="n">
        <v>-21.4</v>
      </c>
      <c r="F170" s="174" t="n">
        <v>-17.3</v>
      </c>
      <c r="G170" s="174" t="n">
        <v>-5.4</v>
      </c>
      <c r="H170" s="174" t="n">
        <v>-3.4</v>
      </c>
      <c r="I170" s="174" t="n">
        <v>0.5</v>
      </c>
      <c r="J170" s="174" t="n">
        <v>18</v>
      </c>
      <c r="K170" s="175" t="inlineStr">
        <is>
          <t>2560 CONCH MAT TECH; 2643 CAOCAO INC; 9973 CHERY AUTO</t>
        </is>
      </c>
    </row>
    <row r="171">
      <c r="A171" s="17" t="inlineStr">
        <is>
          <t>June Star Global Limited</t>
        </is>
      </c>
      <c r="B171" s="167" t="n">
        <v>2</v>
      </c>
      <c r="C171" s="173" t="n">
        <v>100</v>
      </c>
      <c r="D171" s="174" t="n">
        <v>192.6</v>
      </c>
      <c r="E171" s="174" t="n">
        <v>175.3</v>
      </c>
      <c r="F171" s="174" t="n">
        <v>192.8</v>
      </c>
      <c r="G171" s="174" t="n">
        <v>124.8</v>
      </c>
      <c r="H171" s="174" t="n">
        <v>-5.8</v>
      </c>
      <c r="I171" s="174" t="n">
        <v>1.2</v>
      </c>
      <c r="J171" s="174" t="n">
        <v>-22.4</v>
      </c>
      <c r="K171" s="175" t="inlineStr">
        <is>
          <t>2591 INNOGEN-B; 6872 TENNOR THERAP-B</t>
        </is>
      </c>
    </row>
    <row r="172">
      <c r="A172" s="17" t="inlineStr">
        <is>
          <t>Lenovo Group Limited</t>
        </is>
      </c>
      <c r="B172" s="167" t="n">
        <v>2</v>
      </c>
      <c r="C172" s="173" t="n">
        <v>50</v>
      </c>
      <c r="D172" s="174" t="n">
        <v>191.3</v>
      </c>
      <c r="E172" s="174" t="n">
        <v>385</v>
      </c>
      <c r="F172" s="174" t="n">
        <v>236.2</v>
      </c>
      <c r="G172" s="174" t="n">
        <v>27.3</v>
      </c>
      <c r="H172" s="174" t="n">
        <v>0.3</v>
      </c>
      <c r="I172" s="174" t="n">
        <v>-30.5</v>
      </c>
      <c r="J172" s="174" t="n">
        <v>-73.7</v>
      </c>
      <c r="K172" s="175" t="inlineStr">
        <is>
          <t>1879 XIZHI TECH-P; 9976 LONGSYS</t>
        </is>
      </c>
    </row>
    <row r="173">
      <c r="A173" s="17" t="inlineStr">
        <is>
          <t>LC Logistics, Inc</t>
        </is>
      </c>
      <c r="B173" s="167" t="n">
        <v>2</v>
      </c>
      <c r="C173" s="173" t="n">
        <v>50</v>
      </c>
      <c r="D173" s="174" t="n">
        <v>115.4</v>
      </c>
      <c r="E173" s="174" t="n">
        <v>138</v>
      </c>
      <c r="F173" s="174" t="n">
        <v>92.7</v>
      </c>
      <c r="G173" s="174" t="n">
        <v>54.2</v>
      </c>
      <c r="H173" s="174" t="n">
        <v>1.8</v>
      </c>
      <c r="I173" s="174" t="n">
        <v>-9.9</v>
      </c>
      <c r="J173" s="174" t="n">
        <v>-23.1</v>
      </c>
      <c r="K173" s="175" t="inlineStr">
        <is>
          <t>2519 AUGROUP; 2706 HAIZHI TECH GP</t>
        </is>
      </c>
    </row>
    <row r="174">
      <c r="A174" s="17" t="inlineStr">
        <is>
          <t>Top Vast (Hong Kong) Limited</t>
        </is>
      </c>
      <c r="B174" s="167" t="n">
        <v>2</v>
      </c>
      <c r="C174" s="173" t="n">
        <v>50</v>
      </c>
      <c r="D174" s="174" t="n">
        <v>94</v>
      </c>
      <c r="E174" s="174" t="n">
        <v>112.1</v>
      </c>
      <c r="F174" s="174" t="n">
        <v>128.7</v>
      </c>
      <c r="G174" s="174" t="n">
        <v>144.2</v>
      </c>
      <c r="H174" s="174" t="n">
        <v>7.6</v>
      </c>
      <c r="I174" s="174" t="n">
        <v>6.4</v>
      </c>
      <c r="J174" s="174" t="n">
        <v>12.1</v>
      </c>
      <c r="K174" s="175" t="inlineStr">
        <is>
          <t>6639 ARRAIL GROUP; 6658 LIULIUMEI</t>
        </is>
      </c>
    </row>
    <row r="175">
      <c r="A175" s="17" t="inlineStr">
        <is>
          <t>MPC VII Pte. Ltd</t>
        </is>
      </c>
      <c r="B175" s="167" t="n">
        <v>2</v>
      </c>
      <c r="C175" s="173" t="n">
        <v>100</v>
      </c>
      <c r="D175" s="174" t="n">
        <v>83.7</v>
      </c>
      <c r="E175" s="174" t="n">
        <v>91.5</v>
      </c>
      <c r="F175" s="174" t="n">
        <v>100.5</v>
      </c>
      <c r="G175" s="174" t="n">
        <v>215.9</v>
      </c>
      <c r="H175" s="174" t="n">
        <v>0.6</v>
      </c>
      <c r="I175" s="174" t="n">
        <v>2.7</v>
      </c>
      <c r="J175" s="174" t="n">
        <v>57.7</v>
      </c>
      <c r="K175" s="175" t="inlineStr">
        <is>
          <t>2549 CAROTE LTD; 0100 MINIMAX-WP</t>
        </is>
      </c>
    </row>
    <row r="176">
      <c r="A176" s="17" t="inlineStr">
        <is>
          <t>Sunny Festive Limited</t>
        </is>
      </c>
      <c r="B176" s="167" t="n">
        <v>2</v>
      </c>
      <c r="C176" s="173" t="n">
        <v>50</v>
      </c>
      <c r="D176" s="174" t="n">
        <v>78.09999999999999</v>
      </c>
      <c r="E176" s="174" t="n">
        <v>122.7</v>
      </c>
      <c r="F176" s="174" t="n">
        <v>52.3</v>
      </c>
      <c r="G176" s="174" t="n">
        <v>105.4</v>
      </c>
      <c r="H176" s="174" t="n">
        <v>16.9</v>
      </c>
      <c r="I176" s="174" t="n">
        <v>-20.7</v>
      </c>
      <c r="J176" s="174" t="n">
        <v>-21.3</v>
      </c>
      <c r="K176" s="175" t="inlineStr">
        <is>
          <t>1024 KUAISHOU-W; 1688 LINGYI ITECH</t>
        </is>
      </c>
    </row>
    <row r="177">
      <c r="A177" s="17" t="inlineStr">
        <is>
          <t>Velmar Company Limited</t>
        </is>
      </c>
      <c r="B177" s="167" t="n">
        <v>2</v>
      </c>
      <c r="C177" s="173" t="n">
        <v>100</v>
      </c>
      <c r="D177" s="174" t="n">
        <v>74.7</v>
      </c>
      <c r="E177" s="174" t="n">
        <v>68.3</v>
      </c>
      <c r="F177" s="174" t="n">
        <v>61.1</v>
      </c>
      <c r="G177" s="174" t="n">
        <v>13.2</v>
      </c>
      <c r="H177" s="174" t="n">
        <v>-2.8</v>
      </c>
      <c r="I177" s="174" t="n">
        <v>-10</v>
      </c>
      <c r="J177" s="174" t="n">
        <v>-28.9</v>
      </c>
      <c r="K177" s="175" t="inlineStr">
        <is>
          <t>2158 YIDU TECH; 9980 EASTROC</t>
        </is>
      </c>
    </row>
    <row r="178">
      <c r="A178" s="17" t="inlineStr">
        <is>
          <t>CYGG Holding Limited</t>
        </is>
      </c>
      <c r="B178" s="167" t="n">
        <v>2</v>
      </c>
      <c r="C178" s="173" t="n">
        <v>50</v>
      </c>
      <c r="D178" s="174" t="n">
        <v>74.59999999999999</v>
      </c>
      <c r="E178" s="174" t="n">
        <v>22.3</v>
      </c>
      <c r="F178" s="174" t="n">
        <v>68.7</v>
      </c>
      <c r="G178" s="174" t="n">
        <v>-0.8</v>
      </c>
      <c r="H178" s="174" t="n">
        <v>28.3</v>
      </c>
      <c r="I178" s="174" t="n">
        <v>76.90000000000001</v>
      </c>
      <c r="J178" s="174" t="n">
        <v>4</v>
      </c>
      <c r="K178" s="175" t="inlineStr">
        <is>
          <t>1511 UISEE TECH; 3231 EXCELLAND ROBOT</t>
        </is>
      </c>
    </row>
    <row r="179">
      <c r="A179" s="17" t="inlineStr">
        <is>
          <t>Cormorant Asset Management, LP</t>
        </is>
      </c>
      <c r="B179" s="167" t="n">
        <v>2</v>
      </c>
      <c r="C179" s="173" t="n">
        <v>100</v>
      </c>
      <c r="D179" s="174" t="n">
        <v>72</v>
      </c>
      <c r="E179" s="174" t="n">
        <v>29.3</v>
      </c>
      <c r="F179" s="174" t="n">
        <v>14.1</v>
      </c>
      <c r="G179" s="174" t="n">
        <v>-1.6</v>
      </c>
      <c r="H179" s="174" t="n">
        <v>-22.2</v>
      </c>
      <c r="I179" s="174" t="n">
        <v>-32</v>
      </c>
      <c r="J179" s="174" t="n">
        <v>-30</v>
      </c>
      <c r="K179" s="175" t="inlineStr">
        <is>
          <t>2190 ZYLOXTB-B; 9637 ALEBUND-B</t>
        </is>
      </c>
    </row>
    <row r="180">
      <c r="A180" s="17" t="inlineStr">
        <is>
          <t>The Biotech Growth Trust PLC</t>
        </is>
      </c>
      <c r="B180" s="167" t="n">
        <v>2</v>
      </c>
      <c r="C180" s="173" t="n">
        <v>100</v>
      </c>
      <c r="D180" s="174" t="n">
        <v>71.8</v>
      </c>
      <c r="E180" s="174" t="n">
        <v>68.59999999999999</v>
      </c>
      <c r="F180" s="174" t="n">
        <v>14.5</v>
      </c>
      <c r="G180" s="174" t="n">
        <v>29.5</v>
      </c>
      <c r="H180" s="174" t="n">
        <v>-0</v>
      </c>
      <c r="I180" s="174" t="n">
        <v>-32.4</v>
      </c>
      <c r="J180" s="174" t="n">
        <v>-21</v>
      </c>
      <c r="K180" s="175" t="inlineStr">
        <is>
          <t>2595 GENFLEET-B; 1779 LONGBIO-B</t>
        </is>
      </c>
    </row>
    <row r="181">
      <c r="A181" s="17" t="inlineStr">
        <is>
          <t>KCH International Investment Limited</t>
        </is>
      </c>
      <c r="B181" s="167" t="n">
        <v>2</v>
      </c>
      <c r="C181" s="173" t="n">
        <v>100</v>
      </c>
      <c r="D181" s="174" t="n">
        <v>70.90000000000001</v>
      </c>
      <c r="E181" s="174" t="n">
        <v>29.8</v>
      </c>
      <c r="F181" s="174" t="n">
        <v>38.9</v>
      </c>
      <c r="G181" s="174" t="n">
        <v>68.59999999999999</v>
      </c>
      <c r="H181" s="174" t="n">
        <v>-20.5</v>
      </c>
      <c r="I181" s="174" t="n">
        <v>-12.1</v>
      </c>
      <c r="J181" s="174" t="n">
        <v>15.3</v>
      </c>
      <c r="K181" s="175" t="inlineStr">
        <is>
          <t>2431 MINIEYE; 1236 LDROBOT</t>
        </is>
      </c>
    </row>
    <row r="182">
      <c r="A182" s="17" t="inlineStr">
        <is>
          <t>Hua Yuan International Limited</t>
        </is>
      </c>
      <c r="B182" s="167" t="n">
        <v>2</v>
      </c>
      <c r="C182" s="173" t="n">
        <v>50</v>
      </c>
      <c r="D182" s="174" t="n">
        <v>70.7</v>
      </c>
      <c r="E182" s="174" t="n">
        <v>61.3</v>
      </c>
      <c r="F182" s="174" t="n">
        <v>101.6</v>
      </c>
      <c r="G182" s="174" t="n">
        <v>165</v>
      </c>
      <c r="H182" s="174" t="n">
        <v>-7.7</v>
      </c>
      <c r="I182" s="174" t="n">
        <v>6.3</v>
      </c>
      <c r="J182" s="174" t="n">
        <v>-4.9</v>
      </c>
      <c r="K182" s="175" t="inlineStr">
        <is>
          <t>6872 TENNOR THERAP-B; 0537 RIGOL</t>
        </is>
      </c>
    </row>
    <row r="183">
      <c r="A183" s="17" t="inlineStr">
        <is>
          <t>Oakwise Growth Fund SPC – Global Select Opportunities Fund SP</t>
        </is>
      </c>
      <c r="B183" s="167" t="n">
        <v>2</v>
      </c>
      <c r="C183" s="173" t="n">
        <v>100</v>
      </c>
      <c r="D183" s="174" t="n">
        <v>64.8</v>
      </c>
      <c r="E183" s="174" t="n">
        <v>58.6</v>
      </c>
      <c r="F183" s="174" t="n">
        <v>1.3</v>
      </c>
      <c r="G183" s="174" t="n">
        <v>-13.1</v>
      </c>
      <c r="H183" s="174" t="n">
        <v>-0.3</v>
      </c>
      <c r="I183" s="174" t="n">
        <v>-30.6</v>
      </c>
      <c r="J183" s="174" t="n">
        <v>-15.1</v>
      </c>
      <c r="K183" s="175" t="inlineStr">
        <is>
          <t>2692 ZHAOWEI; 6675 SENASIC</t>
        </is>
      </c>
    </row>
    <row r="184">
      <c r="A184" s="17" t="inlineStr">
        <is>
          <t>CR Alpha Investment II Limited</t>
        </is>
      </c>
      <c r="B184" s="167" t="n">
        <v>2</v>
      </c>
      <c r="C184" s="173" t="n">
        <v>50</v>
      </c>
      <c r="D184" s="174" t="n">
        <v>63.8</v>
      </c>
      <c r="E184" s="174" t="n">
        <v>127.3</v>
      </c>
      <c r="F184" s="174" t="n">
        <v>65.7</v>
      </c>
      <c r="G184" s="174" t="n">
        <v>-9.300000000000001</v>
      </c>
      <c r="H184" s="174" t="n">
        <v>25</v>
      </c>
      <c r="I184" s="174" t="n">
        <v>2.8</v>
      </c>
      <c r="J184" s="174" t="n">
        <v>-37.2</v>
      </c>
      <c r="K184" s="175" t="inlineStr">
        <is>
          <t>6680 JLMAG; 0068 MANYCORE TECH</t>
        </is>
      </c>
    </row>
    <row r="185">
      <c r="A185" s="17" t="inlineStr">
        <is>
          <t>Abstract Enigma Limited</t>
        </is>
      </c>
      <c r="B185" s="167" t="n">
        <v>2</v>
      </c>
      <c r="C185" s="173" t="n">
        <v>100</v>
      </c>
      <c r="D185" s="174" t="n">
        <v>62.8</v>
      </c>
      <c r="E185" s="174" t="n">
        <v>91.5</v>
      </c>
      <c r="F185" s="174" t="n">
        <v>114.3</v>
      </c>
      <c r="G185" s="174" t="n">
        <v>251.6</v>
      </c>
      <c r="H185" s="174" t="n">
        <v>13.9</v>
      </c>
      <c r="I185" s="174" t="n">
        <v>24.7</v>
      </c>
      <c r="J185" s="174" t="n">
        <v>98.09999999999999</v>
      </c>
      <c r="K185" s="175" t="inlineStr">
        <is>
          <t>3750 CATL; 0100 MINIMAX-WP</t>
        </is>
      </c>
    </row>
    <row r="186">
      <c r="A186" s="17" t="inlineStr">
        <is>
          <t>Huangshan City Investment Private Equity Fund Management Co., Ltd</t>
        </is>
      </c>
      <c r="B186" s="167" t="n">
        <v>2</v>
      </c>
      <c r="C186" s="173" t="n">
        <v>100</v>
      </c>
      <c r="D186" s="174" t="n">
        <v>58.3</v>
      </c>
      <c r="E186" s="174" t="n">
        <v>67</v>
      </c>
      <c r="F186" s="174" t="n">
        <v>46.6</v>
      </c>
      <c r="G186" s="174" t="n">
        <v>42.8</v>
      </c>
      <c r="H186" s="174" t="n">
        <v>3.4</v>
      </c>
      <c r="I186" s="174" t="n">
        <v>-12.1</v>
      </c>
      <c r="J186" s="174" t="n">
        <v>-13.3</v>
      </c>
      <c r="K186" s="175" t="inlineStr">
        <is>
          <t>1334 RUICHANG INTL; 2720 RIDGE OUTDOOR</t>
        </is>
      </c>
    </row>
    <row r="187">
      <c r="A187" s="17" t="inlineStr">
        <is>
          <t>Alisoft China Holding Limited</t>
        </is>
      </c>
      <c r="B187" s="167" t="n">
        <v>2</v>
      </c>
      <c r="C187" s="173" t="n">
        <v>100</v>
      </c>
      <c r="D187" s="174" t="n">
        <v>55.9</v>
      </c>
      <c r="E187" s="174" t="n">
        <v>92.5</v>
      </c>
      <c r="F187" s="174" t="n">
        <v>103.7</v>
      </c>
      <c r="G187" s="174" t="n">
        <v>227.9</v>
      </c>
      <c r="H187" s="174" t="n">
        <v>21.6</v>
      </c>
      <c r="I187" s="174" t="n">
        <v>21</v>
      </c>
      <c r="J187" s="174" t="n">
        <v>84</v>
      </c>
      <c r="K187" s="175" t="inlineStr">
        <is>
          <t>9660 HORIZONROBOT-W; 0100 MINIMAX-WP</t>
        </is>
      </c>
    </row>
    <row r="188">
      <c r="A188" s="17" t="inlineStr">
        <is>
          <t>QuantumPharm Limited</t>
        </is>
      </c>
      <c r="B188" s="167" t="n">
        <v>2</v>
      </c>
      <c r="C188" s="173" t="n">
        <v>100</v>
      </c>
      <c r="D188" s="174" t="n">
        <v>54.6</v>
      </c>
      <c r="E188" s="174" t="n">
        <v>28.9</v>
      </c>
      <c r="F188" s="174" t="n">
        <v>25.4</v>
      </c>
      <c r="G188" s="174" t="n">
        <v>40.5</v>
      </c>
      <c r="H188" s="174" t="n">
        <v>-13</v>
      </c>
      <c r="I188" s="174" t="n">
        <v>-13.6</v>
      </c>
      <c r="J188" s="174" t="n">
        <v>-6.8</v>
      </c>
      <c r="K188" s="175" t="inlineStr">
        <is>
          <t>2315 BIOCYTOGEN-B; 2718 MININGLAMP-W</t>
        </is>
      </c>
    </row>
    <row r="189">
      <c r="A189" s="17" t="inlineStr">
        <is>
          <t>Montage Technology Holdings Company Limited</t>
        </is>
      </c>
      <c r="B189" s="167" t="n">
        <v>2</v>
      </c>
      <c r="C189" s="173" t="n">
        <v>100</v>
      </c>
      <c r="D189" s="174" t="n">
        <v>54.5</v>
      </c>
      <c r="E189" s="174" t="n">
        <v>26.1</v>
      </c>
      <c r="F189" s="174" t="n">
        <v>11.9</v>
      </c>
      <c r="G189" s="174" t="n">
        <v>-10.8</v>
      </c>
      <c r="H189" s="174" t="n">
        <v>-15.8</v>
      </c>
      <c r="I189" s="174" t="n">
        <v>-23.6</v>
      </c>
      <c r="J189" s="174" t="n">
        <v>-15.2</v>
      </c>
      <c r="K189" s="175" t="inlineStr">
        <is>
          <t>6682 FOURTH PARADIGM; 9630 CFMEE</t>
        </is>
      </c>
    </row>
    <row r="190">
      <c r="A190" s="17" t="inlineStr">
        <is>
          <t>Charoen Pokphand Foods (CPF)</t>
        </is>
      </c>
      <c r="B190" s="167" t="n">
        <v>2</v>
      </c>
      <c r="C190" s="173" t="n">
        <v>100</v>
      </c>
      <c r="D190" s="174" t="n">
        <v>53.7</v>
      </c>
      <c r="E190" s="174" t="n">
        <v>37.1</v>
      </c>
      <c r="F190" s="174" t="n">
        <v>42</v>
      </c>
      <c r="G190" s="174" t="n">
        <v>-7</v>
      </c>
      <c r="H190" s="174" t="n">
        <v>-8.9</v>
      </c>
      <c r="I190" s="174" t="n">
        <v>-2</v>
      </c>
      <c r="J190" s="174" t="n">
        <v>-30.6</v>
      </c>
      <c r="K190" s="175" t="inlineStr">
        <is>
          <t>2714 MUYUAN; 6656 SIGENERGY</t>
        </is>
      </c>
    </row>
    <row r="191">
      <c r="A191" s="17" t="inlineStr">
        <is>
          <t>Prosper High Holding Limited</t>
        </is>
      </c>
      <c r="B191" s="167" t="n">
        <v>2</v>
      </c>
      <c r="C191" s="173" t="n">
        <v>50</v>
      </c>
      <c r="D191" s="174" t="n">
        <v>53.4</v>
      </c>
      <c r="E191" s="174" t="n">
        <v>40.5</v>
      </c>
      <c r="F191" s="174" t="n">
        <v>40.6</v>
      </c>
      <c r="G191" s="174" t="n">
        <v>-39.8</v>
      </c>
      <c r="H191" s="174" t="n">
        <v>-7.1</v>
      </c>
      <c r="I191" s="174" t="n">
        <v>-5.7</v>
      </c>
      <c r="J191" s="174" t="n">
        <v>-71.09999999999999</v>
      </c>
      <c r="K191" s="175" t="inlineStr">
        <is>
          <t>7630 IMPACT THERAP-B; 2475 LUXSHARE ICT</t>
        </is>
      </c>
    </row>
    <row r="192">
      <c r="A192" s="17" t="inlineStr">
        <is>
          <t>Victory Giant Technology Holdings (Hong Kong) Limited</t>
        </is>
      </c>
      <c r="B192" s="167" t="n">
        <v>2</v>
      </c>
      <c r="C192" s="173" t="n">
        <v>50</v>
      </c>
      <c r="D192" s="174" t="n">
        <v>51</v>
      </c>
      <c r="E192" s="174" t="n">
        <v>32.5</v>
      </c>
      <c r="F192" s="174" t="n">
        <v>16.4</v>
      </c>
      <c r="G192" s="174" t="n"/>
      <c r="H192" s="174" t="n">
        <v>-6</v>
      </c>
      <c r="I192" s="174" t="n">
        <v>-15.8</v>
      </c>
      <c r="J192" s="174" t="n"/>
      <c r="K192" s="175" t="inlineStr">
        <is>
          <t>9630 CFMEE; 1377 DTECH</t>
        </is>
      </c>
    </row>
    <row r="193">
      <c r="A193" s="17" t="inlineStr">
        <is>
          <t>Seraphim Advantage Inc</t>
        </is>
      </c>
      <c r="B193" s="167" t="n">
        <v>2</v>
      </c>
      <c r="C193" s="173" t="n">
        <v>100</v>
      </c>
      <c r="D193" s="174" t="n">
        <v>50.8</v>
      </c>
      <c r="E193" s="174" t="n">
        <v>75.90000000000001</v>
      </c>
      <c r="F193" s="174" t="n">
        <v>79.7</v>
      </c>
      <c r="G193" s="174" t="n">
        <v>175.9</v>
      </c>
      <c r="H193" s="174" t="n">
        <v>17.8</v>
      </c>
      <c r="I193" s="174" t="n">
        <v>20.7</v>
      </c>
      <c r="J193" s="174" t="n">
        <v>77.40000000000001</v>
      </c>
      <c r="K193" s="175" t="inlineStr">
        <is>
          <t>1318 MAO GEPING; 6168 ZHOU LIU FU</t>
        </is>
      </c>
    </row>
    <row r="194">
      <c r="A194" s="17" t="inlineStr">
        <is>
          <t>HQ TELECOM SINGAPORE PTE. LTD</t>
        </is>
      </c>
      <c r="B194" s="167" t="n">
        <v>2</v>
      </c>
      <c r="C194" s="173" t="n">
        <v>100</v>
      </c>
      <c r="D194" s="174" t="n">
        <v>48.6</v>
      </c>
      <c r="E194" s="174" t="n">
        <v>40.4</v>
      </c>
      <c r="F194" s="174" t="n">
        <v>34.9</v>
      </c>
      <c r="G194" s="174" t="n">
        <v>9.6</v>
      </c>
      <c r="H194" s="174" t="n">
        <v>-5.5</v>
      </c>
      <c r="I194" s="174" t="n">
        <v>-9.4</v>
      </c>
      <c r="J194" s="174" t="n">
        <v>-27</v>
      </c>
      <c r="K194" s="175" t="inlineStr">
        <is>
          <t>2476 VGT; 3661 SG MICRO</t>
        </is>
      </c>
    </row>
    <row r="195">
      <c r="A195" s="17" t="inlineStr">
        <is>
          <t>First Seafront Fund Series SPC</t>
        </is>
      </c>
      <c r="B195" s="167" t="n">
        <v>2</v>
      </c>
      <c r="C195" s="173" t="n">
        <v>100</v>
      </c>
      <c r="D195" s="174" t="n">
        <v>47.8</v>
      </c>
      <c r="E195" s="174" t="n">
        <v>28.6</v>
      </c>
      <c r="F195" s="174" t="n">
        <v>17.1</v>
      </c>
      <c r="G195" s="174" t="n">
        <v>43.8</v>
      </c>
      <c r="H195" s="174" t="n">
        <v>-7.6</v>
      </c>
      <c r="I195" s="174" t="n">
        <v>-12.8</v>
      </c>
      <c r="J195" s="174" t="n">
        <v>28.9</v>
      </c>
      <c r="K195" s="175" t="inlineStr">
        <is>
          <t>2768 GON TECHNOLOGY; 1956 WENGE AI</t>
        </is>
      </c>
    </row>
    <row r="196">
      <c r="A196" s="17" t="inlineStr">
        <is>
          <t>Gaoling Fund, L.P.</t>
        </is>
      </c>
      <c r="B196" s="167" t="n">
        <v>2</v>
      </c>
      <c r="C196" s="173" t="n">
        <v>100</v>
      </c>
      <c r="D196" s="174" t="n">
        <v>47.4</v>
      </c>
      <c r="E196" s="174" t="n">
        <v>44.6</v>
      </c>
      <c r="F196" s="174" t="n">
        <v>19.1</v>
      </c>
      <c r="G196" s="174" t="n">
        <v>12.9</v>
      </c>
      <c r="H196" s="174" t="n">
        <v>-2.2</v>
      </c>
      <c r="I196" s="174" t="n">
        <v>-19.4</v>
      </c>
      <c r="J196" s="174" t="n">
        <v>-23.7</v>
      </c>
      <c r="K196" s="175" t="inlineStr">
        <is>
          <t>2160 CARDIOFLOW-B; 2190 ZYLOXTB-B</t>
        </is>
      </c>
    </row>
    <row r="197">
      <c r="A197" s="17" t="inlineStr">
        <is>
          <t>Sparky International Company Limited</t>
        </is>
      </c>
      <c r="B197" s="167" t="n">
        <v>2</v>
      </c>
      <c r="C197" s="173" t="n">
        <v>50</v>
      </c>
      <c r="D197" s="174" t="n">
        <v>45.3</v>
      </c>
      <c r="E197" s="174" t="n">
        <v>55.7</v>
      </c>
      <c r="F197" s="174" t="n">
        <v>105.8</v>
      </c>
      <c r="G197" s="174" t="n">
        <v>161.6</v>
      </c>
      <c r="H197" s="174" t="n">
        <v>5.9</v>
      </c>
      <c r="I197" s="174" t="n">
        <v>37.8</v>
      </c>
      <c r="J197" s="174" t="n">
        <v>87.3</v>
      </c>
      <c r="K197" s="175" t="inlineStr">
        <is>
          <t>6693 CHIFENG GOLD; 2546 ZHIHUI MINING</t>
        </is>
      </c>
    </row>
    <row r="198">
      <c r="A198" s="17" t="inlineStr">
        <is>
          <t>Golden Valley Global Limited</t>
        </is>
      </c>
      <c r="B198" s="167" t="n">
        <v>2</v>
      </c>
      <c r="C198" s="173" t="n">
        <v>50</v>
      </c>
      <c r="D198" s="174" t="n">
        <v>44.4</v>
      </c>
      <c r="E198" s="174" t="n">
        <v>-1.5</v>
      </c>
      <c r="F198" s="174" t="n">
        <v>-0.7</v>
      </c>
      <c r="G198" s="174" t="n">
        <v>-52.4</v>
      </c>
      <c r="H198" s="174" t="n">
        <v>-28.5</v>
      </c>
      <c r="I198" s="174" t="n">
        <v>-24.3</v>
      </c>
      <c r="J198" s="174" t="n">
        <v>-44.1</v>
      </c>
      <c r="K198" s="175" t="inlineStr">
        <is>
          <t>6622 ZHAOKE OPHTH-B; 9637 ALEBUND-B</t>
        </is>
      </c>
    </row>
    <row r="199">
      <c r="A199" s="17" t="inlineStr">
        <is>
          <t>CMBC INTERNATIONAL INVESTMENT (HK) LIMITED</t>
        </is>
      </c>
      <c r="B199" s="167" t="n">
        <v>2</v>
      </c>
      <c r="C199" s="173" t="n">
        <v>100</v>
      </c>
      <c r="D199" s="174" t="n">
        <v>43.2</v>
      </c>
      <c r="E199" s="174" t="n">
        <v>20.7</v>
      </c>
      <c r="F199" s="174" t="n">
        <v>-3.2</v>
      </c>
      <c r="G199" s="174" t="n">
        <v>-13.1</v>
      </c>
      <c r="H199" s="174" t="n">
        <v>-10.3</v>
      </c>
      <c r="I199" s="174" t="n">
        <v>-27.4</v>
      </c>
      <c r="J199" s="174" t="n">
        <v>-15.1</v>
      </c>
      <c r="K199" s="175" t="inlineStr">
        <is>
          <t>2692 ZHAOWEI; 1956 WENGE AI</t>
        </is>
      </c>
    </row>
    <row r="200">
      <c r="A200" s="17" t="inlineStr">
        <is>
          <t>Kunming Jiashiqing Investment Partnership (Limited Partnership)</t>
        </is>
      </c>
      <c r="B200" s="167" t="n">
        <v>2</v>
      </c>
      <c r="C200" s="173" t="n">
        <v>100</v>
      </c>
      <c r="D200" s="174" t="n">
        <v>35.8</v>
      </c>
      <c r="E200" s="174" t="n">
        <v>38.2</v>
      </c>
      <c r="F200" s="174" t="n">
        <v>28.7</v>
      </c>
      <c r="G200" s="174" t="n">
        <v>40.5</v>
      </c>
      <c r="H200" s="174" t="n">
        <v>1.7</v>
      </c>
      <c r="I200" s="174" t="n">
        <v>-5.3</v>
      </c>
      <c r="J200" s="174" t="n">
        <v>3.4</v>
      </c>
      <c r="K200" s="175" t="inlineStr">
        <is>
          <t>2257 SIRNAOMICS-B; 2373 BEAUTYFARM MED</t>
        </is>
      </c>
    </row>
    <row r="201">
      <c r="A201" s="17" t="inlineStr">
        <is>
          <t>Changsha Xunmang</t>
        </is>
      </c>
      <c r="B201" s="167" t="n">
        <v>2</v>
      </c>
      <c r="C201" s="173" t="n">
        <v>50</v>
      </c>
      <c r="D201" s="174" t="n">
        <v>34</v>
      </c>
      <c r="E201" s="174" t="n">
        <v>31.1</v>
      </c>
      <c r="F201" s="174" t="n">
        <v>24.5</v>
      </c>
      <c r="G201" s="174" t="n">
        <v>33.2</v>
      </c>
      <c r="H201" s="174" t="n">
        <v>-2.9</v>
      </c>
      <c r="I201" s="174" t="n">
        <v>-8.699999999999999</v>
      </c>
      <c r="J201" s="174" t="n">
        <v>-4</v>
      </c>
      <c r="K201" s="175" t="inlineStr">
        <is>
          <t>1768 BUSYMING; 1187 COFOE MEDICAL</t>
        </is>
      </c>
    </row>
    <row r="202">
      <c r="A202" s="17" t="inlineStr">
        <is>
          <t>Springs Capital (Hong Kong) Limited</t>
        </is>
      </c>
      <c r="B202" s="167" t="n">
        <v>2</v>
      </c>
      <c r="C202" s="173" t="n">
        <v>100</v>
      </c>
      <c r="D202" s="174" t="n">
        <v>32.1</v>
      </c>
      <c r="E202" s="174" t="n">
        <v>20.5</v>
      </c>
      <c r="F202" s="174" t="n">
        <v>3</v>
      </c>
      <c r="G202" s="174" t="n">
        <v>14.6</v>
      </c>
      <c r="H202" s="174" t="n">
        <v>-8.800000000000001</v>
      </c>
      <c r="I202" s="174" t="n">
        <v>-22.4</v>
      </c>
      <c r="J202" s="174" t="n">
        <v>-19.1</v>
      </c>
      <c r="K202" s="175" t="inlineStr">
        <is>
          <t>6938 RIBOLIFE-B; 6067 SENIOR MATERIAL</t>
        </is>
      </c>
    </row>
    <row r="203">
      <c r="A203" s="17" t="inlineStr">
        <is>
          <t>Nova Kerry Inc</t>
        </is>
      </c>
      <c r="B203" s="167" t="n">
        <v>2</v>
      </c>
      <c r="C203" s="173" t="n">
        <v>100</v>
      </c>
      <c r="D203" s="174" t="n">
        <v>27.7</v>
      </c>
      <c r="E203" s="174" t="n">
        <v>-7.8</v>
      </c>
      <c r="F203" s="174" t="n">
        <v>-33.7</v>
      </c>
      <c r="G203" s="174" t="n"/>
      <c r="H203" s="174" t="n">
        <v>-27</v>
      </c>
      <c r="I203" s="174" t="n">
        <v>-47.9</v>
      </c>
      <c r="J203" s="174" t="n"/>
      <c r="K203" s="175" t="inlineStr">
        <is>
          <t>6106 SEER TECH; 6715 XUNLONG SCITECH</t>
        </is>
      </c>
    </row>
    <row r="204">
      <c r="A204" s="17" t="inlineStr">
        <is>
          <t>New Alternative Limited</t>
        </is>
      </c>
      <c r="B204" s="167" t="n">
        <v>2</v>
      </c>
      <c r="C204" s="173" t="n">
        <v>50</v>
      </c>
      <c r="D204" s="174" t="n">
        <v>25</v>
      </c>
      <c r="E204" s="174" t="n">
        <v>15.4</v>
      </c>
      <c r="F204" s="174" t="n">
        <v>26.5</v>
      </c>
      <c r="G204" s="174" t="n">
        <v>-8.300000000000001</v>
      </c>
      <c r="H204" s="174" t="n">
        <v>-8.5</v>
      </c>
      <c r="I204" s="174" t="n">
        <v>-1</v>
      </c>
      <c r="J204" s="174" t="n">
        <v>-26.6</v>
      </c>
      <c r="K204" s="175" t="inlineStr">
        <is>
          <t>9927 SERES; 2476 VGT</t>
        </is>
      </c>
    </row>
    <row r="205">
      <c r="A205" s="17" t="inlineStr">
        <is>
          <t>Ovata Capital</t>
        </is>
      </c>
      <c r="B205" s="167" t="n">
        <v>2</v>
      </c>
      <c r="C205" s="173" t="n">
        <v>50</v>
      </c>
      <c r="D205" s="174" t="n">
        <v>25</v>
      </c>
      <c r="E205" s="174" t="n">
        <v>21.8</v>
      </c>
      <c r="F205" s="174" t="n">
        <v>28</v>
      </c>
      <c r="G205" s="174" t="n">
        <v>12.5</v>
      </c>
      <c r="H205" s="174" t="n">
        <v>-2.1</v>
      </c>
      <c r="I205" s="174" t="n">
        <v>0.4</v>
      </c>
      <c r="J205" s="174" t="n">
        <v>-5.7</v>
      </c>
      <c r="K205" s="175" t="inlineStr">
        <is>
          <t>0470 WUXI LEAD; 2476 VGT</t>
        </is>
      </c>
    </row>
    <row r="206">
      <c r="A206" s="17" t="inlineStr">
        <is>
          <t>Stoneylake Global Alpha Fund</t>
        </is>
      </c>
      <c r="B206" s="167" t="n">
        <v>2</v>
      </c>
      <c r="C206" s="173" t="n">
        <v>100</v>
      </c>
      <c r="D206" s="174" t="n">
        <v>24.9</v>
      </c>
      <c r="E206" s="174" t="n">
        <v>19.9</v>
      </c>
      <c r="F206" s="174" t="n">
        <v>5.2</v>
      </c>
      <c r="G206" s="174" t="n">
        <v>-9.5</v>
      </c>
      <c r="H206" s="174" t="n">
        <v>-4.1</v>
      </c>
      <c r="I206" s="174" t="n">
        <v>-15.9</v>
      </c>
      <c r="J206" s="174" t="n">
        <v>-27.5</v>
      </c>
      <c r="K206" s="175" t="inlineStr">
        <is>
          <t>6687 JST GROUP; 3636 JINXUN RESOURCE</t>
        </is>
      </c>
    </row>
    <row r="207">
      <c r="A207" s="17" t="inlineStr">
        <is>
          <t>Hongda Juankang Limited</t>
        </is>
      </c>
      <c r="B207" s="167" t="n">
        <v>2</v>
      </c>
      <c r="C207" s="173" t="n">
        <v>100</v>
      </c>
      <c r="D207" s="174" t="n">
        <v>23.3</v>
      </c>
      <c r="E207" s="174" t="n">
        <v>53</v>
      </c>
      <c r="F207" s="174" t="n">
        <v>25.7</v>
      </c>
      <c r="G207" s="174" t="n">
        <v>141.4</v>
      </c>
      <c r="H207" s="174" t="n">
        <v>21.6</v>
      </c>
      <c r="I207" s="174" t="n">
        <v>-1</v>
      </c>
      <c r="J207" s="174" t="n">
        <v>83.7</v>
      </c>
      <c r="K207" s="175" t="inlineStr">
        <is>
          <t>2587 HEALTHYWAY INC; 2525 HESAI-W</t>
        </is>
      </c>
    </row>
    <row r="208">
      <c r="A208" s="17" t="inlineStr">
        <is>
          <t>First Sentier Investors (Hong Kong) Limited</t>
        </is>
      </c>
      <c r="B208" s="167" t="n">
        <v>2</v>
      </c>
      <c r="C208" s="173" t="n">
        <v>50</v>
      </c>
      <c r="D208" s="174" t="n">
        <v>22.8</v>
      </c>
      <c r="E208" s="174" t="n">
        <v>16.4</v>
      </c>
      <c r="F208" s="174" t="n">
        <v>2.5</v>
      </c>
      <c r="G208" s="174" t="n"/>
      <c r="H208" s="174" t="n">
        <v>-5</v>
      </c>
      <c r="I208" s="174" t="n">
        <v>-13.5</v>
      </c>
      <c r="J208" s="174" t="n"/>
      <c r="K208" s="175" t="inlineStr">
        <is>
          <t>3661 SG MICRO; 2475 LUXSHARE ICT</t>
        </is>
      </c>
    </row>
    <row r="209">
      <c r="A209" s="17" t="inlineStr">
        <is>
          <t>Deliante Holdings Co., Ltd</t>
        </is>
      </c>
      <c r="B209" s="167" t="n">
        <v>2</v>
      </c>
      <c r="C209" s="173" t="n">
        <v>50</v>
      </c>
      <c r="D209" s="174" t="n">
        <v>22.7</v>
      </c>
      <c r="E209" s="174" t="n">
        <v>18.9</v>
      </c>
      <c r="F209" s="174" t="n">
        <v>13.9</v>
      </c>
      <c r="G209" s="174" t="n">
        <v>9.6</v>
      </c>
      <c r="H209" s="174" t="n">
        <v>-2.6</v>
      </c>
      <c r="I209" s="174" t="n">
        <v>-12.1</v>
      </c>
      <c r="J209" s="174" t="n">
        <v>-27</v>
      </c>
      <c r="K209" s="175" t="inlineStr">
        <is>
          <t>2476 VGT; 1688 LINGYI ITECH</t>
        </is>
      </c>
    </row>
    <row r="210">
      <c r="A210" s="17" t="inlineStr">
        <is>
          <t>Cithara Fund</t>
        </is>
      </c>
      <c r="B210" s="167" t="n">
        <v>2</v>
      </c>
      <c r="C210" s="173" t="n">
        <v>50</v>
      </c>
      <c r="D210" s="174" t="n">
        <v>21.9</v>
      </c>
      <c r="E210" s="174" t="n">
        <v>15.9</v>
      </c>
      <c r="F210" s="174" t="n">
        <v>21.8</v>
      </c>
      <c r="G210" s="174" t="n">
        <v>7.7</v>
      </c>
      <c r="H210" s="174" t="n">
        <v>-6.3</v>
      </c>
      <c r="I210" s="174" t="n">
        <v>1.1</v>
      </c>
      <c r="J210" s="174" t="n">
        <v>-14.4</v>
      </c>
      <c r="K210" s="175" t="inlineStr">
        <is>
          <t>6090 BUTONG GROUP; 3887 HASHKEY HLDGS</t>
        </is>
      </c>
    </row>
    <row r="211">
      <c r="A211" s="17" t="inlineStr">
        <is>
          <t>Infore Holding</t>
        </is>
      </c>
      <c r="B211" s="167" t="n">
        <v>2</v>
      </c>
      <c r="C211" s="173" t="n">
        <v>100</v>
      </c>
      <c r="D211" s="174" t="n">
        <v>21.4</v>
      </c>
      <c r="E211" s="174" t="n">
        <v>9.800000000000001</v>
      </c>
      <c r="F211" s="174" t="n">
        <v>4.9</v>
      </c>
      <c r="G211" s="174" t="n">
        <v>20.1</v>
      </c>
      <c r="H211" s="174" t="n">
        <v>-7.8</v>
      </c>
      <c r="I211" s="174" t="n">
        <v>-12.1</v>
      </c>
      <c r="J211" s="174" t="n">
        <v>1.1</v>
      </c>
      <c r="K211" s="175" t="inlineStr">
        <is>
          <t>2589 AUNTEA JENNY; 6031 SANY HEAVY IND</t>
        </is>
      </c>
    </row>
    <row r="212">
      <c r="A212" s="17" t="inlineStr">
        <is>
          <t>HCEP Master Fund</t>
        </is>
      </c>
      <c r="B212" s="167" t="n">
        <v>2</v>
      </c>
      <c r="C212" s="173" t="n">
        <v>100</v>
      </c>
      <c r="D212" s="174" t="n">
        <v>20.9</v>
      </c>
      <c r="E212" s="174" t="n">
        <v>21.3</v>
      </c>
      <c r="F212" s="174" t="n">
        <v>25.7</v>
      </c>
      <c r="G212" s="174" t="n">
        <v>29</v>
      </c>
      <c r="H212" s="174" t="n">
        <v>2.2</v>
      </c>
      <c r="I212" s="174" t="n">
        <v>6.2</v>
      </c>
      <c r="J212" s="174" t="n">
        <v>8.9</v>
      </c>
      <c r="K212" s="175" t="inlineStr">
        <is>
          <t>0300 MIDEA GROUP; 6166 CIG</t>
        </is>
      </c>
    </row>
    <row r="213">
      <c r="A213" s="17" t="inlineStr">
        <is>
          <t>Star Flourish Ventures Limited</t>
        </is>
      </c>
      <c r="B213" s="167" t="n">
        <v>2</v>
      </c>
      <c r="C213" s="173" t="n">
        <v>100</v>
      </c>
      <c r="D213" s="174" t="n">
        <v>20.9</v>
      </c>
      <c r="E213" s="174" t="n">
        <v>50.1</v>
      </c>
      <c r="F213" s="174" t="n">
        <v>38.6</v>
      </c>
      <c r="G213" s="174" t="n">
        <v>182</v>
      </c>
      <c r="H213" s="174" t="n">
        <v>21</v>
      </c>
      <c r="I213" s="174" t="n">
        <v>13</v>
      </c>
      <c r="J213" s="174" t="n">
        <v>124</v>
      </c>
      <c r="K213" s="175" t="inlineStr">
        <is>
          <t>2587 HEALTHYWAY INC; 2506 XUNFEIHEALTH</t>
        </is>
      </c>
    </row>
    <row r="214">
      <c r="A214" s="17" t="inlineStr">
        <is>
          <t>Shanghai Gaoyi Asset Management (via HTCI swaps)</t>
        </is>
      </c>
      <c r="B214" s="167" t="n">
        <v>2</v>
      </c>
      <c r="C214" s="173" t="n">
        <v>100</v>
      </c>
      <c r="D214" s="174" t="n">
        <v>20.6</v>
      </c>
      <c r="E214" s="174" t="n">
        <v>25.2</v>
      </c>
      <c r="F214" s="174" t="n">
        <v>9.300000000000001</v>
      </c>
      <c r="G214" s="174" t="n">
        <v>17</v>
      </c>
      <c r="H214" s="174" t="n">
        <v>3</v>
      </c>
      <c r="I214" s="174" t="n">
        <v>-6.3</v>
      </c>
      <c r="J214" s="174" t="n">
        <v>-3</v>
      </c>
      <c r="K214" s="175" t="inlineStr">
        <is>
          <t>2714 MUYUAN; 1779 LONGBIO-B</t>
        </is>
      </c>
    </row>
    <row r="215">
      <c r="A215" s="17" t="inlineStr">
        <is>
          <t>Fourier Capital</t>
        </is>
      </c>
      <c r="B215" s="167" t="n">
        <v>2</v>
      </c>
      <c r="C215" s="173" t="n">
        <v>100</v>
      </c>
      <c r="D215" s="174" t="n">
        <v>19.9</v>
      </c>
      <c r="E215" s="174" t="n">
        <v>17.2</v>
      </c>
      <c r="F215" s="174" t="n">
        <v>7.9</v>
      </c>
      <c r="G215" s="174" t="n">
        <v>29.4</v>
      </c>
      <c r="H215" s="174" t="n">
        <v>-2</v>
      </c>
      <c r="I215" s="174" t="n">
        <v>-9.300000000000001</v>
      </c>
      <c r="J215" s="174" t="n">
        <v>9</v>
      </c>
      <c r="K215" s="175" t="inlineStr">
        <is>
          <t>1304 FORTIOR; 6687 JST GROUP</t>
        </is>
      </c>
    </row>
    <row r="216">
      <c r="A216" s="17" t="inlineStr">
        <is>
          <t>Baidu (Hong Kong) Limited</t>
        </is>
      </c>
      <c r="B216" s="167" t="n">
        <v>2</v>
      </c>
      <c r="C216" s="173" t="n">
        <v>100</v>
      </c>
      <c r="D216" s="174" t="n">
        <v>19.7</v>
      </c>
      <c r="E216" s="174" t="n">
        <v>58.8</v>
      </c>
      <c r="F216" s="174" t="n">
        <v>33.5</v>
      </c>
      <c r="G216" s="174" t="n">
        <v>156.6</v>
      </c>
      <c r="H216" s="174" t="n">
        <v>30.6</v>
      </c>
      <c r="I216" s="174" t="n">
        <v>9.199999999999999</v>
      </c>
      <c r="J216" s="174" t="n">
        <v>101</v>
      </c>
      <c r="K216" s="175" t="inlineStr">
        <is>
          <t>9660 HORIZONROBOT-W; 2587 HEALTHYWAY INC</t>
        </is>
      </c>
    </row>
    <row r="217">
      <c r="A217" s="17" t="inlineStr">
        <is>
          <t>EDB Investments Pte Ltd</t>
        </is>
      </c>
      <c r="B217" s="167" t="n">
        <v>2</v>
      </c>
      <c r="C217" s="173" t="n">
        <v>100</v>
      </c>
      <c r="D217" s="174" t="n">
        <v>19.3</v>
      </c>
      <c r="E217" s="174" t="n">
        <v>25.4</v>
      </c>
      <c r="F217" s="174" t="n">
        <v>34.8</v>
      </c>
      <c r="G217" s="174" t="n">
        <v>35.1</v>
      </c>
      <c r="H217" s="174" t="n">
        <v>5.7</v>
      </c>
      <c r="I217" s="174" t="n">
        <v>13</v>
      </c>
      <c r="J217" s="174" t="n">
        <v>10.4</v>
      </c>
      <c r="K217" s="175" t="inlineStr">
        <is>
          <t>9959 LINKLOGIS–W; 2629 MIRXES-B</t>
        </is>
      </c>
    </row>
    <row r="218">
      <c r="A218" s="17" t="inlineStr">
        <is>
          <t>Greater Bay Area Homeland Investments Limited</t>
        </is>
      </c>
      <c r="B218" s="167" t="n">
        <v>2</v>
      </c>
      <c r="C218" s="173" t="n">
        <v>100</v>
      </c>
      <c r="D218" s="174" t="n">
        <v>19.1</v>
      </c>
      <c r="E218" s="174" t="n">
        <v>16.9</v>
      </c>
      <c r="F218" s="174" t="n">
        <v>59</v>
      </c>
      <c r="G218" s="174" t="n">
        <v>163.6</v>
      </c>
      <c r="H218" s="174" t="n">
        <v>-2.4</v>
      </c>
      <c r="I218" s="174" t="n">
        <v>30.1</v>
      </c>
      <c r="J218" s="174" t="n">
        <v>97.40000000000001</v>
      </c>
      <c r="K218" s="175" t="inlineStr">
        <is>
          <t>1989 DELTON; 6951 CCTC</t>
        </is>
      </c>
    </row>
    <row r="219">
      <c r="A219" s="17" t="inlineStr">
        <is>
          <t>Al-Rayyan Holding LLC</t>
        </is>
      </c>
      <c r="B219" s="167" t="n">
        <v>2</v>
      </c>
      <c r="C219" s="173" t="n">
        <v>100</v>
      </c>
      <c r="D219" s="174" t="n">
        <v>18.7</v>
      </c>
      <c r="E219" s="174" t="n">
        <v>20.8</v>
      </c>
      <c r="F219" s="174" t="n">
        <v>18.7</v>
      </c>
      <c r="G219" s="174" t="n">
        <v>-11.2</v>
      </c>
      <c r="H219" s="174" t="n">
        <v>1.4</v>
      </c>
      <c r="I219" s="174" t="n">
        <v>-2</v>
      </c>
      <c r="J219" s="174" t="n">
        <v>-23.8</v>
      </c>
      <c r="K219" s="175" t="inlineStr">
        <is>
          <t>2268 WUXI XDC; 9980 EASTROC</t>
        </is>
      </c>
    </row>
    <row r="220">
      <c r="A220" s="17" t="inlineStr">
        <is>
          <t>HSG Growth VII Holdco, Ltd</t>
        </is>
      </c>
      <c r="B220" s="167" t="n">
        <v>2</v>
      </c>
      <c r="C220" s="173" t="n">
        <v>100</v>
      </c>
      <c r="D220" s="174" t="n">
        <v>18.7</v>
      </c>
      <c r="E220" s="174" t="n">
        <v>20.8</v>
      </c>
      <c r="F220" s="174" t="n">
        <v>18.7</v>
      </c>
      <c r="G220" s="174" t="n">
        <v>-11.2</v>
      </c>
      <c r="H220" s="174" t="n">
        <v>1.4</v>
      </c>
      <c r="I220" s="174" t="n">
        <v>-2</v>
      </c>
      <c r="J220" s="174" t="n">
        <v>-23.8</v>
      </c>
      <c r="K220" s="175" t="inlineStr">
        <is>
          <t>2268 WUXI XDC; 9980 EASTROC</t>
        </is>
      </c>
    </row>
    <row r="221">
      <c r="A221" s="17" t="inlineStr">
        <is>
          <t>Wisdomshire AM</t>
        </is>
      </c>
      <c r="B221" s="167" t="n">
        <v>2</v>
      </c>
      <c r="C221" s="173" t="n">
        <v>50</v>
      </c>
      <c r="D221" s="174" t="n">
        <v>18.6</v>
      </c>
      <c r="E221" s="174" t="n">
        <v>22.4</v>
      </c>
      <c r="F221" s="174" t="n">
        <v>-1.2</v>
      </c>
      <c r="G221" s="174" t="n">
        <v>22.1</v>
      </c>
      <c r="H221" s="174" t="n">
        <v>2.1</v>
      </c>
      <c r="I221" s="174" t="n">
        <v>-14.6</v>
      </c>
      <c r="J221" s="174" t="n">
        <v>4</v>
      </c>
      <c r="K221" s="175" t="inlineStr">
        <is>
          <t>6936 SF HOLDING; 1779 LONGBIO-B</t>
        </is>
      </c>
    </row>
    <row r="222">
      <c r="A222" s="17" t="inlineStr">
        <is>
          <t>Long-Z Fund I, LP</t>
        </is>
      </c>
      <c r="B222" s="167" t="n">
        <v>2</v>
      </c>
      <c r="C222" s="173" t="n">
        <v>50</v>
      </c>
      <c r="D222" s="174" t="n">
        <v>18.4</v>
      </c>
      <c r="E222" s="174" t="n">
        <v>46.1</v>
      </c>
      <c r="F222" s="174" t="n">
        <v>76.2</v>
      </c>
      <c r="G222" s="174" t="n">
        <v>168.8</v>
      </c>
      <c r="H222" s="174" t="n">
        <v>20.1</v>
      </c>
      <c r="I222" s="174" t="n">
        <v>49.9</v>
      </c>
      <c r="J222" s="174" t="n">
        <v>135.3</v>
      </c>
      <c r="K222" s="175" t="inlineStr">
        <is>
          <t>1364 GUMING; 2097 MIXUE GROUP</t>
        </is>
      </c>
    </row>
    <row r="223">
      <c r="A223" s="17" t="inlineStr">
        <is>
          <t>XING FA (HONG KONG) IMP.&amp;EXP. LIMITED</t>
        </is>
      </c>
      <c r="B223" s="167" t="n">
        <v>2</v>
      </c>
      <c r="C223" s="173" t="n">
        <v>50</v>
      </c>
      <c r="D223" s="174" t="n">
        <v>18.3</v>
      </c>
      <c r="E223" s="174" t="n">
        <v>47.7</v>
      </c>
      <c r="F223" s="174" t="n">
        <v>17</v>
      </c>
      <c r="G223" s="174" t="n">
        <v>128.7</v>
      </c>
      <c r="H223" s="174" t="n">
        <v>21.1</v>
      </c>
      <c r="I223" s="174" t="n">
        <v>-6</v>
      </c>
      <c r="J223" s="174" t="n">
        <v>74.59999999999999</v>
      </c>
      <c r="K223" s="175" t="inlineStr">
        <is>
          <t>3931 CALB; 2587 HEALTHYWAY INC</t>
        </is>
      </c>
    </row>
    <row r="224">
      <c r="A224" s="17" t="inlineStr">
        <is>
          <t>FR M CONSULTING CO., LTD</t>
        </is>
      </c>
      <c r="B224" s="167" t="n">
        <v>2</v>
      </c>
      <c r="C224" s="173" t="n">
        <v>50</v>
      </c>
      <c r="D224" s="174" t="n">
        <v>18.1</v>
      </c>
      <c r="E224" s="174" t="n">
        <v>21.6</v>
      </c>
      <c r="F224" s="174" t="n">
        <v>-8.6</v>
      </c>
      <c r="G224" s="174" t="n">
        <v>7.8</v>
      </c>
      <c r="H224" s="174" t="n">
        <v>1.8</v>
      </c>
      <c r="I224" s="174" t="n">
        <v>-21.5</v>
      </c>
      <c r="J224" s="174" t="n">
        <v>-9.800000000000001</v>
      </c>
      <c r="K224" s="175" t="inlineStr">
        <is>
          <t>1187 COFOE MEDICAL; 1779 LONGBIO-B</t>
        </is>
      </c>
    </row>
    <row r="225">
      <c r="A225" s="17" t="inlineStr">
        <is>
          <t>Fund SPC</t>
        </is>
      </c>
      <c r="B225" s="167" t="n">
        <v>2</v>
      </c>
      <c r="C225" s="173" t="n">
        <v>100</v>
      </c>
      <c r="D225" s="174" t="n">
        <v>17.5</v>
      </c>
      <c r="E225" s="174" t="n">
        <v>9.800000000000001</v>
      </c>
      <c r="F225" s="174" t="n">
        <v>20.2</v>
      </c>
      <c r="G225" s="174" t="n">
        <v>39.4</v>
      </c>
      <c r="H225" s="174" t="n">
        <v>-7</v>
      </c>
      <c r="I225" s="174" t="n">
        <v>1.2</v>
      </c>
      <c r="J225" s="174" t="n">
        <v>15.8</v>
      </c>
      <c r="K225" s="175" t="inlineStr">
        <is>
          <t>2613 CONTIOCEAN; 2629 MIRXES-B</t>
        </is>
      </c>
    </row>
    <row r="226">
      <c r="A226" s="17" t="inlineStr">
        <is>
          <t>Trading Pacific Pte. Ltd</t>
        </is>
      </c>
      <c r="B226" s="167" t="n">
        <v>2</v>
      </c>
      <c r="C226" s="173" t="n">
        <v>100</v>
      </c>
      <c r="D226" s="174" t="n">
        <v>17.5</v>
      </c>
      <c r="E226" s="174" t="n">
        <v>31.8</v>
      </c>
      <c r="F226" s="174" t="n">
        <v>20.5</v>
      </c>
      <c r="G226" s="174" t="n">
        <v>30.4</v>
      </c>
      <c r="H226" s="174" t="n">
        <v>11.3</v>
      </c>
      <c r="I226" s="174" t="n">
        <v>0.7</v>
      </c>
      <c r="J226" s="174" t="n">
        <v>8.699999999999999</v>
      </c>
      <c r="K226" s="175" t="inlineStr">
        <is>
          <t>6168 ZHOU LIU FU; 2525 HESAI-W</t>
        </is>
      </c>
    </row>
    <row r="227">
      <c r="A227" s="17" t="inlineStr">
        <is>
          <t>Schonfeld</t>
        </is>
      </c>
      <c r="B227" s="167" t="n">
        <v>2</v>
      </c>
      <c r="C227" s="173" t="n">
        <v>50</v>
      </c>
      <c r="D227" s="174" t="n">
        <v>16.9</v>
      </c>
      <c r="E227" s="174" t="n">
        <v>6.1</v>
      </c>
      <c r="F227" s="174" t="n">
        <v>5.7</v>
      </c>
      <c r="G227" s="174" t="n">
        <v>5.3</v>
      </c>
      <c r="H227" s="174" t="n">
        <v>-8.199999999999999</v>
      </c>
      <c r="I227" s="174" t="n">
        <v>-8.800000000000001</v>
      </c>
      <c r="J227" s="174" t="n">
        <v>-9.800000000000001</v>
      </c>
      <c r="K227" s="175" t="inlineStr">
        <is>
          <t>6166 CIG; 7618 JD INDUSTRIALS</t>
        </is>
      </c>
    </row>
    <row r="228">
      <c r="A228" s="17" t="inlineStr">
        <is>
          <t>Baheal Wellness Limited</t>
        </is>
      </c>
      <c r="B228" s="167" t="n">
        <v>2</v>
      </c>
      <c r="C228" s="173" t="n">
        <v>50</v>
      </c>
      <c r="D228" s="174" t="n">
        <v>15</v>
      </c>
      <c r="E228" s="174" t="n">
        <v>43.5</v>
      </c>
      <c r="F228" s="174" t="n">
        <v>36.6</v>
      </c>
      <c r="G228" s="174" t="n">
        <v>-20.5</v>
      </c>
      <c r="H228" s="174" t="n">
        <v>23.3</v>
      </c>
      <c r="I228" s="174" t="n">
        <v>16.4</v>
      </c>
      <c r="J228" s="174" t="n">
        <v>-31.7</v>
      </c>
      <c r="K228" s="175" t="inlineStr">
        <is>
          <t>2361 SINOHEALTH HLDG; 2563 BIOSTAR PHARM-B</t>
        </is>
      </c>
    </row>
    <row r="229">
      <c r="A229" s="17" t="inlineStr">
        <is>
          <t>Bridge Zone Group Limited</t>
        </is>
      </c>
      <c r="B229" s="167" t="n">
        <v>2</v>
      </c>
      <c r="C229" s="173" t="n">
        <v>100</v>
      </c>
      <c r="D229" s="174" t="n">
        <v>14.2</v>
      </c>
      <c r="E229" s="174" t="n">
        <v>21.3</v>
      </c>
      <c r="F229" s="174" t="n">
        <v>9</v>
      </c>
      <c r="G229" s="174" t="n">
        <v>-12.9</v>
      </c>
      <c r="H229" s="174" t="n">
        <v>6.5</v>
      </c>
      <c r="I229" s="174" t="n">
        <v>-5</v>
      </c>
      <c r="J229" s="174" t="n">
        <v>-22.9</v>
      </c>
      <c r="K229" s="175" t="inlineStr">
        <is>
          <t>3636 JINXUN RESOURCE; 2692 ZHAOWEI</t>
        </is>
      </c>
    </row>
    <row r="230">
      <c r="A230" s="17" t="inlineStr">
        <is>
          <t>Taibai Investments Pte. Ltd</t>
        </is>
      </c>
      <c r="B230" s="167" t="n">
        <v>2</v>
      </c>
      <c r="C230" s="173" t="n">
        <v>100</v>
      </c>
      <c r="D230" s="174" t="n">
        <v>13.1</v>
      </c>
      <c r="E230" s="174" t="n">
        <v>34.6</v>
      </c>
      <c r="F230" s="174" t="n">
        <v>79.2</v>
      </c>
      <c r="G230" s="174" t="n">
        <v>62.8</v>
      </c>
      <c r="H230" s="174" t="n">
        <v>17.2</v>
      </c>
      <c r="I230" s="174" t="n">
        <v>51.6</v>
      </c>
      <c r="J230" s="174" t="n">
        <v>38.6</v>
      </c>
      <c r="K230" s="175" t="inlineStr">
        <is>
          <t>3696 INSILICO; 9980 EASTROC</t>
        </is>
      </c>
    </row>
    <row r="231">
      <c r="A231" s="17" t="inlineStr">
        <is>
          <t>Pamalican Fund Ltd</t>
        </is>
      </c>
      <c r="B231" s="167" t="n">
        <v>2</v>
      </c>
      <c r="C231" s="173" t="n">
        <v>100</v>
      </c>
      <c r="D231" s="174" t="n">
        <v>11.4</v>
      </c>
      <c r="E231" s="174" t="n">
        <v>17.8</v>
      </c>
      <c r="F231" s="174" t="n">
        <v>10.8</v>
      </c>
      <c r="G231" s="174" t="n">
        <v>10.4</v>
      </c>
      <c r="H231" s="174" t="n">
        <v>6.2</v>
      </c>
      <c r="I231" s="174" t="n">
        <v>0.3</v>
      </c>
      <c r="J231" s="174" t="n">
        <v>0</v>
      </c>
      <c r="K231" s="175" t="inlineStr">
        <is>
          <t>0300 MIDEA GROUP; 2460 CR BEVERAGE</t>
        </is>
      </c>
    </row>
    <row r="232">
      <c r="A232" s="17" t="inlineStr">
        <is>
          <t>Future Industry Investment Fund II</t>
        </is>
      </c>
      <c r="B232" s="167" t="n">
        <v>2</v>
      </c>
      <c r="C232" s="173" t="n">
        <v>100</v>
      </c>
      <c r="D232" s="174" t="n">
        <v>11</v>
      </c>
      <c r="E232" s="174" t="n">
        <v>11.5</v>
      </c>
      <c r="F232" s="174" t="n">
        <v>8.4</v>
      </c>
      <c r="G232" s="174" t="n">
        <v>15.7</v>
      </c>
      <c r="H232" s="174" t="n">
        <v>0.4</v>
      </c>
      <c r="I232" s="174" t="n">
        <v>-2.2</v>
      </c>
      <c r="J232" s="174" t="n">
        <v>5.6</v>
      </c>
      <c r="K232" s="175" t="inlineStr">
        <is>
          <t>2105 LAEKNA-B; 1828 FWD</t>
        </is>
      </c>
    </row>
    <row r="233">
      <c r="A233" s="17" t="inlineStr">
        <is>
          <t>Polymer Asia Fund LP</t>
        </is>
      </c>
      <c r="B233" s="167" t="n">
        <v>2</v>
      </c>
      <c r="C233" s="173" t="n">
        <v>50</v>
      </c>
      <c r="D233" s="174" t="n">
        <v>9.9</v>
      </c>
      <c r="E233" s="174" t="n">
        <v>3</v>
      </c>
      <c r="F233" s="174" t="n">
        <v>19.4</v>
      </c>
      <c r="G233" s="174" t="n">
        <v>25.4</v>
      </c>
      <c r="H233" s="174" t="n">
        <v>-6</v>
      </c>
      <c r="I233" s="174" t="n">
        <v>8</v>
      </c>
      <c r="J233" s="174" t="n">
        <v>3.4</v>
      </c>
      <c r="K233" s="175" t="inlineStr">
        <is>
          <t>3388 CREALITY; 2475 LUXSHARE ICT</t>
        </is>
      </c>
    </row>
    <row r="234">
      <c r="A234" s="17" t="inlineStr">
        <is>
          <t>Yishao Capital Management (HK) Limited</t>
        </is>
      </c>
      <c r="B234" s="167" t="n">
        <v>2</v>
      </c>
      <c r="C234" s="173" t="n">
        <v>100</v>
      </c>
      <c r="D234" s="174" t="n">
        <v>9.800000000000001</v>
      </c>
      <c r="E234" s="174" t="n">
        <v>4.5</v>
      </c>
      <c r="F234" s="174" t="n">
        <v>22.1</v>
      </c>
      <c r="G234" s="174" t="n"/>
      <c r="H234" s="174" t="n">
        <v>-5.6</v>
      </c>
      <c r="I234" s="174" t="n">
        <v>8.5</v>
      </c>
      <c r="J234" s="174" t="n"/>
      <c r="K234" s="175" t="inlineStr">
        <is>
          <t>6106 SEER TECH; 3752 ROKAE ROBOTICS</t>
        </is>
      </c>
    </row>
    <row r="235">
      <c r="A235" s="17" t="inlineStr">
        <is>
          <t>Shanghai Greenwoods (via Huatai OTC swaps)</t>
        </is>
      </c>
      <c r="B235" s="167" t="n">
        <v>2</v>
      </c>
      <c r="C235" s="173" t="n">
        <v>100</v>
      </c>
      <c r="D235" s="174" t="n">
        <v>9.300000000000001</v>
      </c>
      <c r="E235" s="174" t="n">
        <v>2.2</v>
      </c>
      <c r="F235" s="174" t="n">
        <v>5.8</v>
      </c>
      <c r="G235" s="174" t="n">
        <v>-28.1</v>
      </c>
      <c r="H235" s="174" t="n">
        <v>-6.2</v>
      </c>
      <c r="I235" s="174" t="n">
        <v>-3.1</v>
      </c>
      <c r="J235" s="174" t="n">
        <v>-30.1</v>
      </c>
      <c r="K235" s="175" t="inlineStr">
        <is>
          <t>9981 WOER; 0668 ANKER</t>
        </is>
      </c>
    </row>
    <row r="236">
      <c r="A236" s="17" t="inlineStr">
        <is>
          <t>Wealth Strategy Holding Limited</t>
        </is>
      </c>
      <c r="B236" s="167" t="n">
        <v>2</v>
      </c>
      <c r="C236" s="173" t="n">
        <v>50</v>
      </c>
      <c r="D236" s="174" t="n">
        <v>8.699999999999999</v>
      </c>
      <c r="E236" s="174" t="n">
        <v>6.3</v>
      </c>
      <c r="F236" s="174" t="n">
        <v>49.8</v>
      </c>
      <c r="G236" s="174" t="n">
        <v>-2.9</v>
      </c>
      <c r="H236" s="174" t="n">
        <v>-11.2</v>
      </c>
      <c r="I236" s="174" t="n">
        <v>38.7</v>
      </c>
      <c r="J236" s="174" t="n">
        <v>-25.3</v>
      </c>
      <c r="K236" s="175" t="inlineStr">
        <is>
          <t>2563 BIOSTAR PHARM-B; 6915 JIANGXI BIO</t>
        </is>
      </c>
    </row>
    <row r="237">
      <c r="A237" s="17" t="inlineStr">
        <is>
          <t>SilkyWater Absolute Return LPF</t>
        </is>
      </c>
      <c r="B237" s="167" t="n">
        <v>2</v>
      </c>
      <c r="C237" s="173" t="n">
        <v>50</v>
      </c>
      <c r="D237" s="174" t="n">
        <v>8.6</v>
      </c>
      <c r="E237" s="174" t="n">
        <v>44.3</v>
      </c>
      <c r="F237" s="174" t="n">
        <v>67</v>
      </c>
      <c r="G237" s="174" t="n">
        <v>84.3</v>
      </c>
      <c r="H237" s="174" t="n">
        <v>32.5</v>
      </c>
      <c r="I237" s="174" t="n">
        <v>58.6</v>
      </c>
      <c r="J237" s="174" t="n">
        <v>93.09999999999999</v>
      </c>
      <c r="K237" s="175" t="inlineStr">
        <is>
          <t>1274 IMOTIONAUTOTECH; 2563 BIOSTAR PHARM-B</t>
        </is>
      </c>
    </row>
    <row r="238">
      <c r="A238" s="17" t="inlineStr">
        <is>
          <t>HACF, L.P</t>
        </is>
      </c>
      <c r="B238" s="167" t="n">
        <v>2</v>
      </c>
      <c r="C238" s="173" t="n">
        <v>100</v>
      </c>
      <c r="D238" s="174" t="n">
        <v>7.9</v>
      </c>
      <c r="E238" s="174" t="n">
        <v>20.8</v>
      </c>
      <c r="F238" s="174" t="n">
        <v>69.90000000000001</v>
      </c>
      <c r="G238" s="174" t="n">
        <v>33.4</v>
      </c>
      <c r="H238" s="174" t="n">
        <v>13.8</v>
      </c>
      <c r="I238" s="174" t="n">
        <v>62.3</v>
      </c>
      <c r="J238" s="174" t="n">
        <v>33.3</v>
      </c>
      <c r="K238" s="175" t="inlineStr">
        <is>
          <t>6600 ONEROBOTICS; 0668 ANKER</t>
        </is>
      </c>
    </row>
    <row r="239">
      <c r="A239" s="17" t="inlineStr">
        <is>
          <t>OmniVision HK</t>
        </is>
      </c>
      <c r="B239" s="167" t="n">
        <v>2</v>
      </c>
      <c r="C239" s="173" t="n">
        <v>50</v>
      </c>
      <c r="D239" s="174" t="n">
        <v>7.4</v>
      </c>
      <c r="E239" s="174" t="n">
        <v>18.9</v>
      </c>
      <c r="F239" s="174" t="n">
        <v>5.4</v>
      </c>
      <c r="G239" s="174" t="n">
        <v>20.7</v>
      </c>
      <c r="H239" s="174" t="n">
        <v>11.3</v>
      </c>
      <c r="I239" s="174" t="n">
        <v>-2.5</v>
      </c>
      <c r="J239" s="174" t="n">
        <v>9.800000000000001</v>
      </c>
      <c r="K239" s="175" t="inlineStr">
        <is>
          <t>3200 HANS CNC; 0600 AXERA</t>
        </is>
      </c>
    </row>
    <row r="240">
      <c r="A240" s="17" t="inlineStr">
        <is>
          <t>China Hongqiao Group Limited</t>
        </is>
      </c>
      <c r="B240" s="167" t="n">
        <v>2</v>
      </c>
      <c r="C240" s="173" t="n">
        <v>50</v>
      </c>
      <c r="D240" s="174" t="n">
        <v>7</v>
      </c>
      <c r="E240" s="174" t="n">
        <v>23.1</v>
      </c>
      <c r="F240" s="174" t="n">
        <v>37.6</v>
      </c>
      <c r="G240" s="174" t="n">
        <v>115.7</v>
      </c>
      <c r="H240" s="174" t="n">
        <v>13.4</v>
      </c>
      <c r="I240" s="174" t="n">
        <v>26.7</v>
      </c>
      <c r="J240" s="174" t="n">
        <v>62.4</v>
      </c>
      <c r="K240" s="175" t="inlineStr">
        <is>
          <t>2788 CHUANGXIN IND; 6745 BEFAR GROUP</t>
        </is>
      </c>
    </row>
    <row r="241">
      <c r="A241" s="17" t="inlineStr">
        <is>
          <t>York Asian Opportunities Investments Master Fund, LP</t>
        </is>
      </c>
      <c r="B241" s="167" t="n">
        <v>2</v>
      </c>
      <c r="C241" s="173" t="n">
        <v>100</v>
      </c>
      <c r="D241" s="174" t="n">
        <v>6.8</v>
      </c>
      <c r="E241" s="174" t="n">
        <v>11.4</v>
      </c>
      <c r="F241" s="174" t="n">
        <v>-1.5</v>
      </c>
      <c r="G241" s="174" t="n">
        <v>59.2</v>
      </c>
      <c r="H241" s="174" t="n">
        <v>4.3</v>
      </c>
      <c r="I241" s="174" t="n">
        <v>-8</v>
      </c>
      <c r="J241" s="174" t="n">
        <v>47.8</v>
      </c>
      <c r="K241" s="175" t="inlineStr">
        <is>
          <t>2279 YONGHE MEDICAL; 9903 ILUVATAR COREX</t>
        </is>
      </c>
    </row>
    <row r="242">
      <c r="A242" s="17" t="inlineStr">
        <is>
          <t>Tulip Fund, L.P</t>
        </is>
      </c>
      <c r="B242" s="167" t="n">
        <v>2</v>
      </c>
      <c r="C242" s="173" t="n">
        <v>100</v>
      </c>
      <c r="D242" s="174" t="n">
        <v>6.6</v>
      </c>
      <c r="E242" s="174" t="n">
        <v>5.2</v>
      </c>
      <c r="F242" s="174" t="n">
        <v>5</v>
      </c>
      <c r="G242" s="174" t="n">
        <v>-9.199999999999999</v>
      </c>
      <c r="H242" s="174" t="n">
        <v>-1.2</v>
      </c>
      <c r="I242" s="174" t="n">
        <v>-1.3</v>
      </c>
      <c r="J242" s="174" t="n">
        <v>-14.5</v>
      </c>
      <c r="K242" s="175" t="inlineStr">
        <is>
          <t>9973 CHERY AUTO; 2657 FOREST CABIN</t>
        </is>
      </c>
    </row>
    <row r="243">
      <c r="A243" s="17" t="inlineStr">
        <is>
          <t>Enreal and Forreal Funds</t>
        </is>
      </c>
      <c r="B243" s="167" t="n">
        <v>2</v>
      </c>
      <c r="C243" s="173" t="n">
        <v>100</v>
      </c>
      <c r="D243" s="174" t="n">
        <v>6.5</v>
      </c>
      <c r="E243" s="174" t="n">
        <v>15.1</v>
      </c>
      <c r="F243" s="174" t="n">
        <v>9.699999999999999</v>
      </c>
      <c r="G243" s="174" t="n">
        <v>0.4</v>
      </c>
      <c r="H243" s="174" t="n">
        <v>7.9</v>
      </c>
      <c r="I243" s="174" t="n">
        <v>2.7</v>
      </c>
      <c r="J243" s="174" t="n">
        <v>-6.1</v>
      </c>
      <c r="K243" s="175" t="inlineStr">
        <is>
          <t>2279 YONGHE MEDICAL; 0300 MIDEA GROUP</t>
        </is>
      </c>
    </row>
    <row r="244">
      <c r="A244" s="17" t="inlineStr">
        <is>
          <t>Yield Royal Investment</t>
        </is>
      </c>
      <c r="B244" s="167" t="n">
        <v>2</v>
      </c>
      <c r="C244" s="173" t="n">
        <v>100</v>
      </c>
      <c r="D244" s="174" t="n">
        <v>6.1</v>
      </c>
      <c r="E244" s="174" t="n">
        <v>4.9</v>
      </c>
      <c r="F244" s="174" t="n">
        <v>2.3</v>
      </c>
      <c r="G244" s="174" t="n">
        <v>-23.2</v>
      </c>
      <c r="H244" s="174" t="n">
        <v>-1.1</v>
      </c>
      <c r="I244" s="174" t="n">
        <v>-3.5</v>
      </c>
      <c r="J244" s="174" t="n">
        <v>-27.7</v>
      </c>
      <c r="K244" s="175" t="inlineStr">
        <is>
          <t>2657 FOREST CABIN; 9981 WOER</t>
        </is>
      </c>
    </row>
    <row r="245">
      <c r="A245" s="17" t="inlineStr">
        <is>
          <t>Ingenic Semiconductor (HongKong) Group Limited</t>
        </is>
      </c>
      <c r="B245" s="167" t="n">
        <v>2</v>
      </c>
      <c r="C245" s="173" t="n">
        <v>50</v>
      </c>
      <c r="D245" s="174" t="n">
        <v>6.1</v>
      </c>
      <c r="E245" s="174" t="n">
        <v>17.1</v>
      </c>
      <c r="F245" s="174" t="n">
        <v>52.2</v>
      </c>
      <c r="G245" s="174" t="n">
        <v>21.2</v>
      </c>
      <c r="H245" s="174" t="n">
        <v>3.4</v>
      </c>
      <c r="I245" s="174" t="n">
        <v>34.4</v>
      </c>
      <c r="J245" s="174" t="n">
        <v>7</v>
      </c>
      <c r="K245" s="175" t="inlineStr">
        <is>
          <t>3296 HUAQIN; 9976 LONGSYS</t>
        </is>
      </c>
    </row>
    <row r="246">
      <c r="A246" s="17" t="inlineStr">
        <is>
          <t>Kingboard Investments Limited</t>
        </is>
      </c>
      <c r="B246" s="167" t="n">
        <v>2</v>
      </c>
      <c r="C246" s="173" t="n">
        <v>50</v>
      </c>
      <c r="D246" s="174" t="n">
        <v>5.7</v>
      </c>
      <c r="E246" s="174" t="n">
        <v>13.5</v>
      </c>
      <c r="F246" s="174" t="n">
        <v>27.4</v>
      </c>
      <c r="G246" s="174" t="n">
        <v>21.2</v>
      </c>
      <c r="H246" s="174" t="n">
        <v>7.7</v>
      </c>
      <c r="I246" s="174" t="n">
        <v>19.4</v>
      </c>
      <c r="J246" s="174" t="n">
        <v>7</v>
      </c>
      <c r="K246" s="175" t="inlineStr">
        <is>
          <t>3296 HUAQIN; 1377 DTECH</t>
        </is>
      </c>
    </row>
    <row r="247">
      <c r="A247" s="17" t="inlineStr">
        <is>
          <t>Guotai Junan Investments (Hong Kong) Limited</t>
        </is>
      </c>
      <c r="B247" s="167" t="n">
        <v>2</v>
      </c>
      <c r="C247" s="173" t="n">
        <v>100</v>
      </c>
      <c r="D247" s="174" t="n">
        <v>5.4</v>
      </c>
      <c r="E247" s="174" t="n">
        <v>52.4</v>
      </c>
      <c r="F247" s="174" t="n">
        <v>30.2</v>
      </c>
      <c r="G247" s="174" t="n">
        <v>14.9</v>
      </c>
      <c r="H247" s="174" t="n">
        <v>43.8</v>
      </c>
      <c r="I247" s="174" t="n">
        <v>23</v>
      </c>
      <c r="J247" s="174" t="n">
        <v>8.300000000000001</v>
      </c>
      <c r="K247" s="175" t="inlineStr">
        <is>
          <t>0020 SENSETIME-W; 9611 LONGCHEER</t>
        </is>
      </c>
    </row>
    <row r="248">
      <c r="A248" s="17" t="inlineStr">
        <is>
          <t>VVC Technology Fund Ltd</t>
        </is>
      </c>
      <c r="B248" s="167" t="n">
        <v>2</v>
      </c>
      <c r="C248" s="173" t="n">
        <v>100</v>
      </c>
      <c r="D248" s="174" t="n">
        <v>5.3</v>
      </c>
      <c r="E248" s="174" t="n">
        <v>8.4</v>
      </c>
      <c r="F248" s="174" t="n">
        <v>4.4</v>
      </c>
      <c r="G248" s="174" t="n">
        <v>-11.1</v>
      </c>
      <c r="H248" s="174" t="n">
        <v>3.1</v>
      </c>
      <c r="I248" s="174" t="n">
        <v>-1.1</v>
      </c>
      <c r="J248" s="174" t="n">
        <v>-15.6</v>
      </c>
      <c r="K248" s="175" t="inlineStr">
        <is>
          <t>2692 ZHAOWEI; 1021 HUAYAN ROBOTICS</t>
        </is>
      </c>
    </row>
    <row r="249">
      <c r="A249" s="17" t="inlineStr">
        <is>
          <t>Everbright Wealth Management Co., Ltd</t>
        </is>
      </c>
      <c r="B249" s="167" t="n">
        <v>2</v>
      </c>
      <c r="C249" s="173" t="n">
        <v>50</v>
      </c>
      <c r="D249" s="174" t="n">
        <v>4.3</v>
      </c>
      <c r="E249" s="174" t="n">
        <v>6</v>
      </c>
      <c r="F249" s="174" t="n">
        <v>7.5</v>
      </c>
      <c r="G249" s="174" t="n">
        <v>21.2</v>
      </c>
      <c r="H249" s="174" t="n">
        <v>1.5</v>
      </c>
      <c r="I249" s="174" t="n">
        <v>0.1</v>
      </c>
      <c r="J249" s="174" t="n">
        <v>7</v>
      </c>
      <c r="K249" s="175" t="inlineStr">
        <is>
          <t>3296 HUAQIN; 1688 LINGYI ITECH</t>
        </is>
      </c>
    </row>
    <row r="250">
      <c r="A250" s="17" t="inlineStr">
        <is>
          <t>Supercluster Universe Limited</t>
        </is>
      </c>
      <c r="B250" s="167" t="n">
        <v>2</v>
      </c>
      <c r="C250" s="173" t="n">
        <v>100</v>
      </c>
      <c r="D250" s="174" t="n">
        <v>4.2</v>
      </c>
      <c r="E250" s="174" t="n">
        <v>12.8</v>
      </c>
      <c r="F250" s="174" t="n">
        <v>17.5</v>
      </c>
      <c r="G250" s="174" t="n">
        <v>16.2</v>
      </c>
      <c r="H250" s="174" t="n">
        <v>7.8</v>
      </c>
      <c r="I250" s="174" t="n">
        <v>12.3</v>
      </c>
      <c r="J250" s="174" t="n">
        <v>10.9</v>
      </c>
      <c r="K250" s="175" t="inlineStr">
        <is>
          <t>0300 MIDEA GROUP; 3288 HAITIAN FLAV</t>
        </is>
      </c>
    </row>
    <row r="251">
      <c r="A251" s="17" t="inlineStr">
        <is>
          <t>Eternal Earn Holding Limited</t>
        </is>
      </c>
      <c r="B251" s="167" t="n">
        <v>2</v>
      </c>
      <c r="C251" s="173" t="n">
        <v>50</v>
      </c>
      <c r="D251" s="174" t="n">
        <v>4.1</v>
      </c>
      <c r="E251" s="174" t="n">
        <v>4.4</v>
      </c>
      <c r="F251" s="174" t="n">
        <v>7.5</v>
      </c>
      <c r="G251" s="174" t="n">
        <v>12.4</v>
      </c>
      <c r="H251" s="174" t="n">
        <v>0.4</v>
      </c>
      <c r="I251" s="174" t="n">
        <v>3.1</v>
      </c>
      <c r="J251" s="174" t="n">
        <v>9</v>
      </c>
      <c r="K251" s="175" t="inlineStr">
        <is>
          <t>1519 J&amp;T EXPRESS-W; 1021 HUAYAN ROBOTICS</t>
        </is>
      </c>
    </row>
    <row r="252">
      <c r="A252" s="17" t="inlineStr">
        <is>
          <t>RemeGen Co., Ltd</t>
        </is>
      </c>
      <c r="B252" s="167" t="n">
        <v>2</v>
      </c>
      <c r="C252" s="173" t="n">
        <v>100</v>
      </c>
      <c r="D252" s="174" t="n">
        <v>4</v>
      </c>
      <c r="E252" s="174" t="n">
        <v>17.6</v>
      </c>
      <c r="F252" s="174" t="n">
        <v>21.8</v>
      </c>
      <c r="G252" s="174" t="n">
        <v>28</v>
      </c>
      <c r="H252" s="174" t="n">
        <v>12.9</v>
      </c>
      <c r="I252" s="174" t="n">
        <v>17</v>
      </c>
      <c r="J252" s="174" t="n">
        <v>22.9</v>
      </c>
      <c r="K252" s="175" t="inlineStr">
        <is>
          <t>2315 BIOCYTOGEN-B; 1541 IMMUNEONCO-B</t>
        </is>
      </c>
    </row>
    <row r="253">
      <c r="A253" s="17" t="inlineStr">
        <is>
          <t>COSCO Shipping (Hong Kong) Co., Limited</t>
        </is>
      </c>
      <c r="B253" s="167" t="n">
        <v>2</v>
      </c>
      <c r="C253" s="173" t="n">
        <v>50</v>
      </c>
      <c r="D253" s="174" t="n">
        <v>3.9</v>
      </c>
      <c r="E253" s="174" t="n">
        <v>18.6</v>
      </c>
      <c r="F253" s="174" t="n">
        <v>26.9</v>
      </c>
      <c r="G253" s="174" t="n">
        <v>24.1</v>
      </c>
      <c r="H253" s="174" t="n">
        <v>13.9</v>
      </c>
      <c r="I253" s="174" t="n">
        <v>21.9</v>
      </c>
      <c r="J253" s="174" t="n">
        <v>19.1</v>
      </c>
      <c r="K253" s="175" t="inlineStr">
        <is>
          <t>1880 CTG DUTY-FREE; 0300 MIDEA GROUP</t>
        </is>
      </c>
    </row>
    <row r="254">
      <c r="A254" s="17" t="inlineStr">
        <is>
          <t>Caitong Fund Management Co., Ltd</t>
        </is>
      </c>
      <c r="B254" s="167" t="n">
        <v>2</v>
      </c>
      <c r="C254" s="173" t="n">
        <v>50</v>
      </c>
      <c r="D254" s="174" t="n">
        <v>3.8</v>
      </c>
      <c r="E254" s="174" t="n">
        <v>-3.7</v>
      </c>
      <c r="F254" s="174" t="n">
        <v>-10.2</v>
      </c>
      <c r="G254" s="174" t="n">
        <v>-32.1</v>
      </c>
      <c r="H254" s="174" t="n">
        <v>-7</v>
      </c>
      <c r="I254" s="174" t="n">
        <v>-14.3</v>
      </c>
      <c r="J254" s="174" t="n">
        <v>-35.6</v>
      </c>
      <c r="K254" s="175" t="inlineStr">
        <is>
          <t>9600 NEWLINK TECH; 3355 FS.COM</t>
        </is>
      </c>
    </row>
    <row r="255">
      <c r="A255" s="17" t="inlineStr">
        <is>
          <t>Oasis Investments II Master Fund Ltd</t>
        </is>
      </c>
      <c r="B255" s="167" t="n">
        <v>2</v>
      </c>
      <c r="C255" s="173" t="n">
        <v>50</v>
      </c>
      <c r="D255" s="174" t="n">
        <v>3.3</v>
      </c>
      <c r="E255" s="174" t="n">
        <v>16.5</v>
      </c>
      <c r="F255" s="174" t="n">
        <v>-1.8</v>
      </c>
      <c r="G255" s="174" t="n">
        <v>25.4</v>
      </c>
      <c r="H255" s="174" t="n">
        <v>17.2</v>
      </c>
      <c r="I255" s="174" t="n">
        <v>-9</v>
      </c>
      <c r="J255" s="174" t="n">
        <v>3.4</v>
      </c>
      <c r="K255" s="175" t="inlineStr">
        <is>
          <t>3388 CREALITY; 3952 LAIFUAL</t>
        </is>
      </c>
    </row>
    <row r="256">
      <c r="A256" s="17" t="inlineStr">
        <is>
          <t>LYFE CAPITAL FUND III (DRAGON), L.P</t>
        </is>
      </c>
      <c r="B256" s="167" t="n">
        <v>2</v>
      </c>
      <c r="C256" s="173" t="n">
        <v>50</v>
      </c>
      <c r="D256" s="174" t="n">
        <v>3.2</v>
      </c>
      <c r="E256" s="174" t="n">
        <v>13.7</v>
      </c>
      <c r="F256" s="174" t="n">
        <v>-2.3</v>
      </c>
      <c r="G256" s="174" t="n">
        <v>-16</v>
      </c>
      <c r="H256" s="174" t="n">
        <v>7</v>
      </c>
      <c r="I256" s="174" t="n">
        <v>-9.199999999999999</v>
      </c>
      <c r="J256" s="174" t="n">
        <v>-23.7</v>
      </c>
      <c r="K256" s="175" t="inlineStr">
        <is>
          <t>6609 HEARTCARE-B; 2675 EDGE MEDICAL-B</t>
        </is>
      </c>
    </row>
    <row r="257">
      <c r="A257" s="17" t="inlineStr">
        <is>
          <t>Splendid Zhonghe (Tianjin) Investment Management Co., Ltd</t>
        </is>
      </c>
      <c r="B257" s="167" t="n">
        <v>2</v>
      </c>
      <c r="C257" s="173" t="n">
        <v>100</v>
      </c>
      <c r="D257" s="174" t="n">
        <v>2.5</v>
      </c>
      <c r="E257" s="174" t="n">
        <v>-10.8</v>
      </c>
      <c r="F257" s="174" t="n">
        <v>-31.1</v>
      </c>
      <c r="G257" s="174" t="n">
        <v>-24.2</v>
      </c>
      <c r="H257" s="174" t="n">
        <v>-12.7</v>
      </c>
      <c r="I257" s="174" t="n">
        <v>-32.5</v>
      </c>
      <c r="J257" s="174" t="n">
        <v>-24.6</v>
      </c>
      <c r="K257" s="175" t="inlineStr">
        <is>
          <t>2493 MABWELL-B; 6106 SEER TECH</t>
        </is>
      </c>
    </row>
    <row r="258">
      <c r="A258" s="17" t="inlineStr">
        <is>
          <t>Sanjin International CO., LTD</t>
        </is>
      </c>
      <c r="B258" s="167" t="n">
        <v>2</v>
      </c>
      <c r="C258" s="173" t="n">
        <v>100</v>
      </c>
      <c r="D258" s="174" t="n">
        <v>1.8</v>
      </c>
      <c r="E258" s="174" t="n">
        <v>-0.7</v>
      </c>
      <c r="F258" s="174" t="n">
        <v>-6.1</v>
      </c>
      <c r="G258" s="174" t="n">
        <v>-10.5</v>
      </c>
      <c r="H258" s="174" t="n">
        <v>-2.5</v>
      </c>
      <c r="I258" s="174" t="n">
        <v>-7.9</v>
      </c>
      <c r="J258" s="174" t="n">
        <v>-12.3</v>
      </c>
      <c r="K258" s="175" t="inlineStr">
        <is>
          <t>2315 BIOCYTOGEN-B; 2493 MABWELL-B</t>
        </is>
      </c>
    </row>
    <row r="259">
      <c r="A259" s="17" t="inlineStr">
        <is>
          <t>ZGC International Limited</t>
        </is>
      </c>
      <c r="B259" s="167" t="n">
        <v>2</v>
      </c>
      <c r="C259" s="173" t="n">
        <v>50</v>
      </c>
      <c r="D259" s="174" t="n">
        <v>1.2</v>
      </c>
      <c r="E259" s="174" t="n">
        <v>11.9</v>
      </c>
      <c r="F259" s="174" t="n">
        <v>71.09999999999999</v>
      </c>
      <c r="G259" s="174" t="n">
        <v>42.4</v>
      </c>
      <c r="H259" s="174" t="n">
        <v>10.4</v>
      </c>
      <c r="I259" s="174" t="n">
        <v>66.2</v>
      </c>
      <c r="J259" s="174" t="n">
        <v>36.2</v>
      </c>
      <c r="K259" s="175" t="inlineStr">
        <is>
          <t>9885 YSB; 2438 MOBVOI</t>
        </is>
      </c>
    </row>
    <row r="260">
      <c r="A260" s="17" t="inlineStr">
        <is>
          <t>Heilan Group Co., Limited</t>
        </is>
      </c>
      <c r="B260" s="167" t="n">
        <v>2</v>
      </c>
      <c r="C260" s="173" t="n">
        <v>50</v>
      </c>
      <c r="D260" s="174" t="n">
        <v>1.1</v>
      </c>
      <c r="E260" s="174" t="n">
        <v>0</v>
      </c>
      <c r="F260" s="174" t="n">
        <v>-6</v>
      </c>
      <c r="G260" s="174" t="n">
        <v>-4.7</v>
      </c>
      <c r="H260" s="174" t="n">
        <v>-0.9</v>
      </c>
      <c r="I260" s="174" t="n">
        <v>-6.7</v>
      </c>
      <c r="J260" s="174" t="n">
        <v>-5.9</v>
      </c>
      <c r="K260" s="175" t="inlineStr">
        <is>
          <t>9878 HUITONGDA NET; 9857 LINMON MEDIA</t>
        </is>
      </c>
    </row>
    <row r="261">
      <c r="A261" s="17" t="inlineStr">
        <is>
          <t>Mr. Lu Weiding</t>
        </is>
      </c>
      <c r="B261" s="167" t="n">
        <v>2</v>
      </c>
      <c r="C261" s="173" t="n">
        <v>50</v>
      </c>
      <c r="D261" s="174" t="n">
        <v>1.1</v>
      </c>
      <c r="E261" s="174" t="n">
        <v>-1.4</v>
      </c>
      <c r="F261" s="174" t="n">
        <v>-0.1</v>
      </c>
      <c r="G261" s="174" t="n">
        <v>-21.2</v>
      </c>
      <c r="H261" s="174" t="n">
        <v>-2.7</v>
      </c>
      <c r="I261" s="174" t="n">
        <v>-1.1</v>
      </c>
      <c r="J261" s="174" t="n">
        <v>-22.2</v>
      </c>
      <c r="K261" s="175" t="inlineStr">
        <is>
          <t>3887 HASHKEY HLDGS; 2692 ZHAOWEI</t>
        </is>
      </c>
    </row>
    <row r="262">
      <c r="A262" s="17" t="inlineStr">
        <is>
          <t>Streamax Electronics Limited</t>
        </is>
      </c>
      <c r="B262" s="167" t="n">
        <v>2</v>
      </c>
      <c r="C262" s="173" t="n">
        <v>50</v>
      </c>
      <c r="D262" s="174" t="n">
        <v>0.8</v>
      </c>
      <c r="E262" s="174" t="n">
        <v>-9.5</v>
      </c>
      <c r="F262" s="174" t="n">
        <v>-25.9</v>
      </c>
      <c r="G262" s="174" t="n">
        <v>-37.6</v>
      </c>
      <c r="H262" s="174" t="n">
        <v>-10.1</v>
      </c>
      <c r="I262" s="174" t="n">
        <v>-26.5</v>
      </c>
      <c r="J262" s="174" t="n">
        <v>-38.1</v>
      </c>
      <c r="K262" s="175" t="inlineStr">
        <is>
          <t>2418 DEEWIN; 3268 MEIG</t>
        </is>
      </c>
    </row>
    <row r="263">
      <c r="A263" s="17" t="inlineStr">
        <is>
          <t>United Imaging Healthcare Hong Kong Limited</t>
        </is>
      </c>
      <c r="B263" s="167" t="n">
        <v>2</v>
      </c>
      <c r="C263" s="173" t="n">
        <v>100</v>
      </c>
      <c r="D263" s="174" t="n">
        <v>0.6</v>
      </c>
      <c r="E263" s="174" t="n">
        <v>14.5</v>
      </c>
      <c r="F263" s="174" t="n">
        <v>7.7</v>
      </c>
      <c r="G263" s="174" t="n">
        <v>27.6</v>
      </c>
      <c r="H263" s="174" t="n">
        <v>13.9</v>
      </c>
      <c r="I263" s="174" t="n">
        <v>7.1</v>
      </c>
      <c r="J263" s="174" t="n">
        <v>26.9</v>
      </c>
      <c r="K263" s="175" t="inlineStr">
        <is>
          <t>2522 RIMAG GROUP; 1828 FWD</t>
        </is>
      </c>
    </row>
    <row r="264">
      <c r="A264" s="17" t="inlineStr">
        <is>
          <t>CALB Co., Ltd</t>
        </is>
      </c>
      <c r="B264" s="167" t="n">
        <v>2</v>
      </c>
      <c r="C264" s="173" t="n">
        <v>0</v>
      </c>
      <c r="D264" s="174" t="n">
        <v>-0.1</v>
      </c>
      <c r="E264" s="174" t="n">
        <v>-7.4</v>
      </c>
      <c r="F264" s="174" t="n">
        <v>-9.199999999999999</v>
      </c>
      <c r="G264" s="174" t="n">
        <v>-9.300000000000001</v>
      </c>
      <c r="H264" s="174" t="n">
        <v>-7.3</v>
      </c>
      <c r="I264" s="174" t="n">
        <v>-9.1</v>
      </c>
      <c r="J264" s="174" t="n">
        <v>-9.300000000000001</v>
      </c>
      <c r="K264" s="175" t="inlineStr">
        <is>
          <t>9696 TIANQI LITHIUM; 2579 CNGR</t>
        </is>
      </c>
    </row>
    <row r="265">
      <c r="A265" s="17" t="inlineStr">
        <is>
          <t>Canada Pension Plan Investment Board</t>
        </is>
      </c>
      <c r="B265" s="167" t="n">
        <v>2</v>
      </c>
      <c r="C265" s="173" t="n">
        <v>50</v>
      </c>
      <c r="D265" s="174" t="n">
        <v>-0.5</v>
      </c>
      <c r="E265" s="174" t="n">
        <v>9.1</v>
      </c>
      <c r="F265" s="174" t="n">
        <v>3.2</v>
      </c>
      <c r="G265" s="174" t="n">
        <v>21.1</v>
      </c>
      <c r="H265" s="174" t="n">
        <v>9.800000000000001</v>
      </c>
      <c r="I265" s="174" t="n">
        <v>3.8</v>
      </c>
      <c r="J265" s="174" t="n">
        <v>19.8</v>
      </c>
      <c r="K265" s="175" t="inlineStr">
        <is>
          <t>1828 FWD; 3308 ZJ INNOLIGHT</t>
        </is>
      </c>
    </row>
    <row r="266">
      <c r="A266" s="17" t="inlineStr">
        <is>
          <t>Burkehill</t>
        </is>
      </c>
      <c r="B266" s="167" t="n">
        <v>2</v>
      </c>
      <c r="C266" s="173" t="n">
        <v>0</v>
      </c>
      <c r="D266" s="174" t="n">
        <v>-1</v>
      </c>
      <c r="E266" s="174" t="n">
        <v>8.1</v>
      </c>
      <c r="F266" s="174" t="n">
        <v>1.4</v>
      </c>
      <c r="G266" s="174" t="n">
        <v>-8.4</v>
      </c>
      <c r="H266" s="174" t="n">
        <v>9.300000000000001</v>
      </c>
      <c r="I266" s="174" t="n">
        <v>2.5</v>
      </c>
      <c r="J266" s="174" t="n">
        <v>-8.4</v>
      </c>
      <c r="K266" s="175" t="inlineStr">
        <is>
          <t>7618 JD INDUSTRIALS; 3308 ZJ INNOLIGHT</t>
        </is>
      </c>
    </row>
    <row r="267">
      <c r="A267" s="17" t="inlineStr">
        <is>
          <t>China Chengtong Investment Company Limited</t>
        </is>
      </c>
      <c r="B267" s="167" t="n">
        <v>2</v>
      </c>
      <c r="C267" s="173" t="n">
        <v>50</v>
      </c>
      <c r="D267" s="174" t="n">
        <v>-1.7</v>
      </c>
      <c r="E267" s="174" t="n">
        <v>2.3</v>
      </c>
      <c r="F267" s="174" t="n">
        <v>-17.8</v>
      </c>
      <c r="G267" s="174" t="n">
        <v>-12.4</v>
      </c>
      <c r="H267" s="174" t="n">
        <v>3.7</v>
      </c>
      <c r="I267" s="174" t="n">
        <v>-17.2</v>
      </c>
      <c r="J267" s="174" t="n">
        <v>-10</v>
      </c>
      <c r="K267" s="175" t="inlineStr">
        <is>
          <t>2618 JD LOGISTICS; 2602 ONEWO</t>
        </is>
      </c>
    </row>
    <row r="268">
      <c r="A268" s="17" t="inlineStr">
        <is>
          <t>Azure Telecommunication</t>
        </is>
      </c>
      <c r="B268" s="167" t="n">
        <v>2</v>
      </c>
      <c r="C268" s="173" t="n">
        <v>50</v>
      </c>
      <c r="D268" s="174" t="n">
        <v>-1.9</v>
      </c>
      <c r="E268" s="174" t="n">
        <v>-1.1</v>
      </c>
      <c r="F268" s="174" t="n">
        <v>-10.9</v>
      </c>
      <c r="G268" s="174" t="n">
        <v>-9.4</v>
      </c>
      <c r="H268" s="174" t="n">
        <v>0.8</v>
      </c>
      <c r="I268" s="174" t="n">
        <v>-9</v>
      </c>
      <c r="J268" s="174" t="n">
        <v>-7.4</v>
      </c>
      <c r="K268" s="175" t="inlineStr">
        <is>
          <t>2385 READBOY; 9980 EASTROC</t>
        </is>
      </c>
    </row>
    <row r="269">
      <c r="A269" s="17" t="inlineStr">
        <is>
          <t>Mr. Cheng Wan Wai</t>
        </is>
      </c>
      <c r="B269" s="167" t="n">
        <v>2</v>
      </c>
      <c r="C269" s="173" t="n">
        <v>50</v>
      </c>
      <c r="D269" s="174" t="n">
        <v>-2.3</v>
      </c>
      <c r="E269" s="174" t="n">
        <v>-11.9</v>
      </c>
      <c r="F269" s="174" t="n">
        <v>-26.7</v>
      </c>
      <c r="G269" s="174" t="n">
        <v>-54.1</v>
      </c>
      <c r="H269" s="174" t="n">
        <v>-9.800000000000001</v>
      </c>
      <c r="I269" s="174" t="n">
        <v>-23.9</v>
      </c>
      <c r="J269" s="174" t="n">
        <v>-37.1</v>
      </c>
      <c r="K269" s="175" t="inlineStr">
        <is>
          <t>2350 MTT GROUP; 6067 SENIOR MATERIAL</t>
        </is>
      </c>
    </row>
    <row r="270">
      <c r="A270" s="17" t="inlineStr">
        <is>
          <t>Global Company Limited</t>
        </is>
      </c>
      <c r="B270" s="167" t="n">
        <v>2</v>
      </c>
      <c r="C270" s="173" t="n">
        <v>50</v>
      </c>
      <c r="D270" s="174" t="n">
        <v>-2.7</v>
      </c>
      <c r="E270" s="174" t="n">
        <v>-0.7</v>
      </c>
      <c r="F270" s="174" t="n">
        <v>22.7</v>
      </c>
      <c r="G270" s="174" t="n">
        <v>89</v>
      </c>
      <c r="H270" s="174" t="n">
        <v>2.1</v>
      </c>
      <c r="I270" s="174" t="n">
        <v>27.1</v>
      </c>
      <c r="J270" s="174" t="n">
        <v>97.3</v>
      </c>
      <c r="K270" s="175" t="inlineStr">
        <is>
          <t>1364 GUMING; 1828 FWD</t>
        </is>
      </c>
    </row>
    <row r="271">
      <c r="A271" s="17" t="inlineStr">
        <is>
          <t>Ms. Pan</t>
        </is>
      </c>
      <c r="B271" s="167" t="n">
        <v>2</v>
      </c>
      <c r="C271" s="173" t="n">
        <v>50</v>
      </c>
      <c r="D271" s="174" t="n">
        <v>-2.7</v>
      </c>
      <c r="E271" s="174" t="n">
        <v>-0.3</v>
      </c>
      <c r="F271" s="174" t="n">
        <v>34.4</v>
      </c>
      <c r="G271" s="174" t="n">
        <v>235.3</v>
      </c>
      <c r="H271" s="174" t="n">
        <v>2.6</v>
      </c>
      <c r="I271" s="174" t="n">
        <v>38.8</v>
      </c>
      <c r="J271" s="174" t="n">
        <v>242</v>
      </c>
      <c r="K271" s="175" t="inlineStr">
        <is>
          <t>1364 GUMING; 3317 XUNCE</t>
        </is>
      </c>
    </row>
    <row r="272">
      <c r="A272" s="17" t="inlineStr">
        <is>
          <t>CNGR Hong Kong Material Science &amp; Technology Co., Limited</t>
        </is>
      </c>
      <c r="B272" s="167" t="n">
        <v>2</v>
      </c>
      <c r="C272" s="173" t="n">
        <v>0</v>
      </c>
      <c r="D272" s="174" t="n">
        <v>-3.3</v>
      </c>
      <c r="E272" s="174" t="n">
        <v>-2.4</v>
      </c>
      <c r="F272" s="174" t="n">
        <v>-19.1</v>
      </c>
      <c r="G272" s="174" t="n">
        <v>-45.8</v>
      </c>
      <c r="H272" s="174" t="n">
        <v>1</v>
      </c>
      <c r="I272" s="174" t="n">
        <v>-15.6</v>
      </c>
      <c r="J272" s="174" t="n">
        <v>-45.8</v>
      </c>
      <c r="K272" s="175" t="inlineStr">
        <is>
          <t>3931 CALB; 6228 MERDEKAGOLD-DRS</t>
        </is>
      </c>
    </row>
    <row r="273">
      <c r="A273" s="17" t="inlineStr">
        <is>
          <t>Affin Hwang Asset Management Berhad</t>
        </is>
      </c>
      <c r="B273" s="167" t="n">
        <v>2</v>
      </c>
      <c r="C273" s="173" t="n">
        <v>50</v>
      </c>
      <c r="D273" s="174" t="n">
        <v>-3.6</v>
      </c>
      <c r="E273" s="174" t="n">
        <v>7</v>
      </c>
      <c r="F273" s="174" t="n">
        <v>-17</v>
      </c>
      <c r="G273" s="174" t="n">
        <v>15.4</v>
      </c>
      <c r="H273" s="174" t="n">
        <v>10.8</v>
      </c>
      <c r="I273" s="174" t="n">
        <v>-13.2</v>
      </c>
      <c r="J273" s="174" t="n">
        <v>21</v>
      </c>
      <c r="K273" s="175" t="inlineStr">
        <is>
          <t>2170 BASECARE-B; 2171 CARSGEN-B</t>
        </is>
      </c>
    </row>
    <row r="274">
      <c r="A274" s="17" t="inlineStr">
        <is>
          <t>Ruihua Investment</t>
        </is>
      </c>
      <c r="B274" s="167" t="n">
        <v>2</v>
      </c>
      <c r="C274" s="173" t="n">
        <v>50</v>
      </c>
      <c r="D274" s="174" t="n">
        <v>-3.7</v>
      </c>
      <c r="E274" s="174" t="n">
        <v>-14.9</v>
      </c>
      <c r="F274" s="174" t="n">
        <v>-36.3</v>
      </c>
      <c r="G274" s="174" t="n">
        <v>-24.9</v>
      </c>
      <c r="H274" s="174" t="n">
        <v>-10.6</v>
      </c>
      <c r="I274" s="174" t="n">
        <v>-32.7</v>
      </c>
      <c r="J274" s="174" t="n">
        <v>-14.9</v>
      </c>
      <c r="K274" s="175" t="inlineStr">
        <is>
          <t>0638 FIBOCOM; 6106 SEER TECH</t>
        </is>
      </c>
    </row>
    <row r="275">
      <c r="A275" s="17" t="inlineStr">
        <is>
          <t>Triple Surge Holdings Limited</t>
        </is>
      </c>
      <c r="B275" s="167" t="n">
        <v>2</v>
      </c>
      <c r="C275" s="173" t="n">
        <v>50</v>
      </c>
      <c r="D275" s="174" t="n">
        <v>-4.8</v>
      </c>
      <c r="E275" s="174" t="n">
        <v>-23.7</v>
      </c>
      <c r="F275" s="174" t="n">
        <v>-28.6</v>
      </c>
      <c r="G275" s="174" t="n">
        <v>-50.3</v>
      </c>
      <c r="H275" s="174" t="n">
        <v>-20.7</v>
      </c>
      <c r="I275" s="174" t="n">
        <v>-25</v>
      </c>
      <c r="J275" s="174" t="n">
        <v>-46.5</v>
      </c>
      <c r="K275" s="175" t="inlineStr">
        <is>
          <t>2209 YESASIA HLDGS; 9639 WING LEE DEV</t>
        </is>
      </c>
    </row>
    <row r="276">
      <c r="A276" s="17" t="inlineStr">
        <is>
          <t>Artisan China Post-Venture Master Fund LP</t>
        </is>
      </c>
      <c r="B276" s="167" t="n">
        <v>2</v>
      </c>
      <c r="C276" s="173" t="n">
        <v>50</v>
      </c>
      <c r="D276" s="174" t="n">
        <v>-6.9</v>
      </c>
      <c r="E276" s="174" t="n">
        <v>3.1</v>
      </c>
      <c r="F276" s="174" t="n">
        <v>-7.7</v>
      </c>
      <c r="G276" s="174" t="n">
        <v>-23.4</v>
      </c>
      <c r="H276" s="174" t="n">
        <v>8.199999999999999</v>
      </c>
      <c r="I276" s="174" t="n">
        <v>-3.8</v>
      </c>
      <c r="J276" s="174" t="n">
        <v>-21.2</v>
      </c>
      <c r="K276" s="175" t="inlineStr">
        <is>
          <t>2216 BRONCUS-B; 2252 MEDBOT-B</t>
        </is>
      </c>
    </row>
    <row r="277">
      <c r="A277" s="17" t="inlineStr">
        <is>
          <t>Mercedes-Benz Mobility Services</t>
        </is>
      </c>
      <c r="B277" s="167" t="n">
        <v>2</v>
      </c>
      <c r="C277" s="173" t="n">
        <v>0</v>
      </c>
      <c r="D277" s="174" t="n">
        <v>-7.1</v>
      </c>
      <c r="E277" s="174" t="n">
        <v>-8</v>
      </c>
      <c r="F277" s="174" t="n">
        <v>-6.8</v>
      </c>
      <c r="G277" s="174" t="n">
        <v>25.2</v>
      </c>
      <c r="H277" s="174" t="n">
        <v>-1</v>
      </c>
      <c r="I277" s="174" t="n">
        <v>1.1</v>
      </c>
      <c r="J277" s="174" t="n">
        <v>45.8</v>
      </c>
      <c r="K277" s="175" t="inlineStr">
        <is>
          <t>2643 CAOCAO INC; 6880 MOMENTA-W</t>
        </is>
      </c>
    </row>
    <row r="278">
      <c r="A278" s="17" t="inlineStr">
        <is>
          <t>Sanya Development Holdings Co., Ltd</t>
        </is>
      </c>
      <c r="B278" s="167" t="n">
        <v>2</v>
      </c>
      <c r="C278" s="173" t="n">
        <v>0</v>
      </c>
      <c r="D278" s="174" t="n">
        <v>-7.6</v>
      </c>
      <c r="E278" s="174" t="n">
        <v>-19.9</v>
      </c>
      <c r="F278" s="174" t="n">
        <v>-13.9</v>
      </c>
      <c r="G278" s="174" t="n">
        <v>-28.8</v>
      </c>
      <c r="H278" s="174" t="n">
        <v>-14.5</v>
      </c>
      <c r="I278" s="174" t="n">
        <v>-8.199999999999999</v>
      </c>
      <c r="J278" s="174" t="n">
        <v>-23.8</v>
      </c>
      <c r="K278" s="175" t="inlineStr">
        <is>
          <t>9638 FERRETTI; 9639 WING LEE DEV</t>
        </is>
      </c>
    </row>
    <row r="279">
      <c r="A279" s="17" t="inlineStr">
        <is>
          <t>Carmignac Funds</t>
        </is>
      </c>
      <c r="B279" s="167" t="n">
        <v>2</v>
      </c>
      <c r="C279" s="173" t="n">
        <v>0</v>
      </c>
      <c r="D279" s="174" t="n">
        <v>-8.1</v>
      </c>
      <c r="E279" s="174" t="n">
        <v>-15.3</v>
      </c>
      <c r="F279" s="174" t="n">
        <v>-14.6</v>
      </c>
      <c r="G279" s="174" t="n">
        <v>-20.6</v>
      </c>
      <c r="H279" s="174" t="n">
        <v>-7.8</v>
      </c>
      <c r="I279" s="174" t="n">
        <v>-7.1</v>
      </c>
      <c r="J279" s="174" t="n">
        <v>-13.4</v>
      </c>
      <c r="K279" s="175" t="inlineStr">
        <is>
          <t>6127 JOINN; 9960 KINDSTAR GLOBAL</t>
        </is>
      </c>
    </row>
    <row r="280">
      <c r="A280" s="17" t="inlineStr">
        <is>
          <t>Janus Henderson Funds</t>
        </is>
      </c>
      <c r="B280" s="167" t="n">
        <v>2</v>
      </c>
      <c r="C280" s="173" t="n">
        <v>50</v>
      </c>
      <c r="D280" s="174" t="n">
        <v>-8.5</v>
      </c>
      <c r="E280" s="174" t="n">
        <v>-2.3</v>
      </c>
      <c r="F280" s="174" t="n">
        <v>-3.9</v>
      </c>
      <c r="G280" s="174" t="n">
        <v>-40.9</v>
      </c>
      <c r="H280" s="174" t="n">
        <v>4.9</v>
      </c>
      <c r="I280" s="174" t="n">
        <v>2.9</v>
      </c>
      <c r="J280" s="174" t="n">
        <v>-38</v>
      </c>
      <c r="K280" s="175" t="inlineStr">
        <is>
          <t>9959 LINKLOGIS–W; 1228 CANBRIDGE-B</t>
        </is>
      </c>
    </row>
    <row r="281">
      <c r="A281" s="17" t="inlineStr">
        <is>
          <t>Mr. Su</t>
        </is>
      </c>
      <c r="B281" s="167" t="n">
        <v>2</v>
      </c>
      <c r="C281" s="173" t="n">
        <v>50</v>
      </c>
      <c r="D281" s="174" t="n">
        <v>-9.300000000000001</v>
      </c>
      <c r="E281" s="174" t="n">
        <v>-11</v>
      </c>
      <c r="F281" s="174" t="n">
        <v>-16.8</v>
      </c>
      <c r="G281" s="174" t="n">
        <v>-26</v>
      </c>
      <c r="H281" s="174" t="n">
        <v>-1.8</v>
      </c>
      <c r="I281" s="174" t="n">
        <v>-9.1</v>
      </c>
      <c r="J281" s="174" t="n">
        <v>-16.6</v>
      </c>
      <c r="K281" s="175" t="inlineStr">
        <is>
          <t>2408 XIAO NOODLES; 2657 FOREST CABIN</t>
        </is>
      </c>
    </row>
    <row r="282">
      <c r="A282" s="17" t="inlineStr">
        <is>
          <t>Chery Commercial Vehicle (Anhui) Company Limited</t>
        </is>
      </c>
      <c r="B282" s="167" t="n">
        <v>2</v>
      </c>
      <c r="C282" s="173" t="n">
        <v>0</v>
      </c>
      <c r="D282" s="174" t="n">
        <v>-11.1</v>
      </c>
      <c r="E282" s="174" t="n">
        <v>-28.8</v>
      </c>
      <c r="F282" s="174" t="n">
        <v>-34.2</v>
      </c>
      <c r="G282" s="174" t="n">
        <v>-76.7</v>
      </c>
      <c r="H282" s="174" t="n">
        <v>-21.3</v>
      </c>
      <c r="I282" s="174" t="n">
        <v>-29.7</v>
      </c>
      <c r="J282" s="174" t="n">
        <v>-70.09999999999999</v>
      </c>
      <c r="K282" s="175" t="inlineStr">
        <is>
          <t>2246 GOGOX; 2249 NEXCHIP</t>
        </is>
      </c>
    </row>
    <row r="283">
      <c r="A283" s="17" t="inlineStr">
        <is>
          <t>Laurion Capital Master Fund Ltd</t>
        </is>
      </c>
      <c r="B283" s="167" t="n">
        <v>2</v>
      </c>
      <c r="C283" s="173" t="n">
        <v>50</v>
      </c>
      <c r="D283" s="174" t="n">
        <v>-11.2</v>
      </c>
      <c r="E283" s="174" t="n">
        <v>-12.7</v>
      </c>
      <c r="F283" s="174" t="n">
        <v>-13.6</v>
      </c>
      <c r="G283" s="174" t="n">
        <v>4.8</v>
      </c>
      <c r="H283" s="174" t="n">
        <v>-3.2</v>
      </c>
      <c r="I283" s="174" t="n">
        <v>-6.3</v>
      </c>
      <c r="J283" s="174" t="n">
        <v>15.7</v>
      </c>
      <c r="K283" s="175" t="inlineStr">
        <is>
          <t>2121 AINNOVATION; 6990 SKB BIO-B</t>
        </is>
      </c>
    </row>
    <row r="284">
      <c r="A284" s="17" t="inlineStr">
        <is>
          <t>Country Garden Property Services HK Holdings Company Limited</t>
        </is>
      </c>
      <c r="B284" s="167" t="n">
        <v>2</v>
      </c>
      <c r="C284" s="173" t="n">
        <v>0</v>
      </c>
      <c r="D284" s="174" t="n">
        <v>-12.4</v>
      </c>
      <c r="E284" s="174" t="n">
        <v>-15.1</v>
      </c>
      <c r="F284" s="174" t="n">
        <v>-26.7</v>
      </c>
      <c r="G284" s="174" t="n">
        <v>-28.9</v>
      </c>
      <c r="H284" s="174" t="n">
        <v>-3.5</v>
      </c>
      <c r="I284" s="174" t="n">
        <v>-18.4</v>
      </c>
      <c r="J284" s="174" t="n">
        <v>-21.7</v>
      </c>
      <c r="K284" s="175" t="inlineStr">
        <is>
          <t>2177 UNQ HOLDINGS; 2205 KANGQIAO SER</t>
        </is>
      </c>
    </row>
    <row r="285">
      <c r="A285" s="17" t="inlineStr">
        <is>
          <t>Qingdao Haifa Holding Development Co., Ltd</t>
        </is>
      </c>
      <c r="B285" s="167" t="n">
        <v>2</v>
      </c>
      <c r="C285" s="173" t="n">
        <v>0</v>
      </c>
      <c r="D285" s="174" t="n">
        <v>-12.5</v>
      </c>
      <c r="E285" s="174" t="n">
        <v>-19.3</v>
      </c>
      <c r="F285" s="174" t="n">
        <v>-2.3</v>
      </c>
      <c r="G285" s="174" t="n">
        <v>-16.6</v>
      </c>
      <c r="H285" s="174" t="n">
        <v>-9</v>
      </c>
      <c r="I285" s="174" t="n">
        <v>12.1</v>
      </c>
      <c r="J285" s="174" t="n">
        <v>-3.3</v>
      </c>
      <c r="K285" s="175" t="inlineStr">
        <is>
          <t>9638 FERRETTI; 1973 TIAN TU CAPITAL</t>
        </is>
      </c>
    </row>
    <row r="286">
      <c r="A286" s="17" t="inlineStr">
        <is>
          <t>Fosun Diagnostics (Shanghai) Co., Ltd</t>
        </is>
      </c>
      <c r="B286" s="167" t="n">
        <v>2</v>
      </c>
      <c r="C286" s="173" t="n">
        <v>50</v>
      </c>
      <c r="D286" s="174" t="n">
        <v>-13.2</v>
      </c>
      <c r="E286" s="174" t="n">
        <v>-16.9</v>
      </c>
      <c r="F286" s="174" t="n">
        <v>-23.1</v>
      </c>
      <c r="G286" s="174" t="n">
        <v>-13.7</v>
      </c>
      <c r="H286" s="174" t="n">
        <v>-2.2</v>
      </c>
      <c r="I286" s="174" t="n">
        <v>-11.9</v>
      </c>
      <c r="J286" s="174" t="n">
        <v>-3.8</v>
      </c>
      <c r="K286" s="175" t="inlineStr">
        <is>
          <t>9860 ADICON HOLDINGS; 2566 JIUYUAN GENE</t>
        </is>
      </c>
    </row>
    <row r="287">
      <c r="A287" s="17" t="inlineStr">
        <is>
          <t>CEPHEI</t>
        </is>
      </c>
      <c r="B287" s="167" t="n">
        <v>2</v>
      </c>
      <c r="C287" s="173" t="n">
        <v>0</v>
      </c>
      <c r="D287" s="174" t="n">
        <v>-13.3</v>
      </c>
      <c r="E287" s="174" t="n">
        <v>-19.7</v>
      </c>
      <c r="F287" s="174" t="n">
        <v>-39.6</v>
      </c>
      <c r="G287" s="174" t="n">
        <v>-28.7</v>
      </c>
      <c r="H287" s="174" t="n">
        <v>-7.6</v>
      </c>
      <c r="I287" s="174" t="n">
        <v>-30</v>
      </c>
      <c r="J287" s="174" t="n">
        <v>-19.7</v>
      </c>
      <c r="K287" s="175" t="inlineStr">
        <is>
          <t>2216 BRONCUS-B; 2602 ONEWO</t>
        </is>
      </c>
    </row>
    <row r="288">
      <c r="A288" s="17" t="inlineStr">
        <is>
          <t>Superstring Capital Master Fund LP</t>
        </is>
      </c>
      <c r="B288" s="167" t="n">
        <v>2</v>
      </c>
      <c r="C288" s="173" t="n">
        <v>0</v>
      </c>
      <c r="D288" s="174" t="n">
        <v>-13.8</v>
      </c>
      <c r="E288" s="174" t="n">
        <v>-25.4</v>
      </c>
      <c r="F288" s="174" t="n">
        <v>-29.6</v>
      </c>
      <c r="G288" s="174" t="n">
        <v>-37.3</v>
      </c>
      <c r="H288" s="174" t="n">
        <v>-12.5</v>
      </c>
      <c r="I288" s="174" t="n">
        <v>-19</v>
      </c>
      <c r="J288" s="174" t="n">
        <v>-29.1</v>
      </c>
      <c r="K288" s="175" t="inlineStr">
        <is>
          <t>6609 HEARTCARE-B; 2197 CLOVER BIO-B</t>
        </is>
      </c>
    </row>
    <row r="289">
      <c r="A289" s="17" t="inlineStr">
        <is>
          <t>Huzhou Erqing Asset Operation Co., Ltd</t>
        </is>
      </c>
      <c r="B289" s="167" t="n">
        <v>2</v>
      </c>
      <c r="C289" s="173" t="n">
        <v>0</v>
      </c>
      <c r="D289" s="174" t="n">
        <v>-14.5</v>
      </c>
      <c r="E289" s="174" t="n">
        <v>-4.5</v>
      </c>
      <c r="F289" s="174" t="n">
        <v>-11.6</v>
      </c>
      <c r="G289" s="174" t="n">
        <v>-5.6</v>
      </c>
      <c r="H289" s="174" t="n">
        <v>12.1</v>
      </c>
      <c r="I289" s="174" t="n">
        <v>3.8</v>
      </c>
      <c r="J289" s="174" t="n">
        <v>11</v>
      </c>
      <c r="K289" s="175" t="inlineStr">
        <is>
          <t>6661 HUZHOU GAS; 2409 SEACON</t>
        </is>
      </c>
    </row>
    <row r="290">
      <c r="A290" s="17" t="inlineStr">
        <is>
          <t>Qianhai Kaiyuan Qunwei QDII Plan</t>
        </is>
      </c>
      <c r="B290" s="167" t="n">
        <v>2</v>
      </c>
      <c r="C290" s="173" t="n">
        <v>0</v>
      </c>
      <c r="D290" s="174" t="n">
        <v>-14.9</v>
      </c>
      <c r="E290" s="174" t="n">
        <v>-15.8</v>
      </c>
      <c r="F290" s="174" t="n">
        <v>-12.3</v>
      </c>
      <c r="G290" s="174" t="n">
        <v>-1.8</v>
      </c>
      <c r="H290" s="174" t="n">
        <v>-1.1</v>
      </c>
      <c r="I290" s="174" t="n">
        <v>3</v>
      </c>
      <c r="J290" s="174" t="n">
        <v>15.6</v>
      </c>
      <c r="K290" s="175" t="inlineStr">
        <is>
          <t>3881 CIDI; 2715 ESTUN</t>
        </is>
      </c>
    </row>
    <row r="291">
      <c r="A291" s="17" t="inlineStr">
        <is>
          <t>Mr. Wu Qiyuan</t>
        </is>
      </c>
      <c r="B291" s="167" t="n">
        <v>2</v>
      </c>
      <c r="C291" s="173" t="n">
        <v>50</v>
      </c>
      <c r="D291" s="174" t="n">
        <v>-15.4</v>
      </c>
      <c r="E291" s="174" t="n">
        <v>-15.6</v>
      </c>
      <c r="F291" s="174" t="n">
        <v>-38.2</v>
      </c>
      <c r="G291" s="174" t="n">
        <v>-44.8</v>
      </c>
      <c r="H291" s="174" t="n">
        <v>0.9</v>
      </c>
      <c r="I291" s="174" t="n">
        <v>-24.1</v>
      </c>
      <c r="J291" s="174" t="n">
        <v>-30.5</v>
      </c>
      <c r="K291" s="175" t="inlineStr">
        <is>
          <t>2566 JIUYUAN GENE; 2671 USAS BUILDING</t>
        </is>
      </c>
    </row>
    <row r="292">
      <c r="A292" s="17" t="inlineStr">
        <is>
          <t>Jinhua Industrial Fund Co., Ltd</t>
        </is>
      </c>
      <c r="B292" s="167" t="n">
        <v>2</v>
      </c>
      <c r="C292" s="173" t="n">
        <v>50</v>
      </c>
      <c r="D292" s="174" t="n">
        <v>-16.3</v>
      </c>
      <c r="E292" s="174" t="n">
        <v>-25</v>
      </c>
      <c r="F292" s="174" t="n">
        <v>-30.8</v>
      </c>
      <c r="G292" s="174" t="n">
        <v>-19.2</v>
      </c>
      <c r="H292" s="174" t="n">
        <v>-12.4</v>
      </c>
      <c r="I292" s="174" t="n">
        <v>-21.8</v>
      </c>
      <c r="J292" s="174" t="n">
        <v>-3.8</v>
      </c>
      <c r="K292" s="175" t="inlineStr">
        <is>
          <t>9863 LEAPMOTOR; 2451 LUYUAN GP HLDG</t>
        </is>
      </c>
    </row>
    <row r="293">
      <c r="A293" s="17" t="inlineStr">
        <is>
          <t>Zoomlion International Trading (H.K.) Co., Limited</t>
        </is>
      </c>
      <c r="B293" s="167" t="n">
        <v>2</v>
      </c>
      <c r="C293" s="173" t="n">
        <v>0</v>
      </c>
      <c r="D293" s="174" t="n">
        <v>-18.8</v>
      </c>
      <c r="E293" s="174" t="n">
        <v>-17.8</v>
      </c>
      <c r="F293" s="174" t="n">
        <v>-29.3</v>
      </c>
      <c r="G293" s="174" t="n">
        <v>-25.1</v>
      </c>
      <c r="H293" s="174" t="n">
        <v>-0.8</v>
      </c>
      <c r="I293" s="174" t="n">
        <v>-13.9</v>
      </c>
      <c r="J293" s="174" t="n">
        <v>-8.1</v>
      </c>
      <c r="K293" s="175" t="inlineStr">
        <is>
          <t>2153 TAT HONG EQUIP; 9930 HORIZON CD</t>
        </is>
      </c>
    </row>
    <row r="294">
      <c r="A294" s="17" t="inlineStr">
        <is>
          <t>Jointown International Group Company Limited</t>
        </is>
      </c>
      <c r="B294" s="167" t="n">
        <v>2</v>
      </c>
      <c r="C294" s="173" t="n">
        <v>0</v>
      </c>
      <c r="D294" s="174" t="n">
        <v>-19.2</v>
      </c>
      <c r="E294" s="174" t="n">
        <v>-20.4</v>
      </c>
      <c r="F294" s="174" t="n">
        <v>-23.5</v>
      </c>
      <c r="G294" s="174" t="n">
        <v>-24</v>
      </c>
      <c r="H294" s="174" t="n">
        <v>-0.3</v>
      </c>
      <c r="I294" s="174" t="n">
        <v>-6.9</v>
      </c>
      <c r="J294" s="174" t="n">
        <v>-7.6</v>
      </c>
      <c r="K294" s="175" t="inlineStr">
        <is>
          <t>2291 SCIENTECH; 2566 JIUYUAN GENE</t>
        </is>
      </c>
    </row>
    <row r="295">
      <c r="A295" s="17" t="inlineStr">
        <is>
          <t>Zou Zhiyong</t>
        </is>
      </c>
      <c r="B295" s="167" t="n">
        <v>2</v>
      </c>
      <c r="C295" s="173" t="n">
        <v>50</v>
      </c>
      <c r="D295" s="174" t="n">
        <v>-23</v>
      </c>
      <c r="E295" s="174" t="n">
        <v>-32.7</v>
      </c>
      <c r="F295" s="174" t="n">
        <v>-38.7</v>
      </c>
      <c r="G295" s="174" t="n">
        <v>-22.8</v>
      </c>
      <c r="H295" s="174" t="n">
        <v>-9.9</v>
      </c>
      <c r="I295" s="174" t="n">
        <v>-16</v>
      </c>
      <c r="J295" s="174" t="n">
        <v>18.6</v>
      </c>
      <c r="K295" s="175" t="inlineStr">
        <is>
          <t>3378 HANXBIO-B; 1641 HX COLDCHAIN</t>
        </is>
      </c>
    </row>
    <row r="296">
      <c r="A296" s="17" t="inlineStr">
        <is>
          <t>CELESTIAL OCEAN INVESTMENTS LIMITED</t>
        </is>
      </c>
      <c r="B296" s="167" t="n">
        <v>2</v>
      </c>
      <c r="C296" s="173" t="n">
        <v>0</v>
      </c>
      <c r="D296" s="174" t="n">
        <v>-27.2</v>
      </c>
      <c r="E296" s="174" t="n">
        <v>-37.9</v>
      </c>
      <c r="F296" s="174" t="n">
        <v>-40.7</v>
      </c>
      <c r="G296" s="174" t="n">
        <v>-11.5</v>
      </c>
      <c r="H296" s="174" t="n">
        <v>-25.5</v>
      </c>
      <c r="I296" s="174" t="n">
        <v>-28.9</v>
      </c>
      <c r="J296" s="174" t="n">
        <v>14.1</v>
      </c>
      <c r="K296" s="175" t="inlineStr">
        <is>
          <t>1519 J&amp;T EXPRESS-W; 2586 DMALL</t>
        </is>
      </c>
    </row>
    <row r="297">
      <c r="A297" s="17" t="inlineStr">
        <is>
          <t>Baillie Gifford Overseas Limited及Baillie Gifford &amp; Co</t>
        </is>
      </c>
      <c r="B297" s="167" t="n">
        <v>1</v>
      </c>
      <c r="C297" s="173" t="n">
        <v>100</v>
      </c>
      <c r="D297" s="174" t="n">
        <v>383.6</v>
      </c>
      <c r="E297" s="174" t="n">
        <v>385</v>
      </c>
      <c r="F297" s="174" t="n">
        <v>236.2</v>
      </c>
      <c r="G297" s="174" t="n">
        <v>27.3</v>
      </c>
      <c r="H297" s="174" t="n">
        <v>0.3</v>
      </c>
      <c r="I297" s="174" t="n">
        <v>-30.5</v>
      </c>
      <c r="J297" s="174" t="n">
        <v>-73.7</v>
      </c>
      <c r="K297" s="175" t="inlineStr">
        <is>
          <t>1879 XIZHI TECH-P</t>
        </is>
      </c>
    </row>
    <row r="298">
      <c r="A298" s="17" t="inlineStr">
        <is>
          <t>Shanghai CM Digital Transformation Investment Fund, L.P</t>
        </is>
      </c>
      <c r="B298" s="167" t="n">
        <v>1</v>
      </c>
      <c r="C298" s="173" t="n">
        <v>100</v>
      </c>
      <c r="D298" s="174" t="n">
        <v>383.6</v>
      </c>
      <c r="E298" s="174" t="n">
        <v>385</v>
      </c>
      <c r="F298" s="174" t="n">
        <v>236.2</v>
      </c>
      <c r="G298" s="174" t="n">
        <v>27.3</v>
      </c>
      <c r="H298" s="174" t="n">
        <v>0.3</v>
      </c>
      <c r="I298" s="174" t="n">
        <v>-30.5</v>
      </c>
      <c r="J298" s="174" t="n">
        <v>-73.7</v>
      </c>
      <c r="K298" s="175" t="inlineStr">
        <is>
          <t>1879 XIZHI TECH-P</t>
        </is>
      </c>
    </row>
    <row r="299">
      <c r="A299" s="17" t="inlineStr">
        <is>
          <t>ZTE (H.K.) Limited</t>
        </is>
      </c>
      <c r="B299" s="167" t="n">
        <v>1</v>
      </c>
      <c r="C299" s="173" t="n">
        <v>100</v>
      </c>
      <c r="D299" s="174" t="n">
        <v>383.6</v>
      </c>
      <c r="E299" s="174" t="n">
        <v>385</v>
      </c>
      <c r="F299" s="174" t="n">
        <v>236.2</v>
      </c>
      <c r="G299" s="174" t="n">
        <v>27.3</v>
      </c>
      <c r="H299" s="174" t="n">
        <v>0.3</v>
      </c>
      <c r="I299" s="174" t="n">
        <v>-30.5</v>
      </c>
      <c r="J299" s="174" t="n">
        <v>-73.7</v>
      </c>
      <c r="K299" s="175" t="inlineStr">
        <is>
          <t>1879 XIZHI TECH-P</t>
        </is>
      </c>
    </row>
    <row r="300">
      <c r="A300" s="17" t="inlineStr">
        <is>
          <t>GLY New Mobility 2. LP</t>
        </is>
      </c>
      <c r="B300" s="167" t="n">
        <v>1</v>
      </c>
      <c r="C300" s="173" t="n">
        <v>100</v>
      </c>
      <c r="D300" s="174" t="n">
        <v>367.9</v>
      </c>
      <c r="E300" s="174" t="n">
        <v>295.2</v>
      </c>
      <c r="F300" s="174" t="n">
        <v>280.8</v>
      </c>
      <c r="G300" s="174" t="n"/>
      <c r="H300" s="174" t="n">
        <v>-15.6</v>
      </c>
      <c r="I300" s="174" t="n">
        <v>-18.6</v>
      </c>
      <c r="J300" s="174" t="n"/>
      <c r="K300" s="175" t="inlineStr">
        <is>
          <t>2672 BAIGE DIGITAL</t>
        </is>
      </c>
    </row>
    <row r="301">
      <c r="A301" s="17" t="inlineStr">
        <is>
          <t>Mr. Ke Jiaqi</t>
        </is>
      </c>
      <c r="B301" s="167" t="n">
        <v>1</v>
      </c>
      <c r="C301" s="173" t="n">
        <v>100</v>
      </c>
      <c r="D301" s="174" t="n">
        <v>367.9</v>
      </c>
      <c r="E301" s="174" t="n">
        <v>295.2</v>
      </c>
      <c r="F301" s="174" t="n">
        <v>280.8</v>
      </c>
      <c r="G301" s="174" t="n"/>
      <c r="H301" s="174" t="n">
        <v>-15.6</v>
      </c>
      <c r="I301" s="174" t="n">
        <v>-18.6</v>
      </c>
      <c r="J301" s="174" t="n"/>
      <c r="K301" s="175" t="inlineStr">
        <is>
          <t>2672 BAIGE DIGITAL</t>
        </is>
      </c>
    </row>
    <row r="302">
      <c r="A302" s="17" t="inlineStr">
        <is>
          <t>Huayou HongKong Holding Limited</t>
        </is>
      </c>
      <c r="B302" s="167" t="n">
        <v>1</v>
      </c>
      <c r="C302" s="173" t="n">
        <v>100</v>
      </c>
      <c r="D302" s="174" t="n">
        <v>258.9</v>
      </c>
      <c r="E302" s="174" t="n">
        <v>459.7</v>
      </c>
      <c r="F302" s="174" t="n">
        <v>303.2</v>
      </c>
      <c r="G302" s="174" t="n">
        <v>290.7</v>
      </c>
      <c r="H302" s="174" t="n">
        <v>56</v>
      </c>
      <c r="I302" s="174" t="n">
        <v>12.4</v>
      </c>
      <c r="J302" s="174" t="n">
        <v>8.9</v>
      </c>
      <c r="K302" s="175" t="inlineStr">
        <is>
          <t>2155 MORIMATSU INTL</t>
        </is>
      </c>
    </row>
    <row r="303">
      <c r="A303" s="17" t="inlineStr">
        <is>
          <t>Hwa-An International Limited</t>
        </is>
      </c>
      <c r="B303" s="167" t="n">
        <v>1</v>
      </c>
      <c r="C303" s="173" t="n">
        <v>100</v>
      </c>
      <c r="D303" s="174" t="n">
        <v>258.9</v>
      </c>
      <c r="E303" s="174" t="n">
        <v>459.7</v>
      </c>
      <c r="F303" s="174" t="n">
        <v>303.2</v>
      </c>
      <c r="G303" s="174" t="n">
        <v>290.7</v>
      </c>
      <c r="H303" s="174" t="n">
        <v>56</v>
      </c>
      <c r="I303" s="174" t="n">
        <v>12.4</v>
      </c>
      <c r="J303" s="174" t="n">
        <v>8.9</v>
      </c>
      <c r="K303" s="175" t="inlineStr">
        <is>
          <t>2155 MORIMATSU INTL</t>
        </is>
      </c>
    </row>
    <row r="304">
      <c r="A304" s="17" t="inlineStr">
        <is>
          <t>Jingzhirui (Suzhou) Microelectronic Technology Co., Ltd</t>
        </is>
      </c>
      <c r="B304" s="167" t="n">
        <v>1</v>
      </c>
      <c r="C304" s="173" t="n">
        <v>100</v>
      </c>
      <c r="D304" s="174" t="n">
        <v>258.9</v>
      </c>
      <c r="E304" s="174" t="n">
        <v>459.7</v>
      </c>
      <c r="F304" s="174" t="n">
        <v>303.2</v>
      </c>
      <c r="G304" s="174" t="n">
        <v>290.7</v>
      </c>
      <c r="H304" s="174" t="n">
        <v>56</v>
      </c>
      <c r="I304" s="174" t="n">
        <v>12.4</v>
      </c>
      <c r="J304" s="174" t="n">
        <v>8.9</v>
      </c>
      <c r="K304" s="175" t="inlineStr">
        <is>
          <t>2155 MORIMATSU INTL</t>
        </is>
      </c>
    </row>
    <row r="305">
      <c r="A305" s="17" t="inlineStr">
        <is>
          <t>Zhang Ning</t>
        </is>
      </c>
      <c r="B305" s="167" t="n">
        <v>1</v>
      </c>
      <c r="C305" s="173" t="n">
        <v>100</v>
      </c>
      <c r="D305" s="174" t="n">
        <v>258.9</v>
      </c>
      <c r="E305" s="174" t="n">
        <v>459.7</v>
      </c>
      <c r="F305" s="174" t="n">
        <v>303.2</v>
      </c>
      <c r="G305" s="174" t="n">
        <v>290.7</v>
      </c>
      <c r="H305" s="174" t="n">
        <v>56</v>
      </c>
      <c r="I305" s="174" t="n">
        <v>12.4</v>
      </c>
      <c r="J305" s="174" t="n">
        <v>8.9</v>
      </c>
      <c r="K305" s="175" t="inlineStr">
        <is>
          <t>2155 MORIMATSU INTL</t>
        </is>
      </c>
    </row>
    <row r="306">
      <c r="A306" s="17" t="inlineStr">
        <is>
          <t>Ms. Fan</t>
        </is>
      </c>
      <c r="B306" s="167" t="n">
        <v>1</v>
      </c>
      <c r="C306" s="173" t="n">
        <v>100</v>
      </c>
      <c r="D306" s="174" t="n">
        <v>258.1</v>
      </c>
      <c r="E306" s="174" t="n">
        <v>457.4</v>
      </c>
      <c r="F306" s="174" t="n">
        <v>456.4</v>
      </c>
      <c r="G306" s="174" t="n">
        <v>467.2</v>
      </c>
      <c r="H306" s="174" t="n">
        <v>55.7</v>
      </c>
      <c r="I306" s="174" t="n">
        <v>55.4</v>
      </c>
      <c r="J306" s="174" t="n">
        <v>58.4</v>
      </c>
      <c r="K306" s="175" t="inlineStr">
        <is>
          <t>2583 HIPINE</t>
        </is>
      </c>
    </row>
    <row r="307">
      <c r="A307" s="17" t="inlineStr">
        <is>
          <t>Jinyingu Investment</t>
        </is>
      </c>
      <c r="B307" s="167" t="n">
        <v>1</v>
      </c>
      <c r="C307" s="173" t="n">
        <v>100</v>
      </c>
      <c r="D307" s="174" t="n">
        <v>258.1</v>
      </c>
      <c r="E307" s="174" t="n">
        <v>457.4</v>
      </c>
      <c r="F307" s="174" t="n">
        <v>456.4</v>
      </c>
      <c r="G307" s="174" t="n">
        <v>467.2</v>
      </c>
      <c r="H307" s="174" t="n">
        <v>55.7</v>
      </c>
      <c r="I307" s="174" t="n">
        <v>55.4</v>
      </c>
      <c r="J307" s="174" t="n">
        <v>58.4</v>
      </c>
      <c r="K307" s="175" t="inlineStr">
        <is>
          <t>2583 HIPINE</t>
        </is>
      </c>
    </row>
    <row r="308">
      <c r="A308" s="17" t="inlineStr">
        <is>
          <t>Ren Xuyang (任旭陽)</t>
        </is>
      </c>
      <c r="B308" s="167" t="n">
        <v>1</v>
      </c>
      <c r="C308" s="173" t="n">
        <v>100</v>
      </c>
      <c r="D308" s="174" t="n">
        <v>242.2</v>
      </c>
      <c r="E308" s="174" t="n">
        <v>298.7</v>
      </c>
      <c r="F308" s="174" t="n">
        <v>204.7</v>
      </c>
      <c r="G308" s="174" t="n">
        <v>132.4</v>
      </c>
      <c r="H308" s="174" t="n">
        <v>16.5</v>
      </c>
      <c r="I308" s="174" t="n">
        <v>-11</v>
      </c>
      <c r="J308" s="174" t="n">
        <v>-32.1</v>
      </c>
      <c r="K308" s="175" t="inlineStr">
        <is>
          <t>2706 HAIZHI TECH GP</t>
        </is>
      </c>
    </row>
    <row r="309">
      <c r="A309" s="17" t="inlineStr">
        <is>
          <t>Yang Zaifei (楊再飛)</t>
        </is>
      </c>
      <c r="B309" s="167" t="n">
        <v>1</v>
      </c>
      <c r="C309" s="173" t="n">
        <v>100</v>
      </c>
      <c r="D309" s="174" t="n">
        <v>242.2</v>
      </c>
      <c r="E309" s="174" t="n">
        <v>298.7</v>
      </c>
      <c r="F309" s="174" t="n">
        <v>204.7</v>
      </c>
      <c r="G309" s="174" t="n">
        <v>132.4</v>
      </c>
      <c r="H309" s="174" t="n">
        <v>16.5</v>
      </c>
      <c r="I309" s="174" t="n">
        <v>-11</v>
      </c>
      <c r="J309" s="174" t="n">
        <v>-32.1</v>
      </c>
      <c r="K309" s="175" t="inlineStr">
        <is>
          <t>2706 HAIZHI TECH GP</t>
        </is>
      </c>
    </row>
    <row r="310">
      <c r="A310" s="17" t="inlineStr">
        <is>
          <t>BAI GmbH</t>
        </is>
      </c>
      <c r="B310" s="167" t="n">
        <v>1</v>
      </c>
      <c r="C310" s="173" t="n">
        <v>100</v>
      </c>
      <c r="D310" s="174" t="n">
        <v>242.2</v>
      </c>
      <c r="E310" s="174" t="n">
        <v>298.7</v>
      </c>
      <c r="F310" s="174" t="n">
        <v>204.7</v>
      </c>
      <c r="G310" s="174" t="n">
        <v>132.4</v>
      </c>
      <c r="H310" s="174" t="n">
        <v>16.5</v>
      </c>
      <c r="I310" s="174" t="n">
        <v>-11</v>
      </c>
      <c r="J310" s="174" t="n">
        <v>-32.1</v>
      </c>
      <c r="K310" s="175" t="inlineStr">
        <is>
          <t>2706 HAIZHI TECH GP</t>
        </is>
      </c>
    </row>
    <row r="311">
      <c r="A311" s="17" t="inlineStr">
        <is>
          <t>SKY FINE LIMITED</t>
        </is>
      </c>
      <c r="B311" s="167" t="n">
        <v>1</v>
      </c>
      <c r="C311" s="173" t="n">
        <v>100</v>
      </c>
      <c r="D311" s="174" t="n">
        <v>242.2</v>
      </c>
      <c r="E311" s="174" t="n">
        <v>298.7</v>
      </c>
      <c r="F311" s="174" t="n">
        <v>204.7</v>
      </c>
      <c r="G311" s="174" t="n">
        <v>132.4</v>
      </c>
      <c r="H311" s="174" t="n">
        <v>16.5</v>
      </c>
      <c r="I311" s="174" t="n">
        <v>-11</v>
      </c>
      <c r="J311" s="174" t="n">
        <v>-32.1</v>
      </c>
      <c r="K311" s="175" t="inlineStr">
        <is>
          <t>2706 HAIZHI TECH GP</t>
        </is>
      </c>
    </row>
    <row r="312">
      <c r="A312" s="17" t="inlineStr">
        <is>
          <t>Yifang Technology Group, Ltd</t>
        </is>
      </c>
      <c r="B312" s="167" t="n">
        <v>1</v>
      </c>
      <c r="C312" s="173" t="n">
        <v>100</v>
      </c>
      <c r="D312" s="174" t="n">
        <v>242.2</v>
      </c>
      <c r="E312" s="174" t="n">
        <v>298.7</v>
      </c>
      <c r="F312" s="174" t="n">
        <v>204.7</v>
      </c>
      <c r="G312" s="174" t="n">
        <v>132.4</v>
      </c>
      <c r="H312" s="174" t="n">
        <v>16.5</v>
      </c>
      <c r="I312" s="174" t="n">
        <v>-11</v>
      </c>
      <c r="J312" s="174" t="n">
        <v>-32.1</v>
      </c>
      <c r="K312" s="175" t="inlineStr">
        <is>
          <t>2706 HAIZHI TECH GP</t>
        </is>
      </c>
    </row>
    <row r="313">
      <c r="A313" s="17" t="inlineStr">
        <is>
          <t>Shi Youcai (史有才)</t>
        </is>
      </c>
      <c r="B313" s="167" t="n">
        <v>1</v>
      </c>
      <c r="C313" s="173" t="n">
        <v>100</v>
      </c>
      <c r="D313" s="174" t="n">
        <v>242.2</v>
      </c>
      <c r="E313" s="174" t="n">
        <v>298.7</v>
      </c>
      <c r="F313" s="174" t="n">
        <v>204.7</v>
      </c>
      <c r="G313" s="174" t="n">
        <v>132.4</v>
      </c>
      <c r="H313" s="174" t="n">
        <v>16.5</v>
      </c>
      <c r="I313" s="174" t="n">
        <v>-11</v>
      </c>
      <c r="J313" s="174" t="n">
        <v>-32.1</v>
      </c>
      <c r="K313" s="175" t="inlineStr">
        <is>
          <t>2706 HAIZHI TECH GP</t>
        </is>
      </c>
    </row>
    <row r="314">
      <c r="A314" s="17" t="inlineStr">
        <is>
          <t>Yang Juan (楊娟)</t>
        </is>
      </c>
      <c r="B314" s="167" t="n">
        <v>1</v>
      </c>
      <c r="C314" s="173" t="n">
        <v>100</v>
      </c>
      <c r="D314" s="174" t="n">
        <v>242.2</v>
      </c>
      <c r="E314" s="174" t="n">
        <v>298.7</v>
      </c>
      <c r="F314" s="174" t="n">
        <v>204.7</v>
      </c>
      <c r="G314" s="174" t="n">
        <v>132.4</v>
      </c>
      <c r="H314" s="174" t="n">
        <v>16.5</v>
      </c>
      <c r="I314" s="174" t="n">
        <v>-11</v>
      </c>
      <c r="J314" s="174" t="n">
        <v>-32.1</v>
      </c>
      <c r="K314" s="175" t="inlineStr">
        <is>
          <t>2706 HAIZHI TECH GP</t>
        </is>
      </c>
    </row>
    <row r="315">
      <c r="A315" s="17" t="inlineStr">
        <is>
          <t>Wan Pengjiang (萬澎江)</t>
        </is>
      </c>
      <c r="B315" s="167" t="n">
        <v>1</v>
      </c>
      <c r="C315" s="173" t="n">
        <v>100</v>
      </c>
      <c r="D315" s="174" t="n">
        <v>242.2</v>
      </c>
      <c r="E315" s="174" t="n">
        <v>298.7</v>
      </c>
      <c r="F315" s="174" t="n">
        <v>204.7</v>
      </c>
      <c r="G315" s="174" t="n">
        <v>132.4</v>
      </c>
      <c r="H315" s="174" t="n">
        <v>16.5</v>
      </c>
      <c r="I315" s="174" t="n">
        <v>-11</v>
      </c>
      <c r="J315" s="174" t="n">
        <v>-32.1</v>
      </c>
      <c r="K315" s="175" t="inlineStr">
        <is>
          <t>2706 HAIZHI TECH GP</t>
        </is>
      </c>
    </row>
    <row r="316">
      <c r="A316" s="17" t="inlineStr">
        <is>
          <t>Hu Song (胡嵩)</t>
        </is>
      </c>
      <c r="B316" s="167" t="n">
        <v>1</v>
      </c>
      <c r="C316" s="173" t="n">
        <v>100</v>
      </c>
      <c r="D316" s="174" t="n">
        <v>242.2</v>
      </c>
      <c r="E316" s="174" t="n">
        <v>298.7</v>
      </c>
      <c r="F316" s="174" t="n">
        <v>204.7</v>
      </c>
      <c r="G316" s="174" t="n">
        <v>132.4</v>
      </c>
      <c r="H316" s="174" t="n">
        <v>16.5</v>
      </c>
      <c r="I316" s="174" t="n">
        <v>-11</v>
      </c>
      <c r="J316" s="174" t="n">
        <v>-32.1</v>
      </c>
      <c r="K316" s="175" t="inlineStr">
        <is>
          <t>2706 HAIZHI TECH GP</t>
        </is>
      </c>
    </row>
    <row r="317">
      <c r="A317" s="17" t="inlineStr">
        <is>
          <t>TAL China Focus Master Fund</t>
        </is>
      </c>
      <c r="B317" s="167" t="n">
        <v>1</v>
      </c>
      <c r="C317" s="173" t="n">
        <v>100</v>
      </c>
      <c r="D317" s="174" t="n">
        <v>242.2</v>
      </c>
      <c r="E317" s="174" t="n">
        <v>298.7</v>
      </c>
      <c r="F317" s="174" t="n">
        <v>204.7</v>
      </c>
      <c r="G317" s="174" t="n">
        <v>132.4</v>
      </c>
      <c r="H317" s="174" t="n">
        <v>16.5</v>
      </c>
      <c r="I317" s="174" t="n">
        <v>-11</v>
      </c>
      <c r="J317" s="174" t="n">
        <v>-32.1</v>
      </c>
      <c r="K317" s="175" t="inlineStr">
        <is>
          <t>2706 HAIZHI TECH GP</t>
        </is>
      </c>
    </row>
    <row r="318">
      <c r="A318" s="17" t="inlineStr">
        <is>
          <t>Alternative Fund, L.P</t>
        </is>
      </c>
      <c r="B318" s="167" t="n">
        <v>1</v>
      </c>
      <c r="C318" s="173" t="n">
        <v>100</v>
      </c>
      <c r="D318" s="174" t="n">
        <v>242.2</v>
      </c>
      <c r="E318" s="174" t="n">
        <v>298.7</v>
      </c>
      <c r="F318" s="174" t="n">
        <v>204.7</v>
      </c>
      <c r="G318" s="174" t="n">
        <v>132.4</v>
      </c>
      <c r="H318" s="174" t="n">
        <v>16.5</v>
      </c>
      <c r="I318" s="174" t="n">
        <v>-11</v>
      </c>
      <c r="J318" s="174" t="n">
        <v>-32.1</v>
      </c>
      <c r="K318" s="175" t="inlineStr">
        <is>
          <t>2706 HAIZHI TECH GP</t>
        </is>
      </c>
    </row>
    <row r="319">
      <c r="A319" s="17" t="inlineStr">
        <is>
          <t>XINWUTANG CO., LIMITED</t>
        </is>
      </c>
      <c r="B319" s="167" t="n">
        <v>1</v>
      </c>
      <c r="C319" s="173" t="n">
        <v>100</v>
      </c>
      <c r="D319" s="174" t="n">
        <v>241.1</v>
      </c>
      <c r="E319" s="174" t="n">
        <v>216.6</v>
      </c>
      <c r="F319" s="174" t="n">
        <v>201.5</v>
      </c>
      <c r="G319" s="174" t="n">
        <v>136.7</v>
      </c>
      <c r="H319" s="174" t="n">
        <v>-7.2</v>
      </c>
      <c r="I319" s="174" t="n">
        <v>-11.6</v>
      </c>
      <c r="J319" s="174" t="n">
        <v>-30.6</v>
      </c>
      <c r="K319" s="175" t="inlineStr">
        <is>
          <t>6810 SUNMI TECH-W</t>
        </is>
      </c>
    </row>
    <row r="320">
      <c r="A320" s="17" t="inlineStr">
        <is>
          <t>Carsonlin Investment Ltd</t>
        </is>
      </c>
      <c r="B320" s="167" t="n">
        <v>1</v>
      </c>
      <c r="C320" s="173" t="n">
        <v>100</v>
      </c>
      <c r="D320" s="174" t="n">
        <v>230.2</v>
      </c>
      <c r="E320" s="174" t="n">
        <v>281.1</v>
      </c>
      <c r="F320" s="174" t="n">
        <v>196.2</v>
      </c>
      <c r="G320" s="174" t="n">
        <v>696.2</v>
      </c>
      <c r="H320" s="174" t="n">
        <v>15.4</v>
      </c>
      <c r="I320" s="174" t="n">
        <v>-10.3</v>
      </c>
      <c r="J320" s="174" t="n">
        <v>141.1</v>
      </c>
      <c r="K320" s="175" t="inlineStr">
        <is>
          <t>2427 GUANZE MEDICAL</t>
        </is>
      </c>
    </row>
    <row r="321">
      <c r="A321" s="17" t="inlineStr">
        <is>
          <t>Mu Min</t>
        </is>
      </c>
      <c r="B321" s="167" t="n">
        <v>1</v>
      </c>
      <c r="C321" s="173" t="n">
        <v>100</v>
      </c>
      <c r="D321" s="174" t="n">
        <v>230.2</v>
      </c>
      <c r="E321" s="174" t="n">
        <v>281.1</v>
      </c>
      <c r="F321" s="174" t="n">
        <v>196.2</v>
      </c>
      <c r="G321" s="174" t="n">
        <v>696.2</v>
      </c>
      <c r="H321" s="174" t="n">
        <v>15.4</v>
      </c>
      <c r="I321" s="174" t="n">
        <v>-10.3</v>
      </c>
      <c r="J321" s="174" t="n">
        <v>141.1</v>
      </c>
      <c r="K321" s="175" t="inlineStr">
        <is>
          <t>2427 GUANZE MEDICAL</t>
        </is>
      </c>
    </row>
    <row r="322">
      <c r="A322" s="17" t="inlineStr">
        <is>
          <t>Yang Xinyun</t>
        </is>
      </c>
      <c r="B322" s="167" t="n">
        <v>1</v>
      </c>
      <c r="C322" s="173" t="n">
        <v>100</v>
      </c>
      <c r="D322" s="174" t="n">
        <v>230.2</v>
      </c>
      <c r="E322" s="174" t="n">
        <v>281.1</v>
      </c>
      <c r="F322" s="174" t="n">
        <v>196.2</v>
      </c>
      <c r="G322" s="174" t="n">
        <v>696.2</v>
      </c>
      <c r="H322" s="174" t="n">
        <v>15.4</v>
      </c>
      <c r="I322" s="174" t="n">
        <v>-10.3</v>
      </c>
      <c r="J322" s="174" t="n">
        <v>141.1</v>
      </c>
      <c r="K322" s="175" t="inlineStr">
        <is>
          <t>2427 GUANZE MEDICAL</t>
        </is>
      </c>
    </row>
    <row r="323">
      <c r="A323" s="17" t="inlineStr">
        <is>
          <t>LI Huifeng ( ኇᅆჾ)</t>
        </is>
      </c>
      <c r="B323" s="167" t="n">
        <v>1</v>
      </c>
      <c r="C323" s="173" t="n">
        <v>100</v>
      </c>
      <c r="D323" s="174" t="n">
        <v>206.5</v>
      </c>
      <c r="E323" s="174" t="n">
        <v>183.7</v>
      </c>
      <c r="F323" s="174" t="n">
        <v>137.4</v>
      </c>
      <c r="G323" s="174" t="n">
        <v>84.59999999999999</v>
      </c>
      <c r="H323" s="174" t="n">
        <v>-7.4</v>
      </c>
      <c r="I323" s="174" t="n">
        <v>-22.6</v>
      </c>
      <c r="J323" s="174" t="n">
        <v>-39.8</v>
      </c>
      <c r="K323" s="175" t="inlineStr">
        <is>
          <t>2591 INNOGEN-B</t>
        </is>
      </c>
    </row>
    <row r="324">
      <c r="A324" s="17" t="inlineStr">
        <is>
          <t>SPC-XtalPi AI Fund SP</t>
        </is>
      </c>
      <c r="B324" s="167" t="n">
        <v>1</v>
      </c>
      <c r="C324" s="173" t="n">
        <v>100</v>
      </c>
      <c r="D324" s="174" t="n">
        <v>206.5</v>
      </c>
      <c r="E324" s="174" t="n">
        <v>183.7</v>
      </c>
      <c r="F324" s="174" t="n">
        <v>137.4</v>
      </c>
      <c r="G324" s="174" t="n">
        <v>84.59999999999999</v>
      </c>
      <c r="H324" s="174" t="n">
        <v>-7.4</v>
      </c>
      <c r="I324" s="174" t="n">
        <v>-22.6</v>
      </c>
      <c r="J324" s="174" t="n">
        <v>-39.8</v>
      </c>
      <c r="K324" s="175" t="inlineStr">
        <is>
          <t>2591 INNOGEN-B</t>
        </is>
      </c>
    </row>
    <row r="325">
      <c r="A325" s="17" t="inlineStr">
        <is>
          <t>Marketingforce Management Ltd</t>
        </is>
      </c>
      <c r="B325" s="167" t="n">
        <v>1</v>
      </c>
      <c r="C325" s="173" t="n">
        <v>100</v>
      </c>
      <c r="D325" s="174" t="n">
        <v>206.5</v>
      </c>
      <c r="E325" s="174" t="n">
        <v>183.7</v>
      </c>
      <c r="F325" s="174" t="n">
        <v>137.4</v>
      </c>
      <c r="G325" s="174" t="n">
        <v>84.59999999999999</v>
      </c>
      <c r="H325" s="174" t="n">
        <v>-7.4</v>
      </c>
      <c r="I325" s="174" t="n">
        <v>-22.6</v>
      </c>
      <c r="J325" s="174" t="n">
        <v>-39.8</v>
      </c>
      <c r="K325" s="175" t="inlineStr">
        <is>
          <t>2591 INNOGEN-B</t>
        </is>
      </c>
    </row>
    <row r="326">
      <c r="A326" s="17" t="inlineStr">
        <is>
          <t>DENG Haifeng</t>
        </is>
      </c>
      <c r="B326" s="167" t="n">
        <v>1</v>
      </c>
      <c r="C326" s="173" t="n">
        <v>100</v>
      </c>
      <c r="D326" s="174" t="n">
        <v>206.5</v>
      </c>
      <c r="E326" s="174" t="n">
        <v>183.7</v>
      </c>
      <c r="F326" s="174" t="n">
        <v>137.4</v>
      </c>
      <c r="G326" s="174" t="n">
        <v>84.59999999999999</v>
      </c>
      <c r="H326" s="174" t="n">
        <v>-7.4</v>
      </c>
      <c r="I326" s="174" t="n">
        <v>-22.6</v>
      </c>
      <c r="J326" s="174" t="n">
        <v>-39.8</v>
      </c>
      <c r="K326" s="175" t="inlineStr">
        <is>
          <t>2591 INNOGEN-B</t>
        </is>
      </c>
    </row>
    <row r="327">
      <c r="A327" s="17" t="inlineStr">
        <is>
          <t>Palace Investments Pte. Ltd</t>
        </is>
      </c>
      <c r="B327" s="167" t="n">
        <v>1</v>
      </c>
      <c r="C327" s="173" t="n">
        <v>100</v>
      </c>
      <c r="D327" s="174" t="n">
        <v>206.5</v>
      </c>
      <c r="E327" s="174" t="n">
        <v>183.7</v>
      </c>
      <c r="F327" s="174" t="n">
        <v>137.4</v>
      </c>
      <c r="G327" s="174" t="n">
        <v>84.59999999999999</v>
      </c>
      <c r="H327" s="174" t="n">
        <v>-7.4</v>
      </c>
      <c r="I327" s="174" t="n">
        <v>-22.6</v>
      </c>
      <c r="J327" s="174" t="n">
        <v>-39.8</v>
      </c>
      <c r="K327" s="175" t="inlineStr">
        <is>
          <t>2591 INNOGEN-B</t>
        </is>
      </c>
    </row>
    <row r="328">
      <c r="A328" s="17" t="inlineStr">
        <is>
          <t>BioTrack AA Limited</t>
        </is>
      </c>
      <c r="B328" s="167" t="n">
        <v>1</v>
      </c>
      <c r="C328" s="173" t="n">
        <v>100</v>
      </c>
      <c r="D328" s="174" t="n">
        <v>206.5</v>
      </c>
      <c r="E328" s="174" t="n">
        <v>183.7</v>
      </c>
      <c r="F328" s="174" t="n">
        <v>137.4</v>
      </c>
      <c r="G328" s="174" t="n">
        <v>84.59999999999999</v>
      </c>
      <c r="H328" s="174" t="n">
        <v>-7.4</v>
      </c>
      <c r="I328" s="174" t="n">
        <v>-22.6</v>
      </c>
      <c r="J328" s="174" t="n">
        <v>-39.8</v>
      </c>
      <c r="K328" s="175" t="inlineStr">
        <is>
          <t>2591 INNOGEN-B</t>
        </is>
      </c>
    </row>
    <row r="329">
      <c r="A329" s="17" t="inlineStr">
        <is>
          <t>AMR Action Fund, L.P</t>
        </is>
      </c>
      <c r="B329" s="167" t="n">
        <v>1</v>
      </c>
      <c r="C329" s="173" t="n">
        <v>100</v>
      </c>
      <c r="D329" s="174" t="n">
        <v>178.7</v>
      </c>
      <c r="E329" s="174" t="n">
        <v>166.8</v>
      </c>
      <c r="F329" s="174" t="n">
        <v>248.2</v>
      </c>
      <c r="G329" s="174" t="n">
        <v>165</v>
      </c>
      <c r="H329" s="174" t="n">
        <v>-4.3</v>
      </c>
      <c r="I329" s="174" t="n">
        <v>24.9</v>
      </c>
      <c r="J329" s="174" t="n">
        <v>-4.9</v>
      </c>
      <c r="K329" s="175" t="inlineStr">
        <is>
          <t>6872 TENNOR THERAP-B</t>
        </is>
      </c>
    </row>
    <row r="330">
      <c r="A330" s="17" t="inlineStr">
        <is>
          <t>Shanghai Yangtze River Delta Industry Upgrade Equity Investment</t>
        </is>
      </c>
      <c r="B330" s="167" t="n">
        <v>1</v>
      </c>
      <c r="C330" s="173" t="n">
        <v>100</v>
      </c>
      <c r="D330" s="174" t="n">
        <v>161</v>
      </c>
      <c r="E330" s="174" t="n">
        <v>94.59999999999999</v>
      </c>
      <c r="F330" s="174" t="n">
        <v>89.8</v>
      </c>
      <c r="G330" s="174" t="n">
        <v>112.9</v>
      </c>
      <c r="H330" s="174" t="n">
        <v>-25.4</v>
      </c>
      <c r="I330" s="174" t="n">
        <v>-27.3</v>
      </c>
      <c r="J330" s="174" t="n">
        <v>-18.4</v>
      </c>
      <c r="K330" s="175" t="inlineStr">
        <is>
          <t>2652 CF PHARMTECH</t>
        </is>
      </c>
    </row>
    <row r="331">
      <c r="A331" s="17" t="inlineStr">
        <is>
          <t>The Capital Group Funds</t>
        </is>
      </c>
      <c r="B331" s="167" t="n">
        <v>1</v>
      </c>
      <c r="C331" s="173" t="n">
        <v>100</v>
      </c>
      <c r="D331" s="174" t="n">
        <v>160.9</v>
      </c>
      <c r="E331" s="174" t="n">
        <v>250.4</v>
      </c>
      <c r="F331" s="174" t="n">
        <v>141.9</v>
      </c>
      <c r="G331" s="174" t="n">
        <v>105.4</v>
      </c>
      <c r="H331" s="174" t="n">
        <v>34.3</v>
      </c>
      <c r="I331" s="174" t="n">
        <v>-7.3</v>
      </c>
      <c r="J331" s="174" t="n">
        <v>-21.3</v>
      </c>
      <c r="K331" s="175" t="inlineStr">
        <is>
          <t>1024 KUAISHOU-W</t>
        </is>
      </c>
    </row>
    <row r="332">
      <c r="A332" s="17" t="inlineStr">
        <is>
          <t>Aoqin Heming</t>
        </is>
      </c>
      <c r="B332" s="167" t="n">
        <v>1</v>
      </c>
      <c r="C332" s="173" t="n">
        <v>100</v>
      </c>
      <c r="D332" s="174" t="n">
        <v>158.8</v>
      </c>
      <c r="E332" s="174" t="n">
        <v>229.4</v>
      </c>
      <c r="F332" s="174" t="n">
        <v>338.7</v>
      </c>
      <c r="G332" s="174" t="n">
        <v>592.7</v>
      </c>
      <c r="H332" s="174" t="n">
        <v>27.3</v>
      </c>
      <c r="I332" s="174" t="n">
        <v>69.5</v>
      </c>
      <c r="J332" s="174" t="n">
        <v>167.6</v>
      </c>
      <c r="K332" s="175" t="inlineStr">
        <is>
          <t>2661 QINGSONG HEALTH</t>
        </is>
      </c>
    </row>
    <row r="333">
      <c r="A333" s="17" t="inlineStr">
        <is>
          <t>Discretionary basis</t>
        </is>
      </c>
      <c r="B333" s="167" t="n">
        <v>1</v>
      </c>
      <c r="C333" s="173" t="n">
        <v>100</v>
      </c>
      <c r="D333" s="174" t="n">
        <v>158.8</v>
      </c>
      <c r="E333" s="174" t="n">
        <v>229.4</v>
      </c>
      <c r="F333" s="174" t="n">
        <v>338.7</v>
      </c>
      <c r="G333" s="174" t="n">
        <v>592.7</v>
      </c>
      <c r="H333" s="174" t="n">
        <v>27.3</v>
      </c>
      <c r="I333" s="174" t="n">
        <v>69.5</v>
      </c>
      <c r="J333" s="174" t="n">
        <v>167.6</v>
      </c>
      <c r="K333" s="175" t="inlineStr">
        <is>
          <t>2661 QINGSONG HEALTH</t>
        </is>
      </c>
    </row>
    <row r="334">
      <c r="A334" s="17" t="inlineStr">
        <is>
          <t>George Kent International Pte. Ltd</t>
        </is>
      </c>
      <c r="B334" s="167" t="n">
        <v>1</v>
      </c>
      <c r="C334" s="173" t="n">
        <v>100</v>
      </c>
      <c r="D334" s="174" t="n">
        <v>150</v>
      </c>
      <c r="E334" s="174" t="n">
        <v>164</v>
      </c>
      <c r="F334" s="174" t="n">
        <v>151.2</v>
      </c>
      <c r="G334" s="174" t="n">
        <v>112.5</v>
      </c>
      <c r="H334" s="174" t="n">
        <v>5.6</v>
      </c>
      <c r="I334" s="174" t="n">
        <v>0.5</v>
      </c>
      <c r="J334" s="174" t="n">
        <v>-15</v>
      </c>
      <c r="K334" s="175" t="inlineStr">
        <is>
          <t>6636 EXTREME VISION</t>
        </is>
      </c>
    </row>
    <row r="335">
      <c r="A335" s="17" t="inlineStr">
        <is>
          <t>Zhengjin (Hong Kong) International Co., Limited</t>
        </is>
      </c>
      <c r="B335" s="167" t="n">
        <v>1</v>
      </c>
      <c r="C335" s="173" t="n">
        <v>100</v>
      </c>
      <c r="D335" s="174" t="n">
        <v>150</v>
      </c>
      <c r="E335" s="174" t="n">
        <v>164</v>
      </c>
      <c r="F335" s="174" t="n">
        <v>151.2</v>
      </c>
      <c r="G335" s="174" t="n">
        <v>112.5</v>
      </c>
      <c r="H335" s="174" t="n">
        <v>5.6</v>
      </c>
      <c r="I335" s="174" t="n">
        <v>0.5</v>
      </c>
      <c r="J335" s="174" t="n">
        <v>-15</v>
      </c>
      <c r="K335" s="175" t="inlineStr">
        <is>
          <t>6636 EXTREME VISION</t>
        </is>
      </c>
    </row>
    <row r="336">
      <c r="A336" s="17" t="inlineStr">
        <is>
          <t>Ms. Jin Jie</t>
        </is>
      </c>
      <c r="B336" s="167" t="n">
        <v>1</v>
      </c>
      <c r="C336" s="173" t="n">
        <v>100</v>
      </c>
      <c r="D336" s="174" t="n">
        <v>145.7</v>
      </c>
      <c r="E336" s="174" t="n">
        <v>65</v>
      </c>
      <c r="F336" s="174" t="n">
        <v>131.1</v>
      </c>
      <c r="G336" s="174" t="n">
        <v>216.2</v>
      </c>
      <c r="H336" s="174" t="n">
        <v>-32.9</v>
      </c>
      <c r="I336" s="174" t="n">
        <v>-6</v>
      </c>
      <c r="J336" s="174" t="n">
        <v>28.7</v>
      </c>
      <c r="K336" s="175" t="inlineStr">
        <is>
          <t>2630 VIGONVITA-B</t>
        </is>
      </c>
    </row>
    <row r="337">
      <c r="A337" s="17" t="inlineStr">
        <is>
          <t>Dr. Shen</t>
        </is>
      </c>
      <c r="B337" s="167" t="n">
        <v>1</v>
      </c>
      <c r="C337" s="173" t="n">
        <v>100</v>
      </c>
      <c r="D337" s="174" t="n">
        <v>145.7</v>
      </c>
      <c r="E337" s="174" t="n">
        <v>65</v>
      </c>
      <c r="F337" s="174" t="n">
        <v>131.1</v>
      </c>
      <c r="G337" s="174" t="n">
        <v>216.2</v>
      </c>
      <c r="H337" s="174" t="n">
        <v>-32.9</v>
      </c>
      <c r="I337" s="174" t="n">
        <v>-6</v>
      </c>
      <c r="J337" s="174" t="n">
        <v>28.7</v>
      </c>
      <c r="K337" s="175" t="inlineStr">
        <is>
          <t>2630 VIGONVITA-B</t>
        </is>
      </c>
    </row>
    <row r="338">
      <c r="A338" s="17" t="inlineStr">
        <is>
          <t>Hesai Hong Kong Limited</t>
        </is>
      </c>
      <c r="B338" s="167" t="n">
        <v>1</v>
      </c>
      <c r="C338" s="173" t="n">
        <v>100</v>
      </c>
      <c r="D338" s="174" t="n">
        <v>144.1</v>
      </c>
      <c r="E338" s="174" t="n">
        <v>273.8</v>
      </c>
      <c r="F338" s="174" t="n">
        <v>142.9</v>
      </c>
      <c r="G338" s="174" t="n">
        <v>16.5</v>
      </c>
      <c r="H338" s="174" t="n">
        <v>53.1</v>
      </c>
      <c r="I338" s="174" t="n">
        <v>-0.5</v>
      </c>
      <c r="J338" s="174" t="n">
        <v>-52.3</v>
      </c>
      <c r="K338" s="175" t="inlineStr">
        <is>
          <t>0068 MANYCORE TECH</t>
        </is>
      </c>
    </row>
    <row r="339">
      <c r="A339" s="17" t="inlineStr">
        <is>
          <t>REDWOOD ELITE LIMITED</t>
        </is>
      </c>
      <c r="B339" s="167" t="n">
        <v>1</v>
      </c>
      <c r="C339" s="173" t="n">
        <v>100</v>
      </c>
      <c r="D339" s="174" t="n">
        <v>144.1</v>
      </c>
      <c r="E339" s="174" t="n">
        <v>273.8</v>
      </c>
      <c r="F339" s="174" t="n">
        <v>142.9</v>
      </c>
      <c r="G339" s="174" t="n">
        <v>16.5</v>
      </c>
      <c r="H339" s="174" t="n">
        <v>53.1</v>
      </c>
      <c r="I339" s="174" t="n">
        <v>-0.5</v>
      </c>
      <c r="J339" s="174" t="n">
        <v>-52.3</v>
      </c>
      <c r="K339" s="175" t="inlineStr">
        <is>
          <t>0068 MANYCORE TECH</t>
        </is>
      </c>
    </row>
    <row r="340">
      <c r="A340" s="17" t="inlineStr">
        <is>
          <t>Center Lab</t>
        </is>
      </c>
      <c r="B340" s="167" t="n">
        <v>1</v>
      </c>
      <c r="C340" s="173" t="n">
        <v>100</v>
      </c>
      <c r="D340" s="174" t="n">
        <v>138.8</v>
      </c>
      <c r="E340" s="174" t="n">
        <v>173.7</v>
      </c>
      <c r="F340" s="174" t="n">
        <v>226.8</v>
      </c>
      <c r="G340" s="174" t="n">
        <v>249.3</v>
      </c>
      <c r="H340" s="174" t="n">
        <v>14.6</v>
      </c>
      <c r="I340" s="174" t="n">
        <v>36.8</v>
      </c>
      <c r="J340" s="174" t="n">
        <v>46.3</v>
      </c>
      <c r="K340" s="175" t="inlineStr">
        <is>
          <t>2659 BAO PHARMA-B</t>
        </is>
      </c>
    </row>
    <row r="341">
      <c r="A341" s="17" t="inlineStr">
        <is>
          <t>Zhang Yahong (ߎ2,838,885</t>
        </is>
      </c>
      <c r="B341" s="167" t="n">
        <v>1</v>
      </c>
      <c r="C341" s="173" t="n">
        <v>100</v>
      </c>
      <c r="D341" s="174" t="n">
        <v>138.8</v>
      </c>
      <c r="E341" s="174" t="n">
        <v>173.7</v>
      </c>
      <c r="F341" s="174" t="n">
        <v>226.8</v>
      </c>
      <c r="G341" s="174" t="n">
        <v>249.3</v>
      </c>
      <c r="H341" s="174" t="n">
        <v>14.6</v>
      </c>
      <c r="I341" s="174" t="n">
        <v>36.8</v>
      </c>
      <c r="J341" s="174" t="n">
        <v>46.3</v>
      </c>
      <c r="K341" s="175" t="inlineStr">
        <is>
          <t>2659 BAO PHARMA-B</t>
        </is>
      </c>
    </row>
    <row r="342">
      <c r="A342" s="17" t="inlineStr">
        <is>
          <t>Fan Hong (ߎ2,365,735</t>
        </is>
      </c>
      <c r="B342" s="167" t="n">
        <v>1</v>
      </c>
      <c r="C342" s="173" t="n">
        <v>100</v>
      </c>
      <c r="D342" s="174" t="n">
        <v>138.8</v>
      </c>
      <c r="E342" s="174" t="n">
        <v>173.7</v>
      </c>
      <c r="F342" s="174" t="n">
        <v>226.8</v>
      </c>
      <c r="G342" s="174" t="n">
        <v>249.3</v>
      </c>
      <c r="H342" s="174" t="n">
        <v>14.6</v>
      </c>
      <c r="I342" s="174" t="n">
        <v>36.8</v>
      </c>
      <c r="J342" s="174" t="n">
        <v>46.3</v>
      </c>
      <c r="K342" s="175" t="inlineStr">
        <is>
          <t>2659 BAO PHARMA-B</t>
        </is>
      </c>
    </row>
    <row r="343">
      <c r="A343" s="17" t="inlineStr">
        <is>
          <t>Zheng Keqing (ڡ222,220</t>
        </is>
      </c>
      <c r="B343" s="167" t="n">
        <v>1</v>
      </c>
      <c r="C343" s="173" t="n">
        <v>100</v>
      </c>
      <c r="D343" s="174" t="n">
        <v>138.8</v>
      </c>
      <c r="E343" s="174" t="n">
        <v>173.7</v>
      </c>
      <c r="F343" s="174" t="n">
        <v>226.8</v>
      </c>
      <c r="G343" s="174" t="n">
        <v>249.3</v>
      </c>
      <c r="H343" s="174" t="n">
        <v>14.6</v>
      </c>
      <c r="I343" s="174" t="n">
        <v>36.8</v>
      </c>
      <c r="J343" s="174" t="n">
        <v>46.3</v>
      </c>
      <c r="K343" s="175" t="inlineStr">
        <is>
          <t>2659 BAO PHARMA-B</t>
        </is>
      </c>
    </row>
    <row r="344">
      <c r="A344" s="17" t="inlineStr">
        <is>
          <t>Nie Miao ( ᔗ↿) –</t>
        </is>
      </c>
      <c r="B344" s="167" t="n">
        <v>1</v>
      </c>
      <c r="C344" s="173" t="n">
        <v>100</v>
      </c>
      <c r="D344" s="174" t="n">
        <v>138.8</v>
      </c>
      <c r="E344" s="174" t="n">
        <v>173.7</v>
      </c>
      <c r="F344" s="174" t="n">
        <v>226.8</v>
      </c>
      <c r="G344" s="174" t="n">
        <v>249.3</v>
      </c>
      <c r="H344" s="174" t="n">
        <v>14.6</v>
      </c>
      <c r="I344" s="174" t="n">
        <v>36.8</v>
      </c>
      <c r="J344" s="174" t="n">
        <v>46.3</v>
      </c>
      <c r="K344" s="175" t="inlineStr">
        <is>
          <t>2659 BAO PHARMA-B</t>
        </is>
      </c>
    </row>
    <row r="345">
      <c r="A345" s="17" t="inlineStr">
        <is>
          <t>Wang Jufang (ٹ581,930</t>
        </is>
      </c>
      <c r="B345" s="167" t="n">
        <v>1</v>
      </c>
      <c r="C345" s="173" t="n">
        <v>100</v>
      </c>
      <c r="D345" s="174" t="n">
        <v>138.8</v>
      </c>
      <c r="E345" s="174" t="n">
        <v>173.7</v>
      </c>
      <c r="F345" s="174" t="n">
        <v>226.8</v>
      </c>
      <c r="G345" s="174" t="n">
        <v>249.3</v>
      </c>
      <c r="H345" s="174" t="n">
        <v>14.6</v>
      </c>
      <c r="I345" s="174" t="n">
        <v>36.8</v>
      </c>
      <c r="J345" s="174" t="n">
        <v>46.3</v>
      </c>
      <c r="K345" s="175" t="inlineStr">
        <is>
          <t>2659 BAO PHARMA-B</t>
        </is>
      </c>
    </row>
    <row r="346">
      <c r="A346" s="17" t="inlineStr">
        <is>
          <t>Cui Hongyan (ᜮ) –</t>
        </is>
      </c>
      <c r="B346" s="167" t="n">
        <v>1</v>
      </c>
      <c r="C346" s="173" t="n">
        <v>100</v>
      </c>
      <c r="D346" s="174" t="n">
        <v>138.8</v>
      </c>
      <c r="E346" s="174" t="n">
        <v>173.7</v>
      </c>
      <c r="F346" s="174" t="n">
        <v>226.8</v>
      </c>
      <c r="G346" s="174" t="n">
        <v>249.3</v>
      </c>
      <c r="H346" s="174" t="n">
        <v>14.6</v>
      </c>
      <c r="I346" s="174" t="n">
        <v>36.8</v>
      </c>
      <c r="J346" s="174" t="n">
        <v>46.3</v>
      </c>
      <c r="K346" s="175" t="inlineStr">
        <is>
          <t>2659 BAO PHARMA-B</t>
        </is>
      </c>
    </row>
    <row r="347">
      <c r="A347" s="17" t="inlineStr">
        <is>
          <t>Liu Jintao (ᏹ) –</t>
        </is>
      </c>
      <c r="B347" s="167" t="n">
        <v>1</v>
      </c>
      <c r="C347" s="173" t="n">
        <v>100</v>
      </c>
      <c r="D347" s="174" t="n">
        <v>138.8</v>
      </c>
      <c r="E347" s="174" t="n">
        <v>173.7</v>
      </c>
      <c r="F347" s="174" t="n">
        <v>226.8</v>
      </c>
      <c r="G347" s="174" t="n">
        <v>249.3</v>
      </c>
      <c r="H347" s="174" t="n">
        <v>14.6</v>
      </c>
      <c r="I347" s="174" t="n">
        <v>36.8</v>
      </c>
      <c r="J347" s="174" t="n">
        <v>46.3</v>
      </c>
      <c r="K347" s="175" t="inlineStr">
        <is>
          <t>2659 BAO PHARMA-B</t>
        </is>
      </c>
    </row>
    <row r="348">
      <c r="A348" s="17" t="inlineStr">
        <is>
          <t>Huang Haitao ( රऎᏹ)</t>
        </is>
      </c>
      <c r="B348" s="167" t="n">
        <v>1</v>
      </c>
      <c r="C348" s="173" t="n">
        <v>100</v>
      </c>
      <c r="D348" s="174" t="n">
        <v>138.8</v>
      </c>
      <c r="E348" s="174" t="n">
        <v>173.7</v>
      </c>
      <c r="F348" s="174" t="n">
        <v>226.8</v>
      </c>
      <c r="G348" s="174" t="n">
        <v>249.3</v>
      </c>
      <c r="H348" s="174" t="n">
        <v>14.6</v>
      </c>
      <c r="I348" s="174" t="n">
        <v>36.8</v>
      </c>
      <c r="J348" s="174" t="n">
        <v>46.3</v>
      </c>
      <c r="K348" s="175" t="inlineStr">
        <is>
          <t>2659 BAO PHARMA-B</t>
        </is>
      </c>
    </row>
    <row r="349">
      <c r="A349" s="17" t="inlineStr">
        <is>
          <t>Xu Sumin ( ஢९ઽ) –</t>
        </is>
      </c>
      <c r="B349" s="167" t="n">
        <v>1</v>
      </c>
      <c r="C349" s="173" t="n">
        <v>100</v>
      </c>
      <c r="D349" s="174" t="n">
        <v>138.8</v>
      </c>
      <c r="E349" s="174" t="n">
        <v>173.7</v>
      </c>
      <c r="F349" s="174" t="n">
        <v>226.8</v>
      </c>
      <c r="G349" s="174" t="n">
        <v>249.3</v>
      </c>
      <c r="H349" s="174" t="n">
        <v>14.6</v>
      </c>
      <c r="I349" s="174" t="n">
        <v>36.8</v>
      </c>
      <c r="J349" s="174" t="n">
        <v>46.3</v>
      </c>
      <c r="K349" s="175" t="inlineStr">
        <is>
          <t>2659 BAO PHARMA-B</t>
        </is>
      </c>
    </row>
    <row r="350">
      <c r="A350" s="17" t="inlineStr">
        <is>
          <t>Song Aihui ( ҂ฌฯ)</t>
        </is>
      </c>
      <c r="B350" s="167" t="n">
        <v>1</v>
      </c>
      <c r="C350" s="173" t="n">
        <v>100</v>
      </c>
      <c r="D350" s="174" t="n">
        <v>138.8</v>
      </c>
      <c r="E350" s="174" t="n">
        <v>173.7</v>
      </c>
      <c r="F350" s="174" t="n">
        <v>226.8</v>
      </c>
      <c r="G350" s="174" t="n">
        <v>249.3</v>
      </c>
      <c r="H350" s="174" t="n">
        <v>14.6</v>
      </c>
      <c r="I350" s="174" t="n">
        <v>36.8</v>
      </c>
      <c r="J350" s="174" t="n">
        <v>46.3</v>
      </c>
      <c r="K350" s="175" t="inlineStr">
        <is>
          <t>2659 BAO PHARMA-B</t>
        </is>
      </c>
    </row>
    <row r="351">
      <c r="A351" s="17" t="inlineStr">
        <is>
          <t>Zhao Liping ( Ⴛ஁റ)</t>
        </is>
      </c>
      <c r="B351" s="167" t="n">
        <v>1</v>
      </c>
      <c r="C351" s="173" t="n">
        <v>100</v>
      </c>
      <c r="D351" s="174" t="n">
        <v>138.8</v>
      </c>
      <c r="E351" s="174" t="n">
        <v>173.7</v>
      </c>
      <c r="F351" s="174" t="n">
        <v>226.8</v>
      </c>
      <c r="G351" s="174" t="n">
        <v>249.3</v>
      </c>
      <c r="H351" s="174" t="n">
        <v>14.6</v>
      </c>
      <c r="I351" s="174" t="n">
        <v>36.8</v>
      </c>
      <c r="J351" s="174" t="n">
        <v>46.3</v>
      </c>
      <c r="K351" s="175" t="inlineStr">
        <is>
          <t>2659 BAO PHARMA-B</t>
        </is>
      </c>
    </row>
    <row r="352">
      <c r="A352" s="17" t="inlineStr">
        <is>
          <t>Chample International Limited</t>
        </is>
      </c>
      <c r="B352" s="167" t="n">
        <v>1</v>
      </c>
      <c r="C352" s="173" t="n">
        <v>100</v>
      </c>
      <c r="D352" s="174" t="n">
        <v>127.1</v>
      </c>
      <c r="E352" s="174" t="n">
        <v>105.9</v>
      </c>
      <c r="F352" s="174" t="n">
        <v>10</v>
      </c>
      <c r="G352" s="174" t="n"/>
      <c r="H352" s="174" t="n">
        <v>-9.300000000000001</v>
      </c>
      <c r="I352" s="174" t="n">
        <v>-51.6</v>
      </c>
      <c r="J352" s="174" t="n"/>
      <c r="K352" s="175" t="inlineStr">
        <is>
          <t>6675 SENASIC</t>
        </is>
      </c>
    </row>
    <row r="353">
      <c r="A353" s="17" t="inlineStr">
        <is>
          <t>Libra Fixed Income One SP</t>
        </is>
      </c>
      <c r="B353" s="167" t="n">
        <v>1</v>
      </c>
      <c r="C353" s="173" t="n">
        <v>100</v>
      </c>
      <c r="D353" s="174" t="n">
        <v>127.1</v>
      </c>
      <c r="E353" s="174" t="n">
        <v>105.9</v>
      </c>
      <c r="F353" s="174" t="n">
        <v>10</v>
      </c>
      <c r="G353" s="174" t="n"/>
      <c r="H353" s="174" t="n">
        <v>-9.300000000000001</v>
      </c>
      <c r="I353" s="174" t="n">
        <v>-51.6</v>
      </c>
      <c r="J353" s="174" t="n"/>
      <c r="K353" s="175" t="inlineStr">
        <is>
          <t>6675 SENASIC</t>
        </is>
      </c>
    </row>
    <row r="354">
      <c r="A354" s="17" t="inlineStr">
        <is>
          <t>Longwei Hong Kong Company Limited</t>
        </is>
      </c>
      <c r="B354" s="167" t="n">
        <v>1</v>
      </c>
      <c r="C354" s="173" t="n">
        <v>100</v>
      </c>
      <c r="D354" s="174" t="n">
        <v>127.1</v>
      </c>
      <c r="E354" s="174" t="n">
        <v>105.9</v>
      </c>
      <c r="F354" s="174" t="n">
        <v>10</v>
      </c>
      <c r="G354" s="174" t="n"/>
      <c r="H354" s="174" t="n">
        <v>-9.300000000000001</v>
      </c>
      <c r="I354" s="174" t="n">
        <v>-51.6</v>
      </c>
      <c r="J354" s="174" t="n"/>
      <c r="K354" s="175" t="inlineStr">
        <is>
          <t>6675 SENASIC</t>
        </is>
      </c>
    </row>
    <row r="355">
      <c r="A355" s="17" t="inlineStr">
        <is>
          <t>Mr. Andrew Y Yan</t>
        </is>
      </c>
      <c r="B355" s="167" t="n">
        <v>1</v>
      </c>
      <c r="C355" s="173" t="n">
        <v>100</v>
      </c>
      <c r="D355" s="174" t="n">
        <v>127.1</v>
      </c>
      <c r="E355" s="174" t="n">
        <v>105.9</v>
      </c>
      <c r="F355" s="174" t="n">
        <v>10</v>
      </c>
      <c r="G355" s="174" t="n"/>
      <c r="H355" s="174" t="n">
        <v>-9.300000000000001</v>
      </c>
      <c r="I355" s="174" t="n">
        <v>-51.6</v>
      </c>
      <c r="J355" s="174" t="n"/>
      <c r="K355" s="175" t="inlineStr">
        <is>
          <t>6675 SENASIC</t>
        </is>
      </c>
    </row>
    <row r="356">
      <c r="A356" s="17" t="inlineStr">
        <is>
          <t>Tembusu Limited</t>
        </is>
      </c>
      <c r="B356" s="167" t="n">
        <v>1</v>
      </c>
      <c r="C356" s="173" t="n">
        <v>100</v>
      </c>
      <c r="D356" s="174" t="n">
        <v>127.1</v>
      </c>
      <c r="E356" s="174" t="n">
        <v>105.9</v>
      </c>
      <c r="F356" s="174" t="n">
        <v>10</v>
      </c>
      <c r="G356" s="174" t="n"/>
      <c r="H356" s="174" t="n">
        <v>-9.300000000000001</v>
      </c>
      <c r="I356" s="174" t="n">
        <v>-51.6</v>
      </c>
      <c r="J356" s="174" t="n"/>
      <c r="K356" s="175" t="inlineStr">
        <is>
          <t>6675 SENASIC</t>
        </is>
      </c>
    </row>
    <row r="357">
      <c r="A357" s="17" t="inlineStr">
        <is>
          <t>Thalassa Capital Dynamics SPC</t>
        </is>
      </c>
      <c r="B357" s="167" t="n">
        <v>1</v>
      </c>
      <c r="C357" s="173" t="n">
        <v>100</v>
      </c>
      <c r="D357" s="174" t="n">
        <v>127.1</v>
      </c>
      <c r="E357" s="174" t="n">
        <v>105.9</v>
      </c>
      <c r="F357" s="174" t="n">
        <v>10</v>
      </c>
      <c r="G357" s="174" t="n"/>
      <c r="H357" s="174" t="n">
        <v>-9.300000000000001</v>
      </c>
      <c r="I357" s="174" t="n">
        <v>-51.6</v>
      </c>
      <c r="J357" s="174" t="n"/>
      <c r="K357" s="175" t="inlineStr">
        <is>
          <t>6675 SENASIC</t>
        </is>
      </c>
    </row>
    <row r="358">
      <c r="A358" s="17" t="inlineStr">
        <is>
          <t>Xu Yanjun</t>
        </is>
      </c>
      <c r="B358" s="167" t="n">
        <v>1</v>
      </c>
      <c r="C358" s="173" t="n">
        <v>100</v>
      </c>
      <c r="D358" s="174" t="n">
        <v>126.7</v>
      </c>
      <c r="E358" s="174" t="n">
        <v>417.2</v>
      </c>
      <c r="F358" s="174" t="n">
        <v>451.3</v>
      </c>
      <c r="G358" s="174" t="n">
        <v>509.1</v>
      </c>
      <c r="H358" s="174" t="n">
        <v>128.1</v>
      </c>
      <c r="I358" s="174" t="n">
        <v>143.2</v>
      </c>
      <c r="J358" s="174" t="n">
        <v>168.6</v>
      </c>
      <c r="K358" s="175" t="inlineStr">
        <is>
          <t>2575 XUANZHUBIO-B</t>
        </is>
      </c>
    </row>
    <row r="359">
      <c r="A359" s="17" t="inlineStr">
        <is>
          <t>Li Jia Kui</t>
        </is>
      </c>
      <c r="B359" s="167" t="n">
        <v>1</v>
      </c>
      <c r="C359" s="173" t="n">
        <v>100</v>
      </c>
      <c r="D359" s="174" t="n">
        <v>126.7</v>
      </c>
      <c r="E359" s="174" t="n">
        <v>417.2</v>
      </c>
      <c r="F359" s="174" t="n">
        <v>451.3</v>
      </c>
      <c r="G359" s="174" t="n">
        <v>509.1</v>
      </c>
      <c r="H359" s="174" t="n">
        <v>128.1</v>
      </c>
      <c r="I359" s="174" t="n">
        <v>143.2</v>
      </c>
      <c r="J359" s="174" t="n">
        <v>168.6</v>
      </c>
      <c r="K359" s="175" t="inlineStr">
        <is>
          <t>2575 XUANZHUBIO-B</t>
        </is>
      </c>
    </row>
    <row r="360">
      <c r="A360" s="17" t="inlineStr">
        <is>
          <t>China Venture Capital Innovation Investment Fund Co., Ltd</t>
        </is>
      </c>
      <c r="B360" s="167" t="n">
        <v>1</v>
      </c>
      <c r="C360" s="173" t="n">
        <v>100</v>
      </c>
      <c r="D360" s="174" t="n">
        <v>126.7</v>
      </c>
      <c r="E360" s="174" t="n">
        <v>71.40000000000001</v>
      </c>
      <c r="F360" s="174" t="n">
        <v>25.6</v>
      </c>
      <c r="G360" s="174" t="n">
        <v>25.6</v>
      </c>
      <c r="H360" s="174" t="n">
        <v>-24.4</v>
      </c>
      <c r="I360" s="174" t="n">
        <v>-44.6</v>
      </c>
      <c r="J360" s="174" t="n">
        <v>-44.6</v>
      </c>
      <c r="K360" s="175" t="inlineStr">
        <is>
          <t>7666 METIS TECHBIO-P</t>
        </is>
      </c>
    </row>
    <row r="361">
      <c r="A361" s="17" t="inlineStr">
        <is>
          <t>Deerfield Management Company, L.P</t>
        </is>
      </c>
      <c r="B361" s="167" t="n">
        <v>1</v>
      </c>
      <c r="C361" s="173" t="n">
        <v>100</v>
      </c>
      <c r="D361" s="174" t="n">
        <v>126.7</v>
      </c>
      <c r="E361" s="174" t="n">
        <v>71.40000000000001</v>
      </c>
      <c r="F361" s="174" t="n">
        <v>25.6</v>
      </c>
      <c r="G361" s="174" t="n">
        <v>25.6</v>
      </c>
      <c r="H361" s="174" t="n">
        <v>-24.4</v>
      </c>
      <c r="I361" s="174" t="n">
        <v>-44.6</v>
      </c>
      <c r="J361" s="174" t="n">
        <v>-44.6</v>
      </c>
      <c r="K361" s="175" t="inlineStr">
        <is>
          <t>7666 METIS TECHBIO-P</t>
        </is>
      </c>
    </row>
    <row r="362">
      <c r="A362" s="17" t="inlineStr">
        <is>
          <t>Isometry Global Master Fund, L.P</t>
        </is>
      </c>
      <c r="B362" s="167" t="n">
        <v>1</v>
      </c>
      <c r="C362" s="173" t="n">
        <v>100</v>
      </c>
      <c r="D362" s="174" t="n">
        <v>126.7</v>
      </c>
      <c r="E362" s="174" t="n">
        <v>71.40000000000001</v>
      </c>
      <c r="F362" s="174" t="n">
        <v>25.6</v>
      </c>
      <c r="G362" s="174" t="n">
        <v>25.6</v>
      </c>
      <c r="H362" s="174" t="n">
        <v>-24.4</v>
      </c>
      <c r="I362" s="174" t="n">
        <v>-44.6</v>
      </c>
      <c r="J362" s="174" t="n">
        <v>-44.6</v>
      </c>
      <c r="K362" s="175" t="inlineStr">
        <is>
          <t>7666 METIS TECHBIO-P</t>
        </is>
      </c>
    </row>
    <row r="363">
      <c r="A363" s="17" t="inlineStr">
        <is>
          <t>OAP IV (HK) Limited</t>
        </is>
      </c>
      <c r="B363" s="167" t="n">
        <v>1</v>
      </c>
      <c r="C363" s="173" t="n">
        <v>100</v>
      </c>
      <c r="D363" s="174" t="n">
        <v>118.3</v>
      </c>
      <c r="E363" s="174" t="n">
        <v>102.4</v>
      </c>
      <c r="F363" s="174" t="n">
        <v>94.3</v>
      </c>
      <c r="G363" s="174" t="n">
        <v>26.4</v>
      </c>
      <c r="H363" s="174" t="n">
        <v>-7.2</v>
      </c>
      <c r="I363" s="174" t="n">
        <v>-11</v>
      </c>
      <c r="J363" s="174" t="n">
        <v>-42.1</v>
      </c>
      <c r="K363" s="175" t="inlineStr">
        <is>
          <t>1609 STAR SPORTS MED</t>
        </is>
      </c>
    </row>
    <row r="364">
      <c r="A364" s="17" t="inlineStr">
        <is>
          <t>E Fund Mangement</t>
        </is>
      </c>
      <c r="B364" s="167" t="n">
        <v>1</v>
      </c>
      <c r="C364" s="173" t="n">
        <v>100</v>
      </c>
      <c r="D364" s="174" t="n">
        <v>116.7</v>
      </c>
      <c r="E364" s="174" t="n">
        <v>137.8</v>
      </c>
      <c r="F364" s="174" t="n">
        <v>111.4</v>
      </c>
      <c r="G364" s="174" t="n">
        <v>255.2</v>
      </c>
      <c r="H364" s="174" t="n">
        <v>9.800000000000001</v>
      </c>
      <c r="I364" s="174" t="n">
        <v>-2.4</v>
      </c>
      <c r="J364" s="174" t="n">
        <v>63.9</v>
      </c>
      <c r="K364" s="175" t="inlineStr">
        <is>
          <t>9606 DUALITYBIO-B</t>
        </is>
      </c>
    </row>
    <row r="365">
      <c r="A365" s="17" t="inlineStr">
        <is>
          <t>BioNTech SE</t>
        </is>
      </c>
      <c r="B365" s="167" t="n">
        <v>1</v>
      </c>
      <c r="C365" s="173" t="n">
        <v>100</v>
      </c>
      <c r="D365" s="174" t="n">
        <v>116.7</v>
      </c>
      <c r="E365" s="174" t="n">
        <v>137.8</v>
      </c>
      <c r="F365" s="174" t="n">
        <v>111.4</v>
      </c>
      <c r="G365" s="174" t="n">
        <v>255.2</v>
      </c>
      <c r="H365" s="174" t="n">
        <v>9.800000000000001</v>
      </c>
      <c r="I365" s="174" t="n">
        <v>-2.4</v>
      </c>
      <c r="J365" s="174" t="n">
        <v>63.9</v>
      </c>
      <c r="K365" s="175" t="inlineStr">
        <is>
          <t>9606 DUALITYBIO-B</t>
        </is>
      </c>
    </row>
    <row r="366">
      <c r="A366" s="17" t="inlineStr">
        <is>
          <t>DualityBio Ltd</t>
        </is>
      </c>
      <c r="B366" s="167" t="n">
        <v>1</v>
      </c>
      <c r="C366" s="173" t="n">
        <v>100</v>
      </c>
      <c r="D366" s="174" t="n">
        <v>116.7</v>
      </c>
      <c r="E366" s="174" t="n">
        <v>137.8</v>
      </c>
      <c r="F366" s="174" t="n">
        <v>111.4</v>
      </c>
      <c r="G366" s="174" t="n">
        <v>255.2</v>
      </c>
      <c r="H366" s="174" t="n">
        <v>9.800000000000001</v>
      </c>
      <c r="I366" s="174" t="n">
        <v>-2.4</v>
      </c>
      <c r="J366" s="174" t="n">
        <v>63.9</v>
      </c>
      <c r="K366" s="175" t="inlineStr">
        <is>
          <t>9606 DUALITYBIO-B</t>
        </is>
      </c>
    </row>
    <row r="367">
      <c r="A367" s="17" t="inlineStr">
        <is>
          <t>Fighton Asia Master Fund Limited</t>
        </is>
      </c>
      <c r="B367" s="167" t="n">
        <v>1</v>
      </c>
      <c r="C367" s="173" t="n">
        <v>100</v>
      </c>
      <c r="D367" s="174" t="n">
        <v>110.9</v>
      </c>
      <c r="E367" s="174" t="n">
        <v>218.8</v>
      </c>
      <c r="F367" s="174" t="n">
        <v>314.1</v>
      </c>
      <c r="G367" s="174" t="n">
        <v>284.4</v>
      </c>
      <c r="H367" s="174" t="n">
        <v>51.1</v>
      </c>
      <c r="I367" s="174" t="n">
        <v>96.3</v>
      </c>
      <c r="J367" s="174" t="n">
        <v>82.2</v>
      </c>
      <c r="K367" s="175" t="inlineStr">
        <is>
          <t>2422 REGO INTERACT</t>
        </is>
      </c>
    </row>
    <row r="368">
      <c r="A368" s="17" t="inlineStr">
        <is>
          <t>Authority</t>
        </is>
      </c>
      <c r="B368" s="167" t="n">
        <v>1</v>
      </c>
      <c r="C368" s="173" t="n">
        <v>100</v>
      </c>
      <c r="D368" s="174" t="n">
        <v>109.1</v>
      </c>
      <c r="E368" s="174" t="n">
        <v>165.4</v>
      </c>
      <c r="F368" s="174" t="n">
        <v>212.1</v>
      </c>
      <c r="G368" s="174" t="n">
        <v>445.8</v>
      </c>
      <c r="H368" s="174" t="n">
        <v>26.9</v>
      </c>
      <c r="I368" s="174" t="n">
        <v>49.3</v>
      </c>
      <c r="J368" s="174" t="n">
        <v>161</v>
      </c>
      <c r="K368" s="175" t="inlineStr">
        <is>
          <t>0100 MINIMAX-WP</t>
        </is>
      </c>
    </row>
    <row r="369">
      <c r="A369" s="17" t="inlineStr">
        <is>
          <t>First Quarter Moon OFC — Phecda Fund</t>
        </is>
      </c>
      <c r="B369" s="167" t="n">
        <v>1</v>
      </c>
      <c r="C369" s="173" t="n">
        <v>100</v>
      </c>
      <c r="D369" s="174" t="n">
        <v>108.3</v>
      </c>
      <c r="E369" s="174" t="n">
        <v>86.3</v>
      </c>
      <c r="F369" s="174" t="n">
        <v>81.09999999999999</v>
      </c>
      <c r="G369" s="174" t="n">
        <v>-39.8</v>
      </c>
      <c r="H369" s="174" t="n">
        <v>-10.6</v>
      </c>
      <c r="I369" s="174" t="n">
        <v>-13.1</v>
      </c>
      <c r="J369" s="174" t="n">
        <v>-71.09999999999999</v>
      </c>
      <c r="K369" s="175" t="inlineStr">
        <is>
          <t>7630 IMPACT THERAP-B</t>
        </is>
      </c>
    </row>
    <row r="370">
      <c r="A370" s="17" t="inlineStr">
        <is>
          <t>E Fund Hong Kong</t>
        </is>
      </c>
      <c r="B370" s="167" t="n">
        <v>1</v>
      </c>
      <c r="C370" s="173" t="n">
        <v>100</v>
      </c>
      <c r="D370" s="174" t="n">
        <v>106.5</v>
      </c>
      <c r="E370" s="174" t="n">
        <v>87.3</v>
      </c>
      <c r="F370" s="174" t="n">
        <v>30.1</v>
      </c>
      <c r="G370" s="174" t="n">
        <v>25.8</v>
      </c>
      <c r="H370" s="174" t="n">
        <v>-9.300000000000001</v>
      </c>
      <c r="I370" s="174" t="n">
        <v>-37</v>
      </c>
      <c r="J370" s="174" t="n">
        <v>-39.1</v>
      </c>
      <c r="K370" s="175" t="inlineStr">
        <is>
          <t>2595 GENFLEET-B</t>
        </is>
      </c>
    </row>
    <row r="371">
      <c r="A371" s="17" t="inlineStr">
        <is>
          <t>Hundreds Capital</t>
        </is>
      </c>
      <c r="B371" s="167" t="n">
        <v>1</v>
      </c>
      <c r="C371" s="173" t="n">
        <v>100</v>
      </c>
      <c r="D371" s="174" t="n">
        <v>106.1</v>
      </c>
      <c r="E371" s="174" t="n">
        <v>57.2</v>
      </c>
      <c r="F371" s="174" t="n">
        <v>45.2</v>
      </c>
      <c r="G371" s="174" t="n">
        <v>77.90000000000001</v>
      </c>
      <c r="H371" s="174" t="n">
        <v>-23.8</v>
      </c>
      <c r="I371" s="174" t="n">
        <v>-29.5</v>
      </c>
      <c r="J371" s="174" t="n">
        <v>-13.7</v>
      </c>
      <c r="K371" s="175" t="inlineStr">
        <is>
          <t>2718 MININGLAMP-W</t>
        </is>
      </c>
    </row>
    <row r="372">
      <c r="A372" s="17" t="inlineStr">
        <is>
          <t>GFH Financial Group B.S.C</t>
        </is>
      </c>
      <c r="B372" s="167" t="n">
        <v>1</v>
      </c>
      <c r="C372" s="173" t="n">
        <v>100</v>
      </c>
      <c r="D372" s="174" t="n">
        <v>106.1</v>
      </c>
      <c r="E372" s="174" t="n">
        <v>57.2</v>
      </c>
      <c r="F372" s="174" t="n">
        <v>45.2</v>
      </c>
      <c r="G372" s="174" t="n">
        <v>77.90000000000001</v>
      </c>
      <c r="H372" s="174" t="n">
        <v>-23.8</v>
      </c>
      <c r="I372" s="174" t="n">
        <v>-29.5</v>
      </c>
      <c r="J372" s="174" t="n">
        <v>-13.7</v>
      </c>
      <c r="K372" s="175" t="inlineStr">
        <is>
          <t>2718 MININGLAMP-W</t>
        </is>
      </c>
    </row>
    <row r="373">
      <c r="A373" s="17" t="inlineStr">
        <is>
          <t>International Capital Management Limited</t>
        </is>
      </c>
      <c r="B373" s="167" t="n">
        <v>1</v>
      </c>
      <c r="C373" s="173" t="n">
        <v>100</v>
      </c>
      <c r="D373" s="174" t="n">
        <v>106.1</v>
      </c>
      <c r="E373" s="174" t="n">
        <v>57.2</v>
      </c>
      <c r="F373" s="174" t="n">
        <v>45.2</v>
      </c>
      <c r="G373" s="174" t="n">
        <v>77.90000000000001</v>
      </c>
      <c r="H373" s="174" t="n">
        <v>-23.8</v>
      </c>
      <c r="I373" s="174" t="n">
        <v>-29.5</v>
      </c>
      <c r="J373" s="174" t="n">
        <v>-13.7</v>
      </c>
      <c r="K373" s="175" t="inlineStr">
        <is>
          <t>2718 MININGLAMP-W</t>
        </is>
      </c>
    </row>
    <row r="374">
      <c r="A374" s="17" t="inlineStr">
        <is>
          <t>HK Yonglian Investment Development Co., Limited</t>
        </is>
      </c>
      <c r="B374" s="167" t="n">
        <v>1</v>
      </c>
      <c r="C374" s="173" t="n">
        <v>100</v>
      </c>
      <c r="D374" s="174" t="n">
        <v>103.8</v>
      </c>
      <c r="E374" s="174" t="n">
        <v>55.1</v>
      </c>
      <c r="F374" s="174" t="n">
        <v>30.3</v>
      </c>
      <c r="G374" s="174" t="n"/>
      <c r="H374" s="174" t="n">
        <v>-23.9</v>
      </c>
      <c r="I374" s="174" t="n">
        <v>-36.1</v>
      </c>
      <c r="J374" s="174" t="n"/>
      <c r="K374" s="175" t="inlineStr">
        <is>
          <t>9630 CFMEE</t>
        </is>
      </c>
    </row>
    <row r="375">
      <c r="A375" s="17" t="inlineStr">
        <is>
          <t>Hong Kong Xinyao Investment Limited</t>
        </is>
      </c>
      <c r="B375" s="167" t="n">
        <v>1</v>
      </c>
      <c r="C375" s="173" t="n">
        <v>100</v>
      </c>
      <c r="D375" s="174" t="n">
        <v>103.8</v>
      </c>
      <c r="E375" s="174" t="n">
        <v>55.1</v>
      </c>
      <c r="F375" s="174" t="n">
        <v>30.3</v>
      </c>
      <c r="G375" s="174" t="n"/>
      <c r="H375" s="174" t="n">
        <v>-23.9</v>
      </c>
      <c r="I375" s="174" t="n">
        <v>-36.1</v>
      </c>
      <c r="J375" s="174" t="n"/>
      <c r="K375" s="175" t="inlineStr">
        <is>
          <t>9630 CFMEE</t>
        </is>
      </c>
    </row>
    <row r="376">
      <c r="A376" s="17" t="inlineStr">
        <is>
          <t>Lion Global Investors Limited</t>
        </is>
      </c>
      <c r="B376" s="167" t="n">
        <v>1</v>
      </c>
      <c r="C376" s="173" t="n">
        <v>100</v>
      </c>
      <c r="D376" s="174" t="n">
        <v>103.8</v>
      </c>
      <c r="E376" s="174" t="n">
        <v>55.1</v>
      </c>
      <c r="F376" s="174" t="n">
        <v>30.3</v>
      </c>
      <c r="G376" s="174" t="n"/>
      <c r="H376" s="174" t="n">
        <v>-23.9</v>
      </c>
      <c r="I376" s="174" t="n">
        <v>-36.1</v>
      </c>
      <c r="J376" s="174" t="n"/>
      <c r="K376" s="175" t="inlineStr">
        <is>
          <t>9630 CFMEE</t>
        </is>
      </c>
    </row>
    <row r="377">
      <c r="A377" s="17" t="inlineStr">
        <is>
          <t>Monterey Park Finance Limited</t>
        </is>
      </c>
      <c r="B377" s="167" t="n">
        <v>1</v>
      </c>
      <c r="C377" s="173" t="n">
        <v>100</v>
      </c>
      <c r="D377" s="174" t="n">
        <v>103.8</v>
      </c>
      <c r="E377" s="174" t="n">
        <v>55.1</v>
      </c>
      <c r="F377" s="174" t="n">
        <v>30.3</v>
      </c>
      <c r="G377" s="174" t="n"/>
      <c r="H377" s="174" t="n">
        <v>-23.9</v>
      </c>
      <c r="I377" s="174" t="n">
        <v>-36.1</v>
      </c>
      <c r="J377" s="174" t="n"/>
      <c r="K377" s="175" t="inlineStr">
        <is>
          <t>9630 CFMEE</t>
        </is>
      </c>
    </row>
    <row r="378">
      <c r="A378" s="17" t="inlineStr">
        <is>
          <t>Nexchip Semiconductor Hong Kong Corporation Limited</t>
        </is>
      </c>
      <c r="B378" s="167" t="n">
        <v>1</v>
      </c>
      <c r="C378" s="173" t="n">
        <v>100</v>
      </c>
      <c r="D378" s="174" t="n">
        <v>103.8</v>
      </c>
      <c r="E378" s="174" t="n">
        <v>55.1</v>
      </c>
      <c r="F378" s="174" t="n">
        <v>30.3</v>
      </c>
      <c r="G378" s="174" t="n"/>
      <c r="H378" s="174" t="n">
        <v>-23.9</v>
      </c>
      <c r="I378" s="174" t="n">
        <v>-36.1</v>
      </c>
      <c r="J378" s="174" t="n"/>
      <c r="K378" s="175" t="inlineStr">
        <is>
          <t>9630 CFMEE</t>
        </is>
      </c>
    </row>
    <row r="379">
      <c r="A379" s="17" t="inlineStr">
        <is>
          <t>Loomis Sayles Trust Company, LLC</t>
        </is>
      </c>
      <c r="B379" s="167" t="n">
        <v>1</v>
      </c>
      <c r="C379" s="173" t="n">
        <v>100</v>
      </c>
      <c r="D379" s="174" t="n">
        <v>103.5</v>
      </c>
      <c r="E379" s="174" t="n">
        <v>29.1</v>
      </c>
      <c r="F379" s="174" t="n">
        <v>19.5</v>
      </c>
      <c r="G379" s="174" t="n"/>
      <c r="H379" s="174" t="n">
        <v>-36.6</v>
      </c>
      <c r="I379" s="174" t="n">
        <v>-41.3</v>
      </c>
      <c r="J379" s="174" t="n"/>
      <c r="K379" s="175" t="inlineStr">
        <is>
          <t>9637 ALEBUND-B</t>
        </is>
      </c>
    </row>
    <row r="380">
      <c r="A380" s="17" t="inlineStr">
        <is>
          <t>Perfect Ten Holding Limited</t>
        </is>
      </c>
      <c r="B380" s="167" t="n">
        <v>1</v>
      </c>
      <c r="C380" s="173" t="n">
        <v>100</v>
      </c>
      <c r="D380" s="174" t="n">
        <v>103.5</v>
      </c>
      <c r="E380" s="174" t="n">
        <v>29.1</v>
      </c>
      <c r="F380" s="174" t="n">
        <v>19.5</v>
      </c>
      <c r="G380" s="174" t="n"/>
      <c r="H380" s="174" t="n">
        <v>-36.6</v>
      </c>
      <c r="I380" s="174" t="n">
        <v>-41.3</v>
      </c>
      <c r="J380" s="174" t="n"/>
      <c r="K380" s="175" t="inlineStr">
        <is>
          <t>9637 ALEBUND-B</t>
        </is>
      </c>
    </row>
    <row r="381">
      <c r="A381" s="17" t="inlineStr">
        <is>
          <t>SymBiosis II, LLC</t>
        </is>
      </c>
      <c r="B381" s="167" t="n">
        <v>1</v>
      </c>
      <c r="C381" s="173" t="n">
        <v>100</v>
      </c>
      <c r="D381" s="174" t="n">
        <v>103.5</v>
      </c>
      <c r="E381" s="174" t="n">
        <v>29.1</v>
      </c>
      <c r="F381" s="174" t="n">
        <v>19.5</v>
      </c>
      <c r="G381" s="174" t="n"/>
      <c r="H381" s="174" t="n">
        <v>-36.6</v>
      </c>
      <c r="I381" s="174" t="n">
        <v>-41.3</v>
      </c>
      <c r="J381" s="174" t="n"/>
      <c r="K381" s="175" t="inlineStr">
        <is>
          <t>9637 ALEBUND-B</t>
        </is>
      </c>
    </row>
    <row r="382">
      <c r="A382" s="17" t="inlineStr">
        <is>
          <t>AXA Investment Managers UK Limited</t>
        </is>
      </c>
      <c r="B382" s="167" t="n">
        <v>1</v>
      </c>
      <c r="C382" s="173" t="n">
        <v>100</v>
      </c>
      <c r="D382" s="174" t="n">
        <v>103.4</v>
      </c>
      <c r="E382" s="174" t="n">
        <v>73.7</v>
      </c>
      <c r="F382" s="174" t="n">
        <v>64.40000000000001</v>
      </c>
      <c r="G382" s="174" t="n">
        <v>-14.7</v>
      </c>
      <c r="H382" s="174" t="n">
        <v>-14.6</v>
      </c>
      <c r="I382" s="174" t="n">
        <v>-19.2</v>
      </c>
      <c r="J382" s="174" t="n">
        <v>-58.1</v>
      </c>
      <c r="K382" s="175" t="inlineStr">
        <is>
          <t>6656 SIGENERGY</t>
        </is>
      </c>
    </row>
    <row r="383">
      <c r="A383" s="17" t="inlineStr">
        <is>
          <t>Lazurite Hime L.P</t>
        </is>
      </c>
      <c r="B383" s="167" t="n">
        <v>1</v>
      </c>
      <c r="C383" s="173" t="n">
        <v>100</v>
      </c>
      <c r="D383" s="174" t="n">
        <v>103.4</v>
      </c>
      <c r="E383" s="174" t="n">
        <v>73.7</v>
      </c>
      <c r="F383" s="174" t="n">
        <v>64.40000000000001</v>
      </c>
      <c r="G383" s="174" t="n">
        <v>-14.7</v>
      </c>
      <c r="H383" s="174" t="n">
        <v>-14.6</v>
      </c>
      <c r="I383" s="174" t="n">
        <v>-19.2</v>
      </c>
      <c r="J383" s="174" t="n">
        <v>-58.1</v>
      </c>
      <c r="K383" s="175" t="inlineStr">
        <is>
          <t>6656 SIGENERGY</t>
        </is>
      </c>
    </row>
    <row r="384">
      <c r="A384" s="17" t="inlineStr">
        <is>
          <t>Scene Cloud Global Limited</t>
        </is>
      </c>
      <c r="B384" s="167" t="n">
        <v>1</v>
      </c>
      <c r="C384" s="173" t="n">
        <v>100</v>
      </c>
      <c r="D384" s="174" t="n">
        <v>103.4</v>
      </c>
      <c r="E384" s="174" t="n">
        <v>73.7</v>
      </c>
      <c r="F384" s="174" t="n">
        <v>64.40000000000001</v>
      </c>
      <c r="G384" s="174" t="n">
        <v>-14.7</v>
      </c>
      <c r="H384" s="174" t="n">
        <v>-14.6</v>
      </c>
      <c r="I384" s="174" t="n">
        <v>-19.2</v>
      </c>
      <c r="J384" s="174" t="n">
        <v>-58.1</v>
      </c>
      <c r="K384" s="175" t="inlineStr">
        <is>
          <t>6656 SIGENERGY</t>
        </is>
      </c>
    </row>
    <row r="385">
      <c r="A385" s="17" t="inlineStr">
        <is>
          <t>Shanghai Lujiazui (Group) Co., Ltd</t>
        </is>
      </c>
      <c r="B385" s="167" t="n">
        <v>1</v>
      </c>
      <c r="C385" s="173" t="n">
        <v>100</v>
      </c>
      <c r="D385" s="174" t="n">
        <v>103.4</v>
      </c>
      <c r="E385" s="174" t="n">
        <v>73.7</v>
      </c>
      <c r="F385" s="174" t="n">
        <v>64.40000000000001</v>
      </c>
      <c r="G385" s="174" t="n">
        <v>-14.7</v>
      </c>
      <c r="H385" s="174" t="n">
        <v>-14.6</v>
      </c>
      <c r="I385" s="174" t="n">
        <v>-19.2</v>
      </c>
      <c r="J385" s="174" t="n">
        <v>-58.1</v>
      </c>
      <c r="K385" s="175" t="inlineStr">
        <is>
          <t>6656 SIGENERGY</t>
        </is>
      </c>
    </row>
    <row r="386">
      <c r="A386" s="17" t="inlineStr">
        <is>
          <t>Tropical Terrain Limited</t>
        </is>
      </c>
      <c r="B386" s="167" t="n">
        <v>1</v>
      </c>
      <c r="C386" s="173" t="n">
        <v>100</v>
      </c>
      <c r="D386" s="174" t="n">
        <v>103.4</v>
      </c>
      <c r="E386" s="174" t="n">
        <v>73.7</v>
      </c>
      <c r="F386" s="174" t="n">
        <v>64.40000000000001</v>
      </c>
      <c r="G386" s="174" t="n">
        <v>-14.7</v>
      </c>
      <c r="H386" s="174" t="n">
        <v>-14.6</v>
      </c>
      <c r="I386" s="174" t="n">
        <v>-19.2</v>
      </c>
      <c r="J386" s="174" t="n">
        <v>-58.1</v>
      </c>
      <c r="K386" s="175" t="inlineStr">
        <is>
          <t>6656 SIGENERGY</t>
        </is>
      </c>
    </row>
    <row r="387">
      <c r="A387" s="17" t="inlineStr">
        <is>
          <t>Everest Medicines Limited</t>
        </is>
      </c>
      <c r="B387" s="167" t="n">
        <v>1</v>
      </c>
      <c r="C387" s="173" t="n">
        <v>100</v>
      </c>
      <c r="D387" s="174" t="n">
        <v>102.8</v>
      </c>
      <c r="E387" s="174" t="n">
        <v>97.59999999999999</v>
      </c>
      <c r="F387" s="174" t="n">
        <v>86.8</v>
      </c>
      <c r="G387" s="174" t="n"/>
      <c r="H387" s="174" t="n">
        <v>-2.5</v>
      </c>
      <c r="I387" s="174" t="n">
        <v>-7.9</v>
      </c>
      <c r="J387" s="174" t="n"/>
      <c r="K387" s="175" t="inlineStr">
        <is>
          <t>2335 MICOT PHARMA-B</t>
        </is>
      </c>
    </row>
    <row r="388">
      <c r="A388" s="17" t="inlineStr">
        <is>
          <t>Qiyuan High-tech Innovation Investment (Hong Kong) Limited</t>
        </is>
      </c>
      <c r="B388" s="167" t="n">
        <v>1</v>
      </c>
      <c r="C388" s="173" t="n">
        <v>100</v>
      </c>
      <c r="D388" s="174" t="n">
        <v>102.8</v>
      </c>
      <c r="E388" s="174" t="n">
        <v>97.59999999999999</v>
      </c>
      <c r="F388" s="174" t="n">
        <v>86.8</v>
      </c>
      <c r="G388" s="174" t="n"/>
      <c r="H388" s="174" t="n">
        <v>-2.5</v>
      </c>
      <c r="I388" s="174" t="n">
        <v>-7.9</v>
      </c>
      <c r="J388" s="174" t="n"/>
      <c r="K388" s="175" t="inlineStr">
        <is>
          <t>2335 MICOT PHARMA-B</t>
        </is>
      </c>
    </row>
    <row r="389">
      <c r="A389" s="17" t="inlineStr">
        <is>
          <t>Summit Capital Limited</t>
        </is>
      </c>
      <c r="B389" s="167" t="n">
        <v>1</v>
      </c>
      <c r="C389" s="173" t="n">
        <v>100</v>
      </c>
      <c r="D389" s="174" t="n">
        <v>102.8</v>
      </c>
      <c r="E389" s="174" t="n">
        <v>97.59999999999999</v>
      </c>
      <c r="F389" s="174" t="n">
        <v>86.8</v>
      </c>
      <c r="G389" s="174" t="n"/>
      <c r="H389" s="174" t="n">
        <v>-2.5</v>
      </c>
      <c r="I389" s="174" t="n">
        <v>-7.9</v>
      </c>
      <c r="J389" s="174" t="n"/>
      <c r="K389" s="175" t="inlineStr">
        <is>
          <t>2335 MICOT PHARMA-B</t>
        </is>
      </c>
    </row>
    <row r="390">
      <c r="A390" s="17" t="inlineStr">
        <is>
          <t>Mr. Yang</t>
        </is>
      </c>
      <c r="B390" s="167" t="n">
        <v>1</v>
      </c>
      <c r="C390" s="173" t="n">
        <v>100</v>
      </c>
      <c r="D390" s="174" t="n">
        <v>102.3</v>
      </c>
      <c r="E390" s="174" t="n">
        <v>124.5</v>
      </c>
      <c r="F390" s="174" t="n">
        <v>112.2</v>
      </c>
      <c r="G390" s="174" t="n">
        <v>100.8</v>
      </c>
      <c r="H390" s="174" t="n">
        <v>11</v>
      </c>
      <c r="I390" s="174" t="n">
        <v>4.9</v>
      </c>
      <c r="J390" s="174" t="n">
        <v>-0.7</v>
      </c>
      <c r="K390" s="175" t="inlineStr">
        <is>
          <t>2720 RIDGE OUTDOOR</t>
        </is>
      </c>
    </row>
    <row r="391">
      <c r="A391" s="17" t="inlineStr">
        <is>
          <t>GreatCast</t>
        </is>
      </c>
      <c r="B391" s="167" t="n">
        <v>1</v>
      </c>
      <c r="C391" s="173" t="n">
        <v>100</v>
      </c>
      <c r="D391" s="174" t="n">
        <v>102.3</v>
      </c>
      <c r="E391" s="174" t="n">
        <v>124.5</v>
      </c>
      <c r="F391" s="174" t="n">
        <v>112.2</v>
      </c>
      <c r="G391" s="174" t="n">
        <v>100.8</v>
      </c>
      <c r="H391" s="174" t="n">
        <v>11</v>
      </c>
      <c r="I391" s="174" t="n">
        <v>4.9</v>
      </c>
      <c r="J391" s="174" t="n">
        <v>-0.7</v>
      </c>
      <c r="K391" s="175" t="inlineStr">
        <is>
          <t>2720 RIDGE OUTDOOR</t>
        </is>
      </c>
    </row>
    <row r="392">
      <c r="A392" s="17" t="inlineStr">
        <is>
          <t>Taihong</t>
        </is>
      </c>
      <c r="B392" s="167" t="n">
        <v>1</v>
      </c>
      <c r="C392" s="173" t="n">
        <v>100</v>
      </c>
      <c r="D392" s="174" t="n">
        <v>102.3</v>
      </c>
      <c r="E392" s="174" t="n">
        <v>124.5</v>
      </c>
      <c r="F392" s="174" t="n">
        <v>112.2</v>
      </c>
      <c r="G392" s="174" t="n">
        <v>100.8</v>
      </c>
      <c r="H392" s="174" t="n">
        <v>11</v>
      </c>
      <c r="I392" s="174" t="n">
        <v>4.9</v>
      </c>
      <c r="J392" s="174" t="n">
        <v>-0.7</v>
      </c>
      <c r="K392" s="175" t="inlineStr">
        <is>
          <t>2720 RIDGE OUTDOOR</t>
        </is>
      </c>
    </row>
    <row r="393">
      <c r="A393" s="17" t="inlineStr">
        <is>
          <t>Outrider Partnership</t>
        </is>
      </c>
      <c r="B393" s="167" t="n">
        <v>1</v>
      </c>
      <c r="C393" s="173" t="n">
        <v>100</v>
      </c>
      <c r="D393" s="174" t="n">
        <v>102.3</v>
      </c>
      <c r="E393" s="174" t="n">
        <v>124.5</v>
      </c>
      <c r="F393" s="174" t="n">
        <v>112.2</v>
      </c>
      <c r="G393" s="174" t="n">
        <v>100.8</v>
      </c>
      <c r="H393" s="174" t="n">
        <v>11</v>
      </c>
      <c r="I393" s="174" t="n">
        <v>4.9</v>
      </c>
      <c r="J393" s="174" t="n">
        <v>-0.7</v>
      </c>
      <c r="K393" s="175" t="inlineStr">
        <is>
          <t>2720 RIDGE OUTDOOR</t>
        </is>
      </c>
    </row>
    <row r="394">
      <c r="A394" s="17" t="inlineStr">
        <is>
          <t>Orbit VC</t>
        </is>
      </c>
      <c r="B394" s="167" t="n">
        <v>1</v>
      </c>
      <c r="C394" s="173" t="n">
        <v>100</v>
      </c>
      <c r="D394" s="174" t="n">
        <v>102.3</v>
      </c>
      <c r="E394" s="174" t="n">
        <v>124.5</v>
      </c>
      <c r="F394" s="174" t="n">
        <v>112.2</v>
      </c>
      <c r="G394" s="174" t="n">
        <v>100.8</v>
      </c>
      <c r="H394" s="174" t="n">
        <v>11</v>
      </c>
      <c r="I394" s="174" t="n">
        <v>4.9</v>
      </c>
      <c r="J394" s="174" t="n">
        <v>-0.7</v>
      </c>
      <c r="K394" s="175" t="inlineStr">
        <is>
          <t>2720 RIDGE OUTDOOR</t>
        </is>
      </c>
    </row>
    <row r="395">
      <c r="A395" s="17" t="inlineStr">
        <is>
          <t>Vision Fund</t>
        </is>
      </c>
      <c r="B395" s="167" t="n">
        <v>1</v>
      </c>
      <c r="C395" s="173" t="n">
        <v>100</v>
      </c>
      <c r="D395" s="174" t="n">
        <v>91.7</v>
      </c>
      <c r="E395" s="174" t="n">
        <v>100</v>
      </c>
      <c r="F395" s="174" t="n">
        <v>94.3</v>
      </c>
      <c r="G395" s="174" t="n">
        <v>69.09999999999999</v>
      </c>
      <c r="H395" s="174" t="n">
        <v>4.3</v>
      </c>
      <c r="I395" s="174" t="n">
        <v>1.4</v>
      </c>
      <c r="J395" s="174" t="n">
        <v>-11.8</v>
      </c>
      <c r="K395" s="175" t="inlineStr">
        <is>
          <t>9887 LEADS BIOLABS-B</t>
        </is>
      </c>
    </row>
    <row r="396">
      <c r="A396" s="17" t="inlineStr">
        <is>
          <t>Digital Vista GD Investment LP</t>
        </is>
      </c>
      <c r="B396" s="167" t="n">
        <v>1</v>
      </c>
      <c r="C396" s="173" t="n">
        <v>100</v>
      </c>
      <c r="D396" s="174" t="n">
        <v>91.7</v>
      </c>
      <c r="E396" s="174" t="n">
        <v>66.90000000000001</v>
      </c>
      <c r="F396" s="174" t="n">
        <v>61</v>
      </c>
      <c r="G396" s="174" t="n">
        <v>34.5</v>
      </c>
      <c r="H396" s="174" t="n">
        <v>-12.9</v>
      </c>
      <c r="I396" s="174" t="n">
        <v>-16</v>
      </c>
      <c r="J396" s="174" t="n">
        <v>-29.9</v>
      </c>
      <c r="K396" s="175" t="inlineStr">
        <is>
          <t>3310 VIEWTRIX TECH</t>
        </is>
      </c>
    </row>
    <row r="397">
      <c r="A397" s="17" t="inlineStr">
        <is>
          <t>SpreadCom Limited</t>
        </is>
      </c>
      <c r="B397" s="167" t="n">
        <v>1</v>
      </c>
      <c r="C397" s="173" t="n">
        <v>100</v>
      </c>
      <c r="D397" s="174" t="n">
        <v>91.7</v>
      </c>
      <c r="E397" s="174" t="n">
        <v>66.90000000000001</v>
      </c>
      <c r="F397" s="174" t="n">
        <v>61</v>
      </c>
      <c r="G397" s="174" t="n">
        <v>34.5</v>
      </c>
      <c r="H397" s="174" t="n">
        <v>-12.9</v>
      </c>
      <c r="I397" s="174" t="n">
        <v>-16</v>
      </c>
      <c r="J397" s="174" t="n">
        <v>-29.9</v>
      </c>
      <c r="K397" s="175" t="inlineStr">
        <is>
          <t>3310 VIEWTRIX TECH</t>
        </is>
      </c>
    </row>
    <row r="398">
      <c r="A398" s="17" t="inlineStr">
        <is>
          <t>GIGA Industries Limited</t>
        </is>
      </c>
      <c r="B398" s="167" t="n">
        <v>1</v>
      </c>
      <c r="C398" s="173" t="n">
        <v>100</v>
      </c>
      <c r="D398" s="174" t="n">
        <v>90.7</v>
      </c>
      <c r="E398" s="174" t="n">
        <v>109.3</v>
      </c>
      <c r="F398" s="174" t="n">
        <v>186</v>
      </c>
      <c r="G398" s="174" t="n">
        <v>212.6</v>
      </c>
      <c r="H398" s="174" t="n">
        <v>9.800000000000001</v>
      </c>
      <c r="I398" s="174" t="n">
        <v>50</v>
      </c>
      <c r="J398" s="174" t="n">
        <v>64</v>
      </c>
      <c r="K398" s="175" t="inlineStr">
        <is>
          <t>2546 ZHIHUI MINING</t>
        </is>
      </c>
    </row>
    <row r="399">
      <c r="A399" s="17" t="inlineStr">
        <is>
          <t>Enterprises Limited</t>
        </is>
      </c>
      <c r="B399" s="167" t="n">
        <v>1</v>
      </c>
      <c r="C399" s="173" t="n">
        <v>100</v>
      </c>
      <c r="D399" s="174" t="n">
        <v>90.7</v>
      </c>
      <c r="E399" s="174" t="n">
        <v>109.3</v>
      </c>
      <c r="F399" s="174" t="n">
        <v>186</v>
      </c>
      <c r="G399" s="174" t="n">
        <v>212.6</v>
      </c>
      <c r="H399" s="174" t="n">
        <v>9.800000000000001</v>
      </c>
      <c r="I399" s="174" t="n">
        <v>50</v>
      </c>
      <c r="J399" s="174" t="n">
        <v>64</v>
      </c>
      <c r="K399" s="175" t="inlineStr">
        <is>
          <t>2546 ZHIHUI MINING</t>
        </is>
      </c>
    </row>
    <row r="400">
      <c r="A400" s="17" t="inlineStr">
        <is>
          <t>Origin Flair Limited</t>
        </is>
      </c>
      <c r="B400" s="167" t="n">
        <v>1</v>
      </c>
      <c r="C400" s="173" t="n">
        <v>100</v>
      </c>
      <c r="D400" s="174" t="n">
        <v>83.7</v>
      </c>
      <c r="E400" s="174" t="n">
        <v>25.9</v>
      </c>
      <c r="F400" s="174" t="n">
        <v>32.3</v>
      </c>
      <c r="G400" s="174" t="n">
        <v>130.9</v>
      </c>
      <c r="H400" s="174" t="n">
        <v>-31.5</v>
      </c>
      <c r="I400" s="174" t="n">
        <v>-28</v>
      </c>
      <c r="J400" s="174" t="n">
        <v>25.7</v>
      </c>
      <c r="K400" s="175" t="inlineStr">
        <is>
          <t>2125 STRAWBEAR ENT</t>
        </is>
      </c>
    </row>
    <row r="401">
      <c r="A401" s="17" t="inlineStr">
        <is>
          <t>Vipshop International Holdings Limited</t>
        </is>
      </c>
      <c r="B401" s="167" t="n">
        <v>1</v>
      </c>
      <c r="C401" s="173" t="n">
        <v>100</v>
      </c>
      <c r="D401" s="174" t="n">
        <v>83.7</v>
      </c>
      <c r="E401" s="174" t="n">
        <v>25.9</v>
      </c>
      <c r="F401" s="174" t="n">
        <v>32.3</v>
      </c>
      <c r="G401" s="174" t="n">
        <v>130.9</v>
      </c>
      <c r="H401" s="174" t="n">
        <v>-31.5</v>
      </c>
      <c r="I401" s="174" t="n">
        <v>-28</v>
      </c>
      <c r="J401" s="174" t="n">
        <v>25.7</v>
      </c>
      <c r="K401" s="175" t="inlineStr">
        <is>
          <t>2125 STRAWBEAR ENT</t>
        </is>
      </c>
    </row>
    <row r="402">
      <c r="A402" s="17" t="inlineStr">
        <is>
          <t>Shanghai Minhang Financial Investment Development Co., Ltd</t>
        </is>
      </c>
      <c r="B402" s="167" t="n">
        <v>1</v>
      </c>
      <c r="C402" s="173" t="n">
        <v>100</v>
      </c>
      <c r="D402" s="174" t="n">
        <v>80</v>
      </c>
      <c r="E402" s="174" t="n">
        <v>35.7</v>
      </c>
      <c r="F402" s="174" t="n">
        <v>11.2</v>
      </c>
      <c r="G402" s="174" t="n">
        <v>-38.8</v>
      </c>
      <c r="H402" s="174" t="n">
        <v>-24.6</v>
      </c>
      <c r="I402" s="174" t="n">
        <v>-38.2</v>
      </c>
      <c r="J402" s="174" t="n">
        <v>-66</v>
      </c>
      <c r="K402" s="175" t="inlineStr">
        <is>
          <t>7688 TOPNC</t>
        </is>
      </c>
    </row>
    <row r="403">
      <c r="A403" s="17" t="inlineStr">
        <is>
          <t>Akeso, Inc</t>
        </is>
      </c>
      <c r="B403" s="167" t="n">
        <v>1</v>
      </c>
      <c r="C403" s="173" t="n">
        <v>100</v>
      </c>
      <c r="D403" s="174" t="n">
        <v>78.7</v>
      </c>
      <c r="E403" s="174" t="n">
        <v>129.3</v>
      </c>
      <c r="F403" s="174" t="n">
        <v>138.8</v>
      </c>
      <c r="G403" s="174" t="n">
        <v>1039.9</v>
      </c>
      <c r="H403" s="174" t="n">
        <v>28.3</v>
      </c>
      <c r="I403" s="174" t="n">
        <v>33.6</v>
      </c>
      <c r="J403" s="174" t="n">
        <v>537.9</v>
      </c>
      <c r="K403" s="175" t="inlineStr">
        <is>
          <t>2617 TRANSTHERA-B</t>
        </is>
      </c>
    </row>
    <row r="404">
      <c r="A404" s="17" t="inlineStr">
        <is>
          <t>BOCOM International Securities Limited</t>
        </is>
      </c>
      <c r="B404" s="167" t="n">
        <v>1</v>
      </c>
      <c r="C404" s="173" t="n">
        <v>100</v>
      </c>
      <c r="D404" s="174" t="n">
        <v>78.7</v>
      </c>
      <c r="E404" s="174" t="n">
        <v>129.3</v>
      </c>
      <c r="F404" s="174" t="n">
        <v>138.8</v>
      </c>
      <c r="G404" s="174" t="n">
        <v>1039.9</v>
      </c>
      <c r="H404" s="174" t="n">
        <v>28.3</v>
      </c>
      <c r="I404" s="174" t="n">
        <v>33.6</v>
      </c>
      <c r="J404" s="174" t="n">
        <v>537.9</v>
      </c>
      <c r="K404" s="175" t="inlineStr">
        <is>
          <t>2617 TRANSTHERA-B</t>
        </is>
      </c>
    </row>
    <row r="405">
      <c r="A405" s="17" t="inlineStr">
        <is>
          <t>Fund LP and China Core Fund</t>
        </is>
      </c>
      <c r="B405" s="167" t="n">
        <v>1</v>
      </c>
      <c r="C405" s="173" t="n">
        <v>100</v>
      </c>
      <c r="D405" s="174" t="n">
        <v>76.5</v>
      </c>
      <c r="E405" s="174" t="n">
        <v>96.3</v>
      </c>
      <c r="F405" s="174" t="n">
        <v>98</v>
      </c>
      <c r="G405" s="174" t="n">
        <v>270.5</v>
      </c>
      <c r="H405" s="174" t="n">
        <v>11.2</v>
      </c>
      <c r="I405" s="174" t="n">
        <v>12.2</v>
      </c>
      <c r="J405" s="174" t="n">
        <v>109.9</v>
      </c>
      <c r="K405" s="175" t="inlineStr">
        <is>
          <t>1318 MAO GEPING</t>
        </is>
      </c>
    </row>
    <row r="406">
      <c r="A406" s="17" t="inlineStr">
        <is>
          <t>Qiming Venture Partners</t>
        </is>
      </c>
      <c r="B406" s="167" t="n">
        <v>1</v>
      </c>
      <c r="C406" s="173" t="n">
        <v>100</v>
      </c>
      <c r="D406" s="174" t="n">
        <v>75.8</v>
      </c>
      <c r="E406" s="174" t="n">
        <v>73.8</v>
      </c>
      <c r="F406" s="174" t="n">
        <v>67.3</v>
      </c>
      <c r="G406" s="174" t="n">
        <v>75.3</v>
      </c>
      <c r="H406" s="174" t="n">
        <v>-1.2</v>
      </c>
      <c r="I406" s="174" t="n">
        <v>-4.8</v>
      </c>
      <c r="J406" s="174" t="n">
        <v>-0.3</v>
      </c>
      <c r="K406" s="175" t="inlineStr">
        <is>
          <t>6082 BIREN TECH</t>
        </is>
      </c>
    </row>
    <row r="407">
      <c r="A407" s="17" t="inlineStr">
        <is>
          <t>Master Fund, L.P</t>
        </is>
      </c>
      <c r="B407" s="167" t="n">
        <v>1</v>
      </c>
      <c r="C407" s="173" t="n">
        <v>100</v>
      </c>
      <c r="D407" s="174" t="n">
        <v>75.8</v>
      </c>
      <c r="E407" s="174" t="n">
        <v>73.8</v>
      </c>
      <c r="F407" s="174" t="n">
        <v>67.3</v>
      </c>
      <c r="G407" s="174" t="n">
        <v>75.3</v>
      </c>
      <c r="H407" s="174" t="n">
        <v>-1.2</v>
      </c>
      <c r="I407" s="174" t="n">
        <v>-4.8</v>
      </c>
      <c r="J407" s="174" t="n">
        <v>-0.3</v>
      </c>
      <c r="K407" s="175" t="inlineStr">
        <is>
          <t>6082 BIREN TECH</t>
        </is>
      </c>
    </row>
    <row r="408">
      <c r="A408" s="17" t="inlineStr">
        <is>
          <t>有限公司)</t>
        </is>
      </c>
      <c r="B408" s="167" t="n">
        <v>1</v>
      </c>
      <c r="C408" s="173" t="n">
        <v>100</v>
      </c>
      <c r="D408" s="174" t="n">
        <v>75.8</v>
      </c>
      <c r="E408" s="174" t="n">
        <v>73.8</v>
      </c>
      <c r="F408" s="174" t="n">
        <v>67.3</v>
      </c>
      <c r="G408" s="174" t="n">
        <v>75.3</v>
      </c>
      <c r="H408" s="174" t="n">
        <v>-1.2</v>
      </c>
      <c r="I408" s="174" t="n">
        <v>-4.8</v>
      </c>
      <c r="J408" s="174" t="n">
        <v>-0.3</v>
      </c>
      <c r="K408" s="175" t="inlineStr">
        <is>
          <t>6082 BIREN TECH</t>
        </is>
      </c>
    </row>
    <row r="409">
      <c r="A409" s="17" t="inlineStr">
        <is>
          <t>Eastern Bell Capital VIII Investment Limited</t>
        </is>
      </c>
      <c r="B409" s="167" t="n">
        <v>1</v>
      </c>
      <c r="C409" s="173" t="n">
        <v>100</v>
      </c>
      <c r="D409" s="174" t="n">
        <v>75.5</v>
      </c>
      <c r="E409" s="174" t="n">
        <v>112.4</v>
      </c>
      <c r="F409" s="174" t="n">
        <v>107.6</v>
      </c>
      <c r="G409" s="174" t="n">
        <v>81.40000000000001</v>
      </c>
      <c r="H409" s="174" t="n">
        <v>21</v>
      </c>
      <c r="I409" s="174" t="n">
        <v>18.3</v>
      </c>
      <c r="J409" s="174" t="n">
        <v>3.4</v>
      </c>
      <c r="K409" s="175" t="inlineStr">
        <is>
          <t>3277 GPIXEL</t>
        </is>
      </c>
    </row>
    <row r="410">
      <c r="A410" s="17" t="inlineStr">
        <is>
          <t>Protium Capital Limited</t>
        </is>
      </c>
      <c r="B410" s="167" t="n">
        <v>1</v>
      </c>
      <c r="C410" s="173" t="n">
        <v>100</v>
      </c>
      <c r="D410" s="174" t="n">
        <v>75.5</v>
      </c>
      <c r="E410" s="174" t="n">
        <v>112.4</v>
      </c>
      <c r="F410" s="174" t="n">
        <v>107.6</v>
      </c>
      <c r="G410" s="174" t="n">
        <v>81.40000000000001</v>
      </c>
      <c r="H410" s="174" t="n">
        <v>21</v>
      </c>
      <c r="I410" s="174" t="n">
        <v>18.3</v>
      </c>
      <c r="J410" s="174" t="n">
        <v>3.4</v>
      </c>
      <c r="K410" s="175" t="inlineStr">
        <is>
          <t>3277 GPIXEL</t>
        </is>
      </c>
    </row>
    <row r="411">
      <c r="A411" s="17" t="inlineStr">
        <is>
          <t>Source Code Super Holdings Co</t>
        </is>
      </c>
      <c r="B411" s="167" t="n">
        <v>1</v>
      </c>
      <c r="C411" s="173" t="n">
        <v>100</v>
      </c>
      <c r="D411" s="174" t="n">
        <v>75.5</v>
      </c>
      <c r="E411" s="174" t="n">
        <v>112.4</v>
      </c>
      <c r="F411" s="174" t="n">
        <v>107.6</v>
      </c>
      <c r="G411" s="174" t="n">
        <v>81.40000000000001</v>
      </c>
      <c r="H411" s="174" t="n">
        <v>21</v>
      </c>
      <c r="I411" s="174" t="n">
        <v>18.3</v>
      </c>
      <c r="J411" s="174" t="n">
        <v>3.4</v>
      </c>
      <c r="K411" s="175" t="inlineStr">
        <is>
          <t>3277 GPIXEL</t>
        </is>
      </c>
    </row>
    <row r="412">
      <c r="A412" s="17" t="inlineStr">
        <is>
          <t>Voyage42 Master Fund</t>
        </is>
      </c>
      <c r="B412" s="167" t="n">
        <v>1</v>
      </c>
      <c r="C412" s="173" t="n">
        <v>100</v>
      </c>
      <c r="D412" s="174" t="n">
        <v>75.5</v>
      </c>
      <c r="E412" s="174" t="n">
        <v>112.4</v>
      </c>
      <c r="F412" s="174" t="n">
        <v>107.6</v>
      </c>
      <c r="G412" s="174" t="n">
        <v>81.40000000000001</v>
      </c>
      <c r="H412" s="174" t="n">
        <v>21</v>
      </c>
      <c r="I412" s="174" t="n">
        <v>18.3</v>
      </c>
      <c r="J412" s="174" t="n">
        <v>3.4</v>
      </c>
      <c r="K412" s="175" t="inlineStr">
        <is>
          <t>3277 GPIXEL</t>
        </is>
      </c>
    </row>
    <row r="413">
      <c r="A413" s="17" t="inlineStr">
        <is>
          <t>Mr. Zhao</t>
        </is>
      </c>
      <c r="B413" s="167" t="n">
        <v>1</v>
      </c>
      <c r="C413" s="173" t="n">
        <v>100</v>
      </c>
      <c r="D413" s="174" t="n">
        <v>69.09999999999999</v>
      </c>
      <c r="E413" s="174" t="n">
        <v>68.8</v>
      </c>
      <c r="F413" s="174" t="n">
        <v>65.2</v>
      </c>
      <c r="G413" s="174" t="n">
        <v>84.09999999999999</v>
      </c>
      <c r="H413" s="174" t="n">
        <v>-0.1</v>
      </c>
      <c r="I413" s="174" t="n">
        <v>-2.3</v>
      </c>
      <c r="J413" s="174" t="n">
        <v>8.9</v>
      </c>
      <c r="K413" s="175" t="inlineStr">
        <is>
          <t>1768 BUSYMING</t>
        </is>
      </c>
    </row>
    <row r="414">
      <c r="A414" s="17" t="inlineStr">
        <is>
          <t>Shanghai Bird Nest</t>
        </is>
      </c>
      <c r="B414" s="167" t="n">
        <v>1</v>
      </c>
      <c r="C414" s="173" t="n">
        <v>100</v>
      </c>
      <c r="D414" s="174" t="n">
        <v>69.09999999999999</v>
      </c>
      <c r="E414" s="174" t="n">
        <v>68.8</v>
      </c>
      <c r="F414" s="174" t="n">
        <v>65.2</v>
      </c>
      <c r="G414" s="174" t="n">
        <v>84.09999999999999</v>
      </c>
      <c r="H414" s="174" t="n">
        <v>-0.1</v>
      </c>
      <c r="I414" s="174" t="n">
        <v>-2.3</v>
      </c>
      <c r="J414" s="174" t="n">
        <v>8.9</v>
      </c>
      <c r="K414" s="175" t="inlineStr">
        <is>
          <t>1768 BUSYMING</t>
        </is>
      </c>
    </row>
    <row r="415">
      <c r="A415" s="17" t="inlineStr">
        <is>
          <t>Yichun Yikouniao</t>
        </is>
      </c>
      <c r="B415" s="167" t="n">
        <v>1</v>
      </c>
      <c r="C415" s="173" t="n">
        <v>100</v>
      </c>
      <c r="D415" s="174" t="n">
        <v>69.09999999999999</v>
      </c>
      <c r="E415" s="174" t="n">
        <v>68.8</v>
      </c>
      <c r="F415" s="174" t="n">
        <v>65.2</v>
      </c>
      <c r="G415" s="174" t="n">
        <v>84.09999999999999</v>
      </c>
      <c r="H415" s="174" t="n">
        <v>-0.1</v>
      </c>
      <c r="I415" s="174" t="n">
        <v>-2.3</v>
      </c>
      <c r="J415" s="174" t="n">
        <v>8.9</v>
      </c>
      <c r="K415" s="175" t="inlineStr">
        <is>
          <t>1768 BUSYMING</t>
        </is>
      </c>
    </row>
    <row r="416">
      <c r="A416" s="17" t="inlineStr">
        <is>
          <t>Gaorong LKZN</t>
        </is>
      </c>
      <c r="B416" s="167" t="n">
        <v>1</v>
      </c>
      <c r="C416" s="173" t="n">
        <v>100</v>
      </c>
      <c r="D416" s="174" t="n">
        <v>69.09999999999999</v>
      </c>
      <c r="E416" s="174" t="n">
        <v>68.8</v>
      </c>
      <c r="F416" s="174" t="n">
        <v>65.2</v>
      </c>
      <c r="G416" s="174" t="n">
        <v>84.09999999999999</v>
      </c>
      <c r="H416" s="174" t="n">
        <v>-0.1</v>
      </c>
      <c r="I416" s="174" t="n">
        <v>-2.3</v>
      </c>
      <c r="J416" s="174" t="n">
        <v>8.9</v>
      </c>
      <c r="K416" s="175" t="inlineStr">
        <is>
          <t>1768 BUSYMING</t>
        </is>
      </c>
    </row>
    <row r="417">
      <c r="A417" s="17" t="inlineStr">
        <is>
          <t>Discounter Seed</t>
        </is>
      </c>
      <c r="B417" s="167" t="n">
        <v>1</v>
      </c>
      <c r="C417" s="173" t="n">
        <v>100</v>
      </c>
      <c r="D417" s="174" t="n">
        <v>69.09999999999999</v>
      </c>
      <c r="E417" s="174" t="n">
        <v>68.8</v>
      </c>
      <c r="F417" s="174" t="n">
        <v>65.2</v>
      </c>
      <c r="G417" s="174" t="n">
        <v>84.09999999999999</v>
      </c>
      <c r="H417" s="174" t="n">
        <v>-0.1</v>
      </c>
      <c r="I417" s="174" t="n">
        <v>-2.3</v>
      </c>
      <c r="J417" s="174" t="n">
        <v>8.9</v>
      </c>
      <c r="K417" s="175" t="inlineStr">
        <is>
          <t>1768 BUSYMING</t>
        </is>
      </c>
    </row>
    <row r="418">
      <c r="A418" s="17" t="inlineStr">
        <is>
          <t>Shanghai Yihai</t>
        </is>
      </c>
      <c r="B418" s="167" t="n">
        <v>1</v>
      </c>
      <c r="C418" s="173" t="n">
        <v>100</v>
      </c>
      <c r="D418" s="174" t="n">
        <v>69.09999999999999</v>
      </c>
      <c r="E418" s="174" t="n">
        <v>68.8</v>
      </c>
      <c r="F418" s="174" t="n">
        <v>65.2</v>
      </c>
      <c r="G418" s="174" t="n">
        <v>84.09999999999999</v>
      </c>
      <c r="H418" s="174" t="n">
        <v>-0.1</v>
      </c>
      <c r="I418" s="174" t="n">
        <v>-2.3</v>
      </c>
      <c r="J418" s="174" t="n">
        <v>8.9</v>
      </c>
      <c r="K418" s="175" t="inlineStr">
        <is>
          <t>1768 BUSYMING</t>
        </is>
      </c>
    </row>
    <row r="419">
      <c r="A419" s="17" t="inlineStr">
        <is>
          <t>YSC Go (BVI) Limited</t>
        </is>
      </c>
      <c r="B419" s="167" t="n">
        <v>1</v>
      </c>
      <c r="C419" s="173" t="n">
        <v>100</v>
      </c>
      <c r="D419" s="174" t="n">
        <v>58.3</v>
      </c>
      <c r="E419" s="174" t="n">
        <v>17.6</v>
      </c>
      <c r="F419" s="174" t="n">
        <v>-11.1</v>
      </c>
      <c r="G419" s="174" t="n">
        <v>-14</v>
      </c>
      <c r="H419" s="174" t="n">
        <v>-25.7</v>
      </c>
      <c r="I419" s="174" t="n">
        <v>-43.8</v>
      </c>
      <c r="J419" s="174" t="n">
        <v>-45.7</v>
      </c>
      <c r="K419" s="175" t="inlineStr">
        <is>
          <t>2549 CAROTE LTD</t>
        </is>
      </c>
    </row>
    <row r="420">
      <c r="A420" s="17" t="inlineStr">
        <is>
          <t>CDG Group Fund L.P</t>
        </is>
      </c>
      <c r="B420" s="167" t="n">
        <v>1</v>
      </c>
      <c r="C420" s="173" t="n">
        <v>100</v>
      </c>
      <c r="D420" s="174" t="n">
        <v>54.3</v>
      </c>
      <c r="E420" s="174" t="n">
        <v>59.7</v>
      </c>
      <c r="F420" s="174" t="n">
        <v>29.5</v>
      </c>
      <c r="G420" s="174" t="n">
        <v>27.5</v>
      </c>
      <c r="H420" s="174" t="n">
        <v>3.5</v>
      </c>
      <c r="I420" s="174" t="n">
        <v>-16</v>
      </c>
      <c r="J420" s="174" t="n">
        <v>-17.3</v>
      </c>
      <c r="K420" s="175" t="inlineStr">
        <is>
          <t>2160 CARDIOFLOW-B</t>
        </is>
      </c>
    </row>
    <row r="421">
      <c r="A421" s="17" t="inlineStr">
        <is>
          <t>Kunlun Group Limited</t>
        </is>
      </c>
      <c r="B421" s="167" t="n">
        <v>1</v>
      </c>
      <c r="C421" s="173" t="n">
        <v>100</v>
      </c>
      <c r="D421" s="174" t="n">
        <v>54.3</v>
      </c>
      <c r="E421" s="174" t="n">
        <v>59.7</v>
      </c>
      <c r="F421" s="174" t="n">
        <v>29.5</v>
      </c>
      <c r="G421" s="174" t="n">
        <v>27.5</v>
      </c>
      <c r="H421" s="174" t="n">
        <v>3.5</v>
      </c>
      <c r="I421" s="174" t="n">
        <v>-16</v>
      </c>
      <c r="J421" s="174" t="n">
        <v>-17.3</v>
      </c>
      <c r="K421" s="175" t="inlineStr">
        <is>
          <t>2160 CARDIOFLOW-B</t>
        </is>
      </c>
    </row>
    <row r="422">
      <c r="A422" s="17" t="inlineStr">
        <is>
          <t>Tybourne Capital Management (HK) Limited</t>
        </is>
      </c>
      <c r="B422" s="167" t="n">
        <v>1</v>
      </c>
      <c r="C422" s="173" t="n">
        <v>100</v>
      </c>
      <c r="D422" s="174" t="n">
        <v>54.3</v>
      </c>
      <c r="E422" s="174" t="n">
        <v>59.7</v>
      </c>
      <c r="F422" s="174" t="n">
        <v>29.5</v>
      </c>
      <c r="G422" s="174" t="n">
        <v>27.5</v>
      </c>
      <c r="H422" s="174" t="n">
        <v>3.5</v>
      </c>
      <c r="I422" s="174" t="n">
        <v>-16</v>
      </c>
      <c r="J422" s="174" t="n">
        <v>-17.3</v>
      </c>
      <c r="K422" s="175" t="inlineStr">
        <is>
          <t>2160 CARDIOFLOW-B</t>
        </is>
      </c>
    </row>
    <row r="423">
      <c r="A423" s="17" t="inlineStr">
        <is>
          <t>Woodline Master Fund LP</t>
        </is>
      </c>
      <c r="B423" s="167" t="n">
        <v>1</v>
      </c>
      <c r="C423" s="173" t="n">
        <v>100</v>
      </c>
      <c r="D423" s="174" t="n">
        <v>54.3</v>
      </c>
      <c r="E423" s="174" t="n">
        <v>59.7</v>
      </c>
      <c r="F423" s="174" t="n">
        <v>29.5</v>
      </c>
      <c r="G423" s="174" t="n">
        <v>27.5</v>
      </c>
      <c r="H423" s="174" t="n">
        <v>3.5</v>
      </c>
      <c r="I423" s="174" t="n">
        <v>-16</v>
      </c>
      <c r="J423" s="174" t="n">
        <v>-17.3</v>
      </c>
      <c r="K423" s="175" t="inlineStr">
        <is>
          <t>2160 CARDIOFLOW-B</t>
        </is>
      </c>
    </row>
    <row r="424">
      <c r="A424" s="17" t="inlineStr">
        <is>
          <t>Juzi Holding Co., Ltd</t>
        </is>
      </c>
      <c r="B424" s="167" t="n">
        <v>1</v>
      </c>
      <c r="C424" s="173" t="n">
        <v>100</v>
      </c>
      <c r="D424" s="174" t="n">
        <v>53.5</v>
      </c>
      <c r="E424" s="174" t="n">
        <v>56.3</v>
      </c>
      <c r="F424" s="174" t="n">
        <v>46</v>
      </c>
      <c r="G424" s="174" t="n">
        <v>58.6</v>
      </c>
      <c r="H424" s="174" t="n">
        <v>1.9</v>
      </c>
      <c r="I424" s="174" t="n">
        <v>-4.9</v>
      </c>
      <c r="J424" s="174" t="n">
        <v>3.4</v>
      </c>
      <c r="K424" s="175" t="inlineStr">
        <is>
          <t>2373 BEAUTYFARM MED</t>
        </is>
      </c>
    </row>
    <row r="425">
      <c r="A425" s="17" t="inlineStr">
        <is>
          <t>CA Fern Parent</t>
        </is>
      </c>
      <c r="B425" s="167" t="n">
        <v>1</v>
      </c>
      <c r="C425" s="173" t="n">
        <v>100</v>
      </c>
      <c r="D425" s="174" t="n">
        <v>50.4</v>
      </c>
      <c r="E425" s="174" t="n">
        <v>42</v>
      </c>
      <c r="F425" s="174" t="n">
        <v>76.09999999999999</v>
      </c>
      <c r="G425" s="174" t="n">
        <v>44.3</v>
      </c>
      <c r="H425" s="174" t="n">
        <v>-5.5</v>
      </c>
      <c r="I425" s="174" t="n">
        <v>17.1</v>
      </c>
      <c r="J425" s="174" t="n">
        <v>-4.1</v>
      </c>
      <c r="K425" s="175" t="inlineStr">
        <is>
          <t>0013 HUTCHMED</t>
        </is>
      </c>
    </row>
    <row r="426">
      <c r="A426" s="17" t="inlineStr">
        <is>
          <t>HBM Healthcare Investments (Cayman) Ltd</t>
        </is>
      </c>
      <c r="B426" s="167" t="n">
        <v>1</v>
      </c>
      <c r="C426" s="173" t="n">
        <v>100</v>
      </c>
      <c r="D426" s="174" t="n">
        <v>50.4</v>
      </c>
      <c r="E426" s="174" t="n">
        <v>42</v>
      </c>
      <c r="F426" s="174" t="n">
        <v>76.09999999999999</v>
      </c>
      <c r="G426" s="174" t="n">
        <v>44.3</v>
      </c>
      <c r="H426" s="174" t="n">
        <v>-5.5</v>
      </c>
      <c r="I426" s="174" t="n">
        <v>17.1</v>
      </c>
      <c r="J426" s="174" t="n">
        <v>-4.1</v>
      </c>
      <c r="K426" s="175" t="inlineStr">
        <is>
          <t>0013 HUTCHMED</t>
        </is>
      </c>
    </row>
    <row r="427">
      <c r="A427" s="17" t="inlineStr">
        <is>
          <t>Cloudview Capital Limited</t>
        </is>
      </c>
      <c r="B427" s="167" t="n">
        <v>1</v>
      </c>
      <c r="C427" s="173" t="n">
        <v>100</v>
      </c>
      <c r="D427" s="174" t="n">
        <v>50.1</v>
      </c>
      <c r="E427" s="174" t="n">
        <v>42.9</v>
      </c>
      <c r="F427" s="174" t="n">
        <v>65</v>
      </c>
      <c r="G427" s="174" t="n">
        <v>9.6</v>
      </c>
      <c r="H427" s="174" t="n">
        <v>-4.8</v>
      </c>
      <c r="I427" s="174" t="n">
        <v>9.9</v>
      </c>
      <c r="J427" s="174" t="n">
        <v>-27</v>
      </c>
      <c r="K427" s="175" t="inlineStr">
        <is>
          <t>2476 VGT</t>
        </is>
      </c>
    </row>
    <row r="428">
      <c r="A428" s="17" t="inlineStr">
        <is>
          <t>CNCB (Hong Kong) Investment Limited</t>
        </is>
      </c>
      <c r="B428" s="167" t="n">
        <v>1</v>
      </c>
      <c r="C428" s="173" t="n">
        <v>100</v>
      </c>
      <c r="D428" s="174" t="n">
        <v>50.1</v>
      </c>
      <c r="E428" s="174" t="n">
        <v>42.9</v>
      </c>
      <c r="F428" s="174" t="n">
        <v>65</v>
      </c>
      <c r="G428" s="174" t="n">
        <v>9.6</v>
      </c>
      <c r="H428" s="174" t="n">
        <v>-4.8</v>
      </c>
      <c r="I428" s="174" t="n">
        <v>9.9</v>
      </c>
      <c r="J428" s="174" t="n">
        <v>-27</v>
      </c>
      <c r="K428" s="175" t="inlineStr">
        <is>
          <t>2476 VGT</t>
        </is>
      </c>
    </row>
    <row r="429">
      <c r="A429" s="17" t="inlineStr">
        <is>
          <t>Golden K2 Falcon Open-ended Fund Company</t>
        </is>
      </c>
      <c r="B429" s="167" t="n">
        <v>1</v>
      </c>
      <c r="C429" s="173" t="n">
        <v>100</v>
      </c>
      <c r="D429" s="174" t="n">
        <v>50.1</v>
      </c>
      <c r="E429" s="174" t="n">
        <v>42.9</v>
      </c>
      <c r="F429" s="174" t="n">
        <v>65</v>
      </c>
      <c r="G429" s="174" t="n">
        <v>9.6</v>
      </c>
      <c r="H429" s="174" t="n">
        <v>-4.8</v>
      </c>
      <c r="I429" s="174" t="n">
        <v>9.9</v>
      </c>
      <c r="J429" s="174" t="n">
        <v>-27</v>
      </c>
      <c r="K429" s="175" t="inlineStr">
        <is>
          <t>2476 VGT</t>
        </is>
      </c>
    </row>
    <row r="430">
      <c r="A430" s="17" t="inlineStr">
        <is>
          <t>Hong Kong Mason Electronics Co., Ltd</t>
        </is>
      </c>
      <c r="B430" s="167" t="n">
        <v>1</v>
      </c>
      <c r="C430" s="173" t="n">
        <v>100</v>
      </c>
      <c r="D430" s="174" t="n">
        <v>50.1</v>
      </c>
      <c r="E430" s="174" t="n">
        <v>42.9</v>
      </c>
      <c r="F430" s="174" t="n">
        <v>65</v>
      </c>
      <c r="G430" s="174" t="n">
        <v>9.6</v>
      </c>
      <c r="H430" s="174" t="n">
        <v>-4.8</v>
      </c>
      <c r="I430" s="174" t="n">
        <v>9.9</v>
      </c>
      <c r="J430" s="174" t="n">
        <v>-27</v>
      </c>
      <c r="K430" s="175" t="inlineStr">
        <is>
          <t>2476 VGT</t>
        </is>
      </c>
    </row>
    <row r="431">
      <c r="A431" s="17" t="inlineStr">
        <is>
          <t>Mr. Ye Guofu</t>
        </is>
      </c>
      <c r="B431" s="167" t="n">
        <v>1</v>
      </c>
      <c r="C431" s="173" t="n">
        <v>100</v>
      </c>
      <c r="D431" s="174" t="n">
        <v>50.1</v>
      </c>
      <c r="E431" s="174" t="n">
        <v>42.9</v>
      </c>
      <c r="F431" s="174" t="n">
        <v>65</v>
      </c>
      <c r="G431" s="174" t="n">
        <v>9.6</v>
      </c>
      <c r="H431" s="174" t="n">
        <v>-4.8</v>
      </c>
      <c r="I431" s="174" t="n">
        <v>9.9</v>
      </c>
      <c r="J431" s="174" t="n">
        <v>-27</v>
      </c>
      <c r="K431" s="175" t="inlineStr">
        <is>
          <t>2476 VGT</t>
        </is>
      </c>
    </row>
    <row r="432">
      <c r="A432" s="17" t="inlineStr">
        <is>
          <t>New Golden Future Limited</t>
        </is>
      </c>
      <c r="B432" s="167" t="n">
        <v>1</v>
      </c>
      <c r="C432" s="173" t="n">
        <v>100</v>
      </c>
      <c r="D432" s="174" t="n">
        <v>50.1</v>
      </c>
      <c r="E432" s="174" t="n">
        <v>42.9</v>
      </c>
      <c r="F432" s="174" t="n">
        <v>65</v>
      </c>
      <c r="G432" s="174" t="n">
        <v>9.6</v>
      </c>
      <c r="H432" s="174" t="n">
        <v>-4.8</v>
      </c>
      <c r="I432" s="174" t="n">
        <v>9.9</v>
      </c>
      <c r="J432" s="174" t="n">
        <v>-27</v>
      </c>
      <c r="K432" s="175" t="inlineStr">
        <is>
          <t>2476 VGT</t>
        </is>
      </c>
    </row>
    <row r="433">
      <c r="A433" s="17" t="inlineStr">
        <is>
          <t>Ding Shijia</t>
        </is>
      </c>
      <c r="B433" s="167" t="n">
        <v>1</v>
      </c>
      <c r="C433" s="173" t="n">
        <v>100</v>
      </c>
      <c r="D433" s="174" t="n">
        <v>47.8</v>
      </c>
      <c r="E433" s="174" t="n">
        <v>17.2</v>
      </c>
      <c r="F433" s="174" t="n">
        <v>6.9</v>
      </c>
      <c r="G433" s="174" t="n">
        <v>-1.2</v>
      </c>
      <c r="H433" s="174" t="n">
        <v>-20.7</v>
      </c>
      <c r="I433" s="174" t="n">
        <v>-27.7</v>
      </c>
      <c r="J433" s="174" t="n">
        <v>-33.2</v>
      </c>
      <c r="K433" s="175" t="inlineStr">
        <is>
          <t>2306 YH ENT</t>
        </is>
      </c>
    </row>
    <row r="434">
      <c r="A434" s="17" t="inlineStr">
        <is>
          <t>Maoyan Entertainment (HK) Limited</t>
        </is>
      </c>
      <c r="B434" s="167" t="n">
        <v>1</v>
      </c>
      <c r="C434" s="173" t="n">
        <v>100</v>
      </c>
      <c r="D434" s="174" t="n">
        <v>47.8</v>
      </c>
      <c r="E434" s="174" t="n">
        <v>17.2</v>
      </c>
      <c r="F434" s="174" t="n">
        <v>6.9</v>
      </c>
      <c r="G434" s="174" t="n">
        <v>-1.2</v>
      </c>
      <c r="H434" s="174" t="n">
        <v>-20.7</v>
      </c>
      <c r="I434" s="174" t="n">
        <v>-27.7</v>
      </c>
      <c r="J434" s="174" t="n">
        <v>-33.2</v>
      </c>
      <c r="K434" s="175" t="inlineStr">
        <is>
          <t>2306 YH ENT</t>
        </is>
      </c>
    </row>
    <row r="435">
      <c r="A435" s="17" t="inlineStr">
        <is>
          <t>Sun Mass Energy Development Limited</t>
        </is>
      </c>
      <c r="B435" s="167" t="n">
        <v>1</v>
      </c>
      <c r="C435" s="173" t="n">
        <v>100</v>
      </c>
      <c r="D435" s="174" t="n">
        <v>47.8</v>
      </c>
      <c r="E435" s="174" t="n">
        <v>17.2</v>
      </c>
      <c r="F435" s="174" t="n">
        <v>6.9</v>
      </c>
      <c r="G435" s="174" t="n">
        <v>-1.2</v>
      </c>
      <c r="H435" s="174" t="n">
        <v>-20.7</v>
      </c>
      <c r="I435" s="174" t="n">
        <v>-27.7</v>
      </c>
      <c r="J435" s="174" t="n">
        <v>-33.2</v>
      </c>
      <c r="K435" s="175" t="inlineStr">
        <is>
          <t>2306 YH ENT</t>
        </is>
      </c>
    </row>
    <row r="436">
      <c r="A436" s="17" t="inlineStr">
        <is>
          <t>Kingsoft Cloud Network Corporation Limited</t>
        </is>
      </c>
      <c r="B436" s="167" t="n">
        <v>1</v>
      </c>
      <c r="C436" s="173" t="n">
        <v>100</v>
      </c>
      <c r="D436" s="174" t="n">
        <v>44.7</v>
      </c>
      <c r="E436" s="174" t="n">
        <v>60.5</v>
      </c>
      <c r="F436" s="174" t="n">
        <v>-41.7</v>
      </c>
      <c r="G436" s="174" t="n"/>
      <c r="H436" s="174" t="n">
        <v>10.9</v>
      </c>
      <c r="I436" s="174" t="n">
        <v>-59.7</v>
      </c>
      <c r="J436" s="174" t="n"/>
      <c r="K436" s="175" t="inlineStr">
        <is>
          <t>1191 CREALIGHTS</t>
        </is>
      </c>
    </row>
    <row r="437">
      <c r="A437" s="17" t="inlineStr">
        <is>
          <t>Winwin Technology Investment Co., Limited</t>
        </is>
      </c>
      <c r="B437" s="167" t="n">
        <v>1</v>
      </c>
      <c r="C437" s="173" t="n">
        <v>100</v>
      </c>
      <c r="D437" s="174" t="n">
        <v>44.7</v>
      </c>
      <c r="E437" s="174" t="n">
        <v>60.5</v>
      </c>
      <c r="F437" s="174" t="n">
        <v>-41.7</v>
      </c>
      <c r="G437" s="174" t="n"/>
      <c r="H437" s="174" t="n">
        <v>10.9</v>
      </c>
      <c r="I437" s="174" t="n">
        <v>-59.7</v>
      </c>
      <c r="J437" s="174" t="n"/>
      <c r="K437" s="175" t="inlineStr">
        <is>
          <t>1191 CREALIGHTS</t>
        </is>
      </c>
    </row>
    <row r="438">
      <c r="A438" s="17" t="inlineStr">
        <is>
          <t>Nebula</t>
        </is>
      </c>
      <c r="B438" s="167" t="n">
        <v>1</v>
      </c>
      <c r="C438" s="173" t="n">
        <v>100</v>
      </c>
      <c r="D438" s="174" t="n">
        <v>44.6</v>
      </c>
      <c r="E438" s="174" t="n">
        <v>105.4</v>
      </c>
      <c r="F438" s="174" t="n">
        <v>184.9</v>
      </c>
      <c r="G438" s="174" t="n">
        <v>137.2</v>
      </c>
      <c r="H438" s="174" t="n">
        <v>42</v>
      </c>
      <c r="I438" s="174" t="n">
        <v>97</v>
      </c>
      <c r="J438" s="174" t="n">
        <v>64</v>
      </c>
      <c r="K438" s="175" t="inlineStr">
        <is>
          <t>9678 UNISOUND</t>
        </is>
      </c>
    </row>
    <row r="439">
      <c r="A439" s="17" t="inlineStr">
        <is>
          <t>Great Praise</t>
        </is>
      </c>
      <c r="B439" s="167" t="n">
        <v>1</v>
      </c>
      <c r="C439" s="173" t="n">
        <v>100</v>
      </c>
      <c r="D439" s="174" t="n">
        <v>44</v>
      </c>
      <c r="E439" s="174" t="n">
        <v>46.1</v>
      </c>
      <c r="F439" s="174" t="n">
        <v>36.3</v>
      </c>
      <c r="G439" s="174" t="n">
        <v>44.7</v>
      </c>
      <c r="H439" s="174" t="n">
        <v>1.5</v>
      </c>
      <c r="I439" s="174" t="n">
        <v>-5.3</v>
      </c>
      <c r="J439" s="174" t="n">
        <v>0.5</v>
      </c>
      <c r="K439" s="175" t="inlineStr">
        <is>
          <t>6090 BUTONG GROUP</t>
        </is>
      </c>
    </row>
    <row r="440">
      <c r="A440" s="17" t="inlineStr">
        <is>
          <t>Limited (TKAMC HK)</t>
        </is>
      </c>
      <c r="B440" s="167" t="n">
        <v>1</v>
      </c>
      <c r="C440" s="173" t="n">
        <v>100</v>
      </c>
      <c r="D440" s="174" t="n">
        <v>43.2</v>
      </c>
      <c r="E440" s="174" t="n">
        <v>94.3</v>
      </c>
      <c r="F440" s="174" t="n">
        <v>107.4</v>
      </c>
      <c r="G440" s="174" t="n">
        <v>180.5</v>
      </c>
      <c r="H440" s="174" t="n">
        <v>35.6</v>
      </c>
      <c r="I440" s="174" t="n">
        <v>44.8</v>
      </c>
      <c r="J440" s="174" t="n">
        <v>95.90000000000001</v>
      </c>
      <c r="K440" s="175" t="inlineStr">
        <is>
          <t>2097 MIXUE GROUP</t>
        </is>
      </c>
    </row>
    <row r="441">
      <c r="A441" s="17" t="inlineStr">
        <is>
          <t>Investment Limited (HTCI)</t>
        </is>
      </c>
      <c r="B441" s="167" t="n">
        <v>1</v>
      </c>
      <c r="C441" s="173" t="n">
        <v>100</v>
      </c>
      <c r="D441" s="174" t="n">
        <v>43.2</v>
      </c>
      <c r="E441" s="174" t="n">
        <v>94.3</v>
      </c>
      <c r="F441" s="174" t="n">
        <v>107.4</v>
      </c>
      <c r="G441" s="174" t="n">
        <v>180.5</v>
      </c>
      <c r="H441" s="174" t="n">
        <v>35.6</v>
      </c>
      <c r="I441" s="174" t="n">
        <v>44.8</v>
      </c>
      <c r="J441" s="174" t="n">
        <v>95.90000000000001</v>
      </c>
      <c r="K441" s="175" t="inlineStr">
        <is>
          <t>2097 MIXUE GROUP</t>
        </is>
      </c>
    </row>
    <row r="442">
      <c r="A442" s="17" t="inlineStr">
        <is>
          <t>Kong Limited (VPHK)</t>
        </is>
      </c>
      <c r="B442" s="167" t="n">
        <v>1</v>
      </c>
      <c r="C442" s="173" t="n">
        <v>100</v>
      </c>
      <c r="D442" s="174" t="n">
        <v>43.2</v>
      </c>
      <c r="E442" s="174" t="n">
        <v>94.3</v>
      </c>
      <c r="F442" s="174" t="n">
        <v>107.4</v>
      </c>
      <c r="G442" s="174" t="n">
        <v>180.5</v>
      </c>
      <c r="H442" s="174" t="n">
        <v>35.6</v>
      </c>
      <c r="I442" s="174" t="n">
        <v>44.8</v>
      </c>
      <c r="J442" s="174" t="n">
        <v>95.90000000000001</v>
      </c>
      <c r="K442" s="175" t="inlineStr">
        <is>
          <t>2097 MIXUE GROUP</t>
        </is>
      </c>
    </row>
    <row r="443">
      <c r="A443" s="17" t="inlineStr">
        <is>
          <t>M&amp;G Investments</t>
        </is>
      </c>
      <c r="B443" s="167" t="n">
        <v>1</v>
      </c>
      <c r="C443" s="173" t="n">
        <v>100</v>
      </c>
      <c r="D443" s="174" t="n">
        <v>43.2</v>
      </c>
      <c r="E443" s="174" t="n">
        <v>94.3</v>
      </c>
      <c r="F443" s="174" t="n">
        <v>107.4</v>
      </c>
      <c r="G443" s="174" t="n">
        <v>180.5</v>
      </c>
      <c r="H443" s="174" t="n">
        <v>35.6</v>
      </c>
      <c r="I443" s="174" t="n">
        <v>44.8</v>
      </c>
      <c r="J443" s="174" t="n">
        <v>95.90000000000001</v>
      </c>
      <c r="K443" s="175" t="inlineStr">
        <is>
          <t>2097 MIXUE GROUP</t>
        </is>
      </c>
    </row>
    <row r="444">
      <c r="A444" s="17" t="inlineStr">
        <is>
          <t>Persistence Growth Limited</t>
        </is>
      </c>
      <c r="B444" s="167" t="n">
        <v>1</v>
      </c>
      <c r="C444" s="173" t="n">
        <v>100</v>
      </c>
      <c r="D444" s="174" t="n">
        <v>43.2</v>
      </c>
      <c r="E444" s="174" t="n">
        <v>94.3</v>
      </c>
      <c r="F444" s="174" t="n">
        <v>107.4</v>
      </c>
      <c r="G444" s="174" t="n">
        <v>180.5</v>
      </c>
      <c r="H444" s="174" t="n">
        <v>35.6</v>
      </c>
      <c r="I444" s="174" t="n">
        <v>44.8</v>
      </c>
      <c r="J444" s="174" t="n">
        <v>95.90000000000001</v>
      </c>
      <c r="K444" s="175" t="inlineStr">
        <is>
          <t>2097 MIXUE GROUP</t>
        </is>
      </c>
    </row>
    <row r="445">
      <c r="A445" s="17" t="inlineStr">
        <is>
          <t>MeichengNote</t>
        </is>
      </c>
      <c r="B445" s="167" t="n">
        <v>1</v>
      </c>
      <c r="C445" s="173" t="n">
        <v>100</v>
      </c>
      <c r="D445" s="174" t="n">
        <v>43.2</v>
      </c>
      <c r="E445" s="174" t="n">
        <v>94.3</v>
      </c>
      <c r="F445" s="174" t="n">
        <v>107.4</v>
      </c>
      <c r="G445" s="174" t="n">
        <v>180.5</v>
      </c>
      <c r="H445" s="174" t="n">
        <v>35.6</v>
      </c>
      <c r="I445" s="174" t="n">
        <v>44.8</v>
      </c>
      <c r="J445" s="174" t="n">
        <v>95.90000000000001</v>
      </c>
      <c r="K445" s="175" t="inlineStr">
        <is>
          <t>2097 MIXUE GROUP</t>
        </is>
      </c>
    </row>
    <row r="446">
      <c r="A446" s="17" t="inlineStr">
        <is>
          <t>Shenzhen Yunqi</t>
        </is>
      </c>
      <c r="B446" s="167" t="n">
        <v>1</v>
      </c>
      <c r="C446" s="173" t="n">
        <v>100</v>
      </c>
      <c r="D446" s="174" t="n">
        <v>43.2</v>
      </c>
      <c r="E446" s="174" t="n">
        <v>94.3</v>
      </c>
      <c r="F446" s="174" t="n">
        <v>107.4</v>
      </c>
      <c r="G446" s="174" t="n">
        <v>180.5</v>
      </c>
      <c r="H446" s="174" t="n">
        <v>35.6</v>
      </c>
      <c r="I446" s="174" t="n">
        <v>44.8</v>
      </c>
      <c r="J446" s="174" t="n">
        <v>95.90000000000001</v>
      </c>
      <c r="K446" s="175" t="inlineStr">
        <is>
          <t>2097 MIXUE GROUP</t>
        </is>
      </c>
    </row>
    <row r="447">
      <c r="A447" s="17" t="inlineStr">
        <is>
          <t>Lin Xiaojian</t>
        </is>
      </c>
      <c r="B447" s="167" t="n">
        <v>1</v>
      </c>
      <c r="C447" s="173" t="n">
        <v>100</v>
      </c>
      <c r="D447" s="174" t="n">
        <v>42</v>
      </c>
      <c r="E447" s="174" t="n">
        <v>30</v>
      </c>
      <c r="F447" s="174" t="n">
        <v>3</v>
      </c>
      <c r="G447" s="174" t="n">
        <v>9.5</v>
      </c>
      <c r="H447" s="174" t="n">
        <v>-8.4</v>
      </c>
      <c r="I447" s="174" t="n">
        <v>-27.5</v>
      </c>
      <c r="J447" s="174" t="n">
        <v>-22.9</v>
      </c>
      <c r="K447" s="175" t="inlineStr">
        <is>
          <t>9881 RONGTA TECH</t>
        </is>
      </c>
    </row>
    <row r="448">
      <c r="A448" s="17" t="inlineStr">
        <is>
          <t>Sinos Group Limited</t>
        </is>
      </c>
      <c r="B448" s="167" t="n">
        <v>1</v>
      </c>
      <c r="C448" s="173" t="n">
        <v>100</v>
      </c>
      <c r="D448" s="174" t="n">
        <v>42</v>
      </c>
      <c r="E448" s="174" t="n">
        <v>30</v>
      </c>
      <c r="F448" s="174" t="n">
        <v>3</v>
      </c>
      <c r="G448" s="174" t="n">
        <v>9.5</v>
      </c>
      <c r="H448" s="174" t="n">
        <v>-8.4</v>
      </c>
      <c r="I448" s="174" t="n">
        <v>-27.5</v>
      </c>
      <c r="J448" s="174" t="n">
        <v>-22.9</v>
      </c>
      <c r="K448" s="175" t="inlineStr">
        <is>
          <t>9881 RONGTA TECH</t>
        </is>
      </c>
    </row>
    <row r="449">
      <c r="A449" s="17" t="inlineStr">
        <is>
          <t>Li Shuhan</t>
        </is>
      </c>
      <c r="B449" s="167" t="n">
        <v>1</v>
      </c>
      <c r="C449" s="173" t="n">
        <v>100</v>
      </c>
      <c r="D449" s="174" t="n">
        <v>42</v>
      </c>
      <c r="E449" s="174" t="n">
        <v>30</v>
      </c>
      <c r="F449" s="174" t="n">
        <v>3</v>
      </c>
      <c r="G449" s="174" t="n">
        <v>9.5</v>
      </c>
      <c r="H449" s="174" t="n">
        <v>-8.4</v>
      </c>
      <c r="I449" s="174" t="n">
        <v>-27.5</v>
      </c>
      <c r="J449" s="174" t="n">
        <v>-22.9</v>
      </c>
      <c r="K449" s="175" t="inlineStr">
        <is>
          <t>9881 RONGTA TECH</t>
        </is>
      </c>
    </row>
    <row r="450">
      <c r="A450" s="17" t="inlineStr">
        <is>
          <t>Ng Chi Fat</t>
        </is>
      </c>
      <c r="B450" s="167" t="n">
        <v>1</v>
      </c>
      <c r="C450" s="173" t="n">
        <v>100</v>
      </c>
      <c r="D450" s="174" t="n">
        <v>42</v>
      </c>
      <c r="E450" s="174" t="n">
        <v>30</v>
      </c>
      <c r="F450" s="174" t="n">
        <v>3</v>
      </c>
      <c r="G450" s="174" t="n">
        <v>9.5</v>
      </c>
      <c r="H450" s="174" t="n">
        <v>-8.4</v>
      </c>
      <c r="I450" s="174" t="n">
        <v>-27.5</v>
      </c>
      <c r="J450" s="174" t="n">
        <v>-22.9</v>
      </c>
      <c r="K450" s="175" t="inlineStr">
        <is>
          <t>9881 RONGTA TECH</t>
        </is>
      </c>
    </row>
    <row r="451">
      <c r="A451" s="17" t="inlineStr">
        <is>
          <t>Xu Kaiming</t>
        </is>
      </c>
      <c r="B451" s="167" t="n">
        <v>1</v>
      </c>
      <c r="C451" s="173" t="n">
        <v>100</v>
      </c>
      <c r="D451" s="174" t="n">
        <v>42</v>
      </c>
      <c r="E451" s="174" t="n">
        <v>30</v>
      </c>
      <c r="F451" s="174" t="n">
        <v>3</v>
      </c>
      <c r="G451" s="174" t="n">
        <v>9.5</v>
      </c>
      <c r="H451" s="174" t="n">
        <v>-8.4</v>
      </c>
      <c r="I451" s="174" t="n">
        <v>-27.5</v>
      </c>
      <c r="J451" s="174" t="n">
        <v>-22.9</v>
      </c>
      <c r="K451" s="175" t="inlineStr">
        <is>
          <t>9881 RONGTA TECH</t>
        </is>
      </c>
    </row>
    <row r="452">
      <c r="A452" s="17" t="inlineStr">
        <is>
          <t>Xu Kaihe</t>
        </is>
      </c>
      <c r="B452" s="167" t="n">
        <v>1</v>
      </c>
      <c r="C452" s="173" t="n">
        <v>100</v>
      </c>
      <c r="D452" s="174" t="n">
        <v>42</v>
      </c>
      <c r="E452" s="174" t="n">
        <v>30</v>
      </c>
      <c r="F452" s="174" t="n">
        <v>3</v>
      </c>
      <c r="G452" s="174" t="n">
        <v>9.5</v>
      </c>
      <c r="H452" s="174" t="n">
        <v>-8.4</v>
      </c>
      <c r="I452" s="174" t="n">
        <v>-27.5</v>
      </c>
      <c r="J452" s="174" t="n">
        <v>-22.9</v>
      </c>
      <c r="K452" s="175" t="inlineStr">
        <is>
          <t>9881 RONGTA TECH</t>
        </is>
      </c>
    </row>
    <row r="453">
      <c r="A453" s="17" t="inlineStr">
        <is>
          <t>Lin Huanan</t>
        </is>
      </c>
      <c r="B453" s="167" t="n">
        <v>1</v>
      </c>
      <c r="C453" s="173" t="n">
        <v>100</v>
      </c>
      <c r="D453" s="174" t="n">
        <v>42</v>
      </c>
      <c r="E453" s="174" t="n">
        <v>30</v>
      </c>
      <c r="F453" s="174" t="n">
        <v>3</v>
      </c>
      <c r="G453" s="174" t="n">
        <v>9.5</v>
      </c>
      <c r="H453" s="174" t="n">
        <v>-8.4</v>
      </c>
      <c r="I453" s="174" t="n">
        <v>-27.5</v>
      </c>
      <c r="J453" s="174" t="n">
        <v>-22.9</v>
      </c>
      <c r="K453" s="175" t="inlineStr">
        <is>
          <t>9881 RONGTA TECH</t>
        </is>
      </c>
    </row>
    <row r="454">
      <c r="A454" s="17" t="inlineStr">
        <is>
          <t>Yang Litie</t>
        </is>
      </c>
      <c r="B454" s="167" t="n">
        <v>1</v>
      </c>
      <c r="C454" s="173" t="n">
        <v>100</v>
      </c>
      <c r="D454" s="174" t="n">
        <v>42</v>
      </c>
      <c r="E454" s="174" t="n">
        <v>30</v>
      </c>
      <c r="F454" s="174" t="n">
        <v>3</v>
      </c>
      <c r="G454" s="174" t="n">
        <v>9.5</v>
      </c>
      <c r="H454" s="174" t="n">
        <v>-8.4</v>
      </c>
      <c r="I454" s="174" t="n">
        <v>-27.5</v>
      </c>
      <c r="J454" s="174" t="n">
        <v>-22.9</v>
      </c>
      <c r="K454" s="175" t="inlineStr">
        <is>
          <t>9881 RONGTA TECH</t>
        </is>
      </c>
    </row>
    <row r="455">
      <c r="A455" s="17" t="inlineStr">
        <is>
          <t>Bright Stone Holdings Limited</t>
        </is>
      </c>
      <c r="B455" s="167" t="n">
        <v>1</v>
      </c>
      <c r="C455" s="173" t="n">
        <v>100</v>
      </c>
      <c r="D455" s="174" t="n">
        <v>41.6</v>
      </c>
      <c r="E455" s="174" t="n">
        <v>30.8</v>
      </c>
      <c r="F455" s="174" t="n">
        <v>18.2</v>
      </c>
      <c r="G455" s="174" t="n">
        <v>14.6</v>
      </c>
      <c r="H455" s="174" t="n">
        <v>-7.7</v>
      </c>
      <c r="I455" s="174" t="n">
        <v>-16.5</v>
      </c>
      <c r="J455" s="174" t="n">
        <v>-19.1</v>
      </c>
      <c r="K455" s="175" t="inlineStr">
        <is>
          <t>6938 RIBOLIFE-B</t>
        </is>
      </c>
    </row>
    <row r="456">
      <c r="A456" s="17" t="inlineStr">
        <is>
          <t>Erik Selin Fastigheter Aktiebolag</t>
        </is>
      </c>
      <c r="B456" s="167" t="n">
        <v>1</v>
      </c>
      <c r="C456" s="173" t="n">
        <v>100</v>
      </c>
      <c r="D456" s="174" t="n">
        <v>41.6</v>
      </c>
      <c r="E456" s="174" t="n">
        <v>30.8</v>
      </c>
      <c r="F456" s="174" t="n">
        <v>18.2</v>
      </c>
      <c r="G456" s="174" t="n">
        <v>14.6</v>
      </c>
      <c r="H456" s="174" t="n">
        <v>-7.7</v>
      </c>
      <c r="I456" s="174" t="n">
        <v>-16.5</v>
      </c>
      <c r="J456" s="174" t="n">
        <v>-19.1</v>
      </c>
      <c r="K456" s="175" t="inlineStr">
        <is>
          <t>6938 RIBOLIFE-B</t>
        </is>
      </c>
    </row>
    <row r="457">
      <c r="A457" s="17" t="inlineStr">
        <is>
          <t>Himension Fund</t>
        </is>
      </c>
      <c r="B457" s="167" t="n">
        <v>1</v>
      </c>
      <c r="C457" s="173" t="n">
        <v>100</v>
      </c>
      <c r="D457" s="174" t="n">
        <v>41.6</v>
      </c>
      <c r="E457" s="174" t="n">
        <v>30.8</v>
      </c>
      <c r="F457" s="174" t="n">
        <v>18.2</v>
      </c>
      <c r="G457" s="174" t="n">
        <v>14.6</v>
      </c>
      <c r="H457" s="174" t="n">
        <v>-7.7</v>
      </c>
      <c r="I457" s="174" t="n">
        <v>-16.5</v>
      </c>
      <c r="J457" s="174" t="n">
        <v>-19.1</v>
      </c>
      <c r="K457" s="175" t="inlineStr">
        <is>
          <t>6938 RIBOLIFE-B</t>
        </is>
      </c>
    </row>
    <row r="458">
      <c r="A458" s="17" t="inlineStr">
        <is>
          <t>Mingxin Growth Ventures LS2 Limited</t>
        </is>
      </c>
      <c r="B458" s="167" t="n">
        <v>1</v>
      </c>
      <c r="C458" s="173" t="n">
        <v>100</v>
      </c>
      <c r="D458" s="174" t="n">
        <v>41.6</v>
      </c>
      <c r="E458" s="174" t="n">
        <v>30.8</v>
      </c>
      <c r="F458" s="174" t="n">
        <v>18.2</v>
      </c>
      <c r="G458" s="174" t="n">
        <v>14.6</v>
      </c>
      <c r="H458" s="174" t="n">
        <v>-7.7</v>
      </c>
      <c r="I458" s="174" t="n">
        <v>-16.5</v>
      </c>
      <c r="J458" s="174" t="n">
        <v>-19.1</v>
      </c>
      <c r="K458" s="175" t="inlineStr">
        <is>
          <t>6938 RIBOLIFE-B</t>
        </is>
      </c>
    </row>
    <row r="459">
      <c r="A459" s="17" t="inlineStr">
        <is>
          <t>William WONG ( ˮጳ਷)</t>
        </is>
      </c>
      <c r="B459" s="167" t="n">
        <v>1</v>
      </c>
      <c r="C459" s="173" t="n">
        <v>100</v>
      </c>
      <c r="D459" s="174" t="n">
        <v>41.6</v>
      </c>
      <c r="E459" s="174" t="n">
        <v>30.8</v>
      </c>
      <c r="F459" s="174" t="n">
        <v>18.2</v>
      </c>
      <c r="G459" s="174" t="n">
        <v>14.6</v>
      </c>
      <c r="H459" s="174" t="n">
        <v>-7.7</v>
      </c>
      <c r="I459" s="174" t="n">
        <v>-16.5</v>
      </c>
      <c r="J459" s="174" t="n">
        <v>-19.1</v>
      </c>
      <c r="K459" s="175" t="inlineStr">
        <is>
          <t>6938 RIBOLIFE-B</t>
        </is>
      </c>
    </row>
    <row r="460">
      <c r="A460" s="17" t="inlineStr">
        <is>
          <t>Worldstar Global Holdings Limited</t>
        </is>
      </c>
      <c r="B460" s="167" t="n">
        <v>1</v>
      </c>
      <c r="C460" s="173" t="n">
        <v>100</v>
      </c>
      <c r="D460" s="174" t="n">
        <v>41.6</v>
      </c>
      <c r="E460" s="174" t="n">
        <v>30.8</v>
      </c>
      <c r="F460" s="174" t="n">
        <v>18.2</v>
      </c>
      <c r="G460" s="174" t="n">
        <v>14.6</v>
      </c>
      <c r="H460" s="174" t="n">
        <v>-7.7</v>
      </c>
      <c r="I460" s="174" t="n">
        <v>-16.5</v>
      </c>
      <c r="J460" s="174" t="n">
        <v>-19.1</v>
      </c>
      <c r="K460" s="175" t="inlineStr">
        <is>
          <t>6938 RIBOLIFE-B</t>
        </is>
      </c>
    </row>
    <row r="461">
      <c r="A461" s="17" t="inlineStr">
        <is>
          <t>Wise Vigour Limited</t>
        </is>
      </c>
      <c r="B461" s="167" t="n">
        <v>1</v>
      </c>
      <c r="C461" s="173" t="n">
        <v>100</v>
      </c>
      <c r="D461" s="174" t="n">
        <v>41.6</v>
      </c>
      <c r="E461" s="174" t="n">
        <v>30.8</v>
      </c>
      <c r="F461" s="174" t="n">
        <v>18.2</v>
      </c>
      <c r="G461" s="174" t="n">
        <v>14.6</v>
      </c>
      <c r="H461" s="174" t="n">
        <v>-7.7</v>
      </c>
      <c r="I461" s="174" t="n">
        <v>-16.5</v>
      </c>
      <c r="J461" s="174" t="n">
        <v>-19.1</v>
      </c>
      <c r="K461" s="175" t="inlineStr">
        <is>
          <t>6938 RIBOLIFE-B</t>
        </is>
      </c>
    </row>
    <row r="462">
      <c r="A462" s="17" t="inlineStr">
        <is>
          <t>CURA International (Hong Kong) Investment Management Company Limited</t>
        </is>
      </c>
      <c r="B462" s="167" t="n">
        <v>1</v>
      </c>
      <c r="C462" s="173" t="n">
        <v>100</v>
      </c>
      <c r="D462" s="174" t="n">
        <v>41.5</v>
      </c>
      <c r="E462" s="174" t="n">
        <v>2.5</v>
      </c>
      <c r="F462" s="174" t="n">
        <v>0</v>
      </c>
      <c r="G462" s="174" t="n">
        <v>3.8</v>
      </c>
      <c r="H462" s="174" t="n">
        <v>-27.6</v>
      </c>
      <c r="I462" s="174" t="n">
        <v>-29.3</v>
      </c>
      <c r="J462" s="174" t="n">
        <v>-26.7</v>
      </c>
      <c r="K462" s="175" t="inlineStr">
        <is>
          <t>1965 LANDSEA LIFE</t>
        </is>
      </c>
    </row>
    <row r="463">
      <c r="A463" s="17" t="inlineStr">
        <is>
          <t>Dato Sri Ng Chong Keong</t>
        </is>
      </c>
      <c r="B463" s="167" t="n">
        <v>1</v>
      </c>
      <c r="C463" s="173" t="n">
        <v>100</v>
      </c>
      <c r="D463" s="174" t="n">
        <v>41.1</v>
      </c>
      <c r="E463" s="174" t="n">
        <v>62.5</v>
      </c>
      <c r="F463" s="174" t="n">
        <v>96.40000000000001</v>
      </c>
      <c r="G463" s="174" t="n">
        <v>258.9</v>
      </c>
      <c r="H463" s="174" t="n">
        <v>15.2</v>
      </c>
      <c r="I463" s="174" t="n">
        <v>39.2</v>
      </c>
      <c r="J463" s="174" t="n">
        <v>154.4</v>
      </c>
      <c r="K463" s="175" t="inlineStr">
        <is>
          <t>2321 SWANGCHAICHUAN</t>
        </is>
      </c>
    </row>
    <row r="464">
      <c r="A464" s="17" t="inlineStr">
        <is>
          <t>Huihuang Resources Limited</t>
        </is>
      </c>
      <c r="B464" s="167" t="n">
        <v>1</v>
      </c>
      <c r="C464" s="173" t="n">
        <v>100</v>
      </c>
      <c r="D464" s="174" t="n">
        <v>41.1</v>
      </c>
      <c r="E464" s="174" t="n">
        <v>62.5</v>
      </c>
      <c r="F464" s="174" t="n">
        <v>96.40000000000001</v>
      </c>
      <c r="G464" s="174" t="n">
        <v>258.9</v>
      </c>
      <c r="H464" s="174" t="n">
        <v>15.2</v>
      </c>
      <c r="I464" s="174" t="n">
        <v>39.2</v>
      </c>
      <c r="J464" s="174" t="n">
        <v>154.4</v>
      </c>
      <c r="K464" s="175" t="inlineStr">
        <is>
          <t>2321 SWANGCHAICHUAN</t>
        </is>
      </c>
    </row>
    <row r="465">
      <c r="A465" s="17" t="inlineStr">
        <is>
          <t>Mr. Tee Kian Heng</t>
        </is>
      </c>
      <c r="B465" s="167" t="n">
        <v>1</v>
      </c>
      <c r="C465" s="173" t="n">
        <v>100</v>
      </c>
      <c r="D465" s="174" t="n">
        <v>41.1</v>
      </c>
      <c r="E465" s="174" t="n">
        <v>62.5</v>
      </c>
      <c r="F465" s="174" t="n">
        <v>96.40000000000001</v>
      </c>
      <c r="G465" s="174" t="n">
        <v>258.9</v>
      </c>
      <c r="H465" s="174" t="n">
        <v>15.2</v>
      </c>
      <c r="I465" s="174" t="n">
        <v>39.2</v>
      </c>
      <c r="J465" s="174" t="n">
        <v>154.4</v>
      </c>
      <c r="K465" s="175" t="inlineStr">
        <is>
          <t>2321 SWANGCHAICHUAN</t>
        </is>
      </c>
    </row>
    <row r="466">
      <c r="A466" s="17" t="inlineStr">
        <is>
          <t>Nayuki Holdings Limited</t>
        </is>
      </c>
      <c r="B466" s="167" t="n">
        <v>1</v>
      </c>
      <c r="C466" s="173" t="n">
        <v>100</v>
      </c>
      <c r="D466" s="174" t="n">
        <v>40.9</v>
      </c>
      <c r="E466" s="174" t="n">
        <v>20.8</v>
      </c>
      <c r="F466" s="174" t="n">
        <v>55.9</v>
      </c>
      <c r="G466" s="174" t="n">
        <v>79.09999999999999</v>
      </c>
      <c r="H466" s="174" t="n">
        <v>-14.3</v>
      </c>
      <c r="I466" s="174" t="n">
        <v>10.7</v>
      </c>
      <c r="J466" s="174" t="n">
        <v>27.2</v>
      </c>
      <c r="K466" s="175" t="inlineStr">
        <is>
          <t>2429 UBOX ONLINE</t>
        </is>
      </c>
    </row>
    <row r="467">
      <c r="A467" s="17" t="inlineStr">
        <is>
          <t>Shenzhen Maliujia Network Technology Co., Ltd</t>
        </is>
      </c>
      <c r="B467" s="167" t="n">
        <v>1</v>
      </c>
      <c r="C467" s="173" t="n">
        <v>100</v>
      </c>
      <c r="D467" s="174" t="n">
        <v>40.9</v>
      </c>
      <c r="E467" s="174" t="n">
        <v>20.8</v>
      </c>
      <c r="F467" s="174" t="n">
        <v>55.9</v>
      </c>
      <c r="G467" s="174" t="n">
        <v>79.09999999999999</v>
      </c>
      <c r="H467" s="174" t="n">
        <v>-14.3</v>
      </c>
      <c r="I467" s="174" t="n">
        <v>10.7</v>
      </c>
      <c r="J467" s="174" t="n">
        <v>27.2</v>
      </c>
      <c r="K467" s="175" t="inlineStr">
        <is>
          <t>2429 UBOX ONLINE</t>
        </is>
      </c>
    </row>
    <row r="468">
      <c r="A468" s="17" t="inlineStr">
        <is>
          <t>Wei Jinbing</t>
        </is>
      </c>
      <c r="B468" s="167" t="n">
        <v>1</v>
      </c>
      <c r="C468" s="173" t="n">
        <v>100</v>
      </c>
      <c r="D468" s="174" t="n">
        <v>40.9</v>
      </c>
      <c r="E468" s="174" t="n">
        <v>20.8</v>
      </c>
      <c r="F468" s="174" t="n">
        <v>55.9</v>
      </c>
      <c r="G468" s="174" t="n">
        <v>79.09999999999999</v>
      </c>
      <c r="H468" s="174" t="n">
        <v>-14.3</v>
      </c>
      <c r="I468" s="174" t="n">
        <v>10.7</v>
      </c>
      <c r="J468" s="174" t="n">
        <v>27.2</v>
      </c>
      <c r="K468" s="175" t="inlineStr">
        <is>
          <t>2429 UBOX ONLINE</t>
        </is>
      </c>
    </row>
    <row r="469">
      <c r="A469" s="17" t="inlineStr">
        <is>
          <t>Gaintex Investment Limited</t>
        </is>
      </c>
      <c r="B469" s="167" t="n">
        <v>1</v>
      </c>
      <c r="C469" s="173" t="n">
        <v>100</v>
      </c>
      <c r="D469" s="174" t="n">
        <v>40.9</v>
      </c>
      <c r="E469" s="174" t="n">
        <v>49.6</v>
      </c>
      <c r="F469" s="174" t="n">
        <v>40.2</v>
      </c>
      <c r="G469" s="174" t="n">
        <v>101.7</v>
      </c>
      <c r="H469" s="174" t="n">
        <v>6.2</v>
      </c>
      <c r="I469" s="174" t="n">
        <v>-0.5</v>
      </c>
      <c r="J469" s="174" t="n">
        <v>43.2</v>
      </c>
      <c r="K469" s="175" t="inlineStr">
        <is>
          <t>0325 BLOKS</t>
        </is>
      </c>
    </row>
    <row r="470">
      <c r="A470" s="17" t="inlineStr">
        <is>
          <t>Plus Force Enterprise Limited</t>
        </is>
      </c>
      <c r="B470" s="167" t="n">
        <v>1</v>
      </c>
      <c r="C470" s="173" t="n">
        <v>100</v>
      </c>
      <c r="D470" s="174" t="n">
        <v>40.9</v>
      </c>
      <c r="E470" s="174" t="n">
        <v>49.6</v>
      </c>
      <c r="F470" s="174" t="n">
        <v>40.2</v>
      </c>
      <c r="G470" s="174" t="n">
        <v>101.7</v>
      </c>
      <c r="H470" s="174" t="n">
        <v>6.2</v>
      </c>
      <c r="I470" s="174" t="n">
        <v>-0.5</v>
      </c>
      <c r="J470" s="174" t="n">
        <v>43.2</v>
      </c>
      <c r="K470" s="175" t="inlineStr">
        <is>
          <t>0325 BLOKS</t>
        </is>
      </c>
    </row>
    <row r="471">
      <c r="A471" s="17" t="inlineStr">
        <is>
          <t>Merron Ventures Limited</t>
        </is>
      </c>
      <c r="B471" s="167" t="n">
        <v>1</v>
      </c>
      <c r="C471" s="173" t="n">
        <v>100</v>
      </c>
      <c r="D471" s="174" t="n">
        <v>40.9</v>
      </c>
      <c r="E471" s="174" t="n">
        <v>49.6</v>
      </c>
      <c r="F471" s="174" t="n">
        <v>40.2</v>
      </c>
      <c r="G471" s="174" t="n">
        <v>101.7</v>
      </c>
      <c r="H471" s="174" t="n">
        <v>6.2</v>
      </c>
      <c r="I471" s="174" t="n">
        <v>-0.5</v>
      </c>
      <c r="J471" s="174" t="n">
        <v>43.2</v>
      </c>
      <c r="K471" s="175" t="inlineStr">
        <is>
          <t>0325 BLOKS</t>
        </is>
      </c>
    </row>
    <row r="472">
      <c r="A472" s="17" t="inlineStr">
        <is>
          <t>JYCP Holding Limited</t>
        </is>
      </c>
      <c r="B472" s="167" t="n">
        <v>1</v>
      </c>
      <c r="C472" s="173" t="n">
        <v>100</v>
      </c>
      <c r="D472" s="174" t="n">
        <v>40.9</v>
      </c>
      <c r="E472" s="174" t="n">
        <v>49.6</v>
      </c>
      <c r="F472" s="174" t="n">
        <v>40.2</v>
      </c>
      <c r="G472" s="174" t="n">
        <v>101.7</v>
      </c>
      <c r="H472" s="174" t="n">
        <v>6.2</v>
      </c>
      <c r="I472" s="174" t="n">
        <v>-0.5</v>
      </c>
      <c r="J472" s="174" t="n">
        <v>43.2</v>
      </c>
      <c r="K472" s="175" t="inlineStr">
        <is>
          <t>0325 BLOKS</t>
        </is>
      </c>
    </row>
    <row r="473">
      <c r="A473" s="17" t="inlineStr">
        <is>
          <t>JYMB Holding Limited</t>
        </is>
      </c>
      <c r="B473" s="167" t="n">
        <v>1</v>
      </c>
      <c r="C473" s="173" t="n">
        <v>100</v>
      </c>
      <c r="D473" s="174" t="n">
        <v>40.9</v>
      </c>
      <c r="E473" s="174" t="n">
        <v>49.6</v>
      </c>
      <c r="F473" s="174" t="n">
        <v>40.2</v>
      </c>
      <c r="G473" s="174" t="n">
        <v>101.7</v>
      </c>
      <c r="H473" s="174" t="n">
        <v>6.2</v>
      </c>
      <c r="I473" s="174" t="n">
        <v>-0.5</v>
      </c>
      <c r="J473" s="174" t="n">
        <v>43.2</v>
      </c>
      <c r="K473" s="175" t="inlineStr">
        <is>
          <t>0325 BLOKS</t>
        </is>
      </c>
    </row>
    <row r="474">
      <c r="A474" s="17" t="inlineStr">
        <is>
          <t>Beihai Kmind Management Consulting Limited</t>
        </is>
      </c>
      <c r="B474" s="167" t="n">
        <v>1</v>
      </c>
      <c r="C474" s="173" t="n">
        <v>100</v>
      </c>
      <c r="D474" s="174" t="n">
        <v>40.9</v>
      </c>
      <c r="E474" s="174" t="n">
        <v>49.6</v>
      </c>
      <c r="F474" s="174" t="n">
        <v>40.2</v>
      </c>
      <c r="G474" s="174" t="n">
        <v>101.7</v>
      </c>
      <c r="H474" s="174" t="n">
        <v>6.2</v>
      </c>
      <c r="I474" s="174" t="n">
        <v>-0.5</v>
      </c>
      <c r="J474" s="174" t="n">
        <v>43.2</v>
      </c>
      <c r="K474" s="175" t="inlineStr">
        <is>
          <t>0325 BLOKS</t>
        </is>
      </c>
    </row>
    <row r="475">
      <c r="A475" s="17" t="inlineStr">
        <is>
          <t>BlueCo Investment L.P</t>
        </is>
      </c>
      <c r="B475" s="167" t="n">
        <v>1</v>
      </c>
      <c r="C475" s="173" t="n">
        <v>100</v>
      </c>
      <c r="D475" s="174" t="n">
        <v>40.9</v>
      </c>
      <c r="E475" s="174" t="n">
        <v>49.6</v>
      </c>
      <c r="F475" s="174" t="n">
        <v>40.2</v>
      </c>
      <c r="G475" s="174" t="n">
        <v>101.7</v>
      </c>
      <c r="H475" s="174" t="n">
        <v>6.2</v>
      </c>
      <c r="I475" s="174" t="n">
        <v>-0.5</v>
      </c>
      <c r="J475" s="174" t="n">
        <v>43.2</v>
      </c>
      <c r="K475" s="175" t="inlineStr">
        <is>
          <t>0325 BLOKS</t>
        </is>
      </c>
    </row>
    <row r="476">
      <c r="A476" s="17" t="inlineStr">
        <is>
          <t>Lenient Investment L.P</t>
        </is>
      </c>
      <c r="B476" s="167" t="n">
        <v>1</v>
      </c>
      <c r="C476" s="173" t="n">
        <v>100</v>
      </c>
      <c r="D476" s="174" t="n">
        <v>40.9</v>
      </c>
      <c r="E476" s="174" t="n">
        <v>49.6</v>
      </c>
      <c r="F476" s="174" t="n">
        <v>40.2</v>
      </c>
      <c r="G476" s="174" t="n">
        <v>101.7</v>
      </c>
      <c r="H476" s="174" t="n">
        <v>6.2</v>
      </c>
      <c r="I476" s="174" t="n">
        <v>-0.5</v>
      </c>
      <c r="J476" s="174" t="n">
        <v>43.2</v>
      </c>
      <c r="K476" s="175" t="inlineStr">
        <is>
          <t>0325 BLOKS</t>
        </is>
      </c>
    </row>
    <row r="477">
      <c r="A477" s="17" t="inlineStr">
        <is>
          <t>Golden Future LPF</t>
        </is>
      </c>
      <c r="B477" s="167" t="n">
        <v>1</v>
      </c>
      <c r="C477" s="173" t="n">
        <v>100</v>
      </c>
      <c r="D477" s="174" t="n">
        <v>40</v>
      </c>
      <c r="E477" s="174" t="n">
        <v>58.8</v>
      </c>
      <c r="F477" s="174" t="n">
        <v>110.6</v>
      </c>
      <c r="G477" s="174" t="n">
        <v>105.8</v>
      </c>
      <c r="H477" s="174" t="n">
        <v>13.4</v>
      </c>
      <c r="I477" s="174" t="n">
        <v>50.4</v>
      </c>
      <c r="J477" s="174" t="n">
        <v>47</v>
      </c>
      <c r="K477" s="175" t="inlineStr">
        <is>
          <t>0917 QUNABOX GROUP</t>
        </is>
      </c>
    </row>
    <row r="478">
      <c r="A478" s="17" t="inlineStr">
        <is>
          <t>Changfeng Growth Equity Fund</t>
        </is>
      </c>
      <c r="B478" s="167" t="n">
        <v>1</v>
      </c>
      <c r="C478" s="173" t="n">
        <v>100</v>
      </c>
      <c r="D478" s="174" t="n">
        <v>38.3</v>
      </c>
      <c r="E478" s="174" t="n">
        <v>31.1</v>
      </c>
      <c r="F478" s="174" t="n">
        <v>79.40000000000001</v>
      </c>
      <c r="G478" s="174" t="n">
        <v>53.3</v>
      </c>
      <c r="H478" s="174" t="n">
        <v>-5.2</v>
      </c>
      <c r="I478" s="174" t="n">
        <v>29.7</v>
      </c>
      <c r="J478" s="174" t="n">
        <v>10.8</v>
      </c>
      <c r="K478" s="175" t="inlineStr">
        <is>
          <t>1333 BRETON</t>
        </is>
      </c>
    </row>
    <row r="479">
      <c r="A479" s="17" t="inlineStr">
        <is>
          <t>Xiaomi</t>
        </is>
      </c>
      <c r="B479" s="167" t="n">
        <v>1</v>
      </c>
      <c r="C479" s="173" t="n">
        <v>100</v>
      </c>
      <c r="D479" s="174" t="n">
        <v>37.5</v>
      </c>
      <c r="E479" s="174" t="n">
        <v>88.90000000000001</v>
      </c>
      <c r="F479" s="174" t="n">
        <v>82.7</v>
      </c>
      <c r="G479" s="174" t="n">
        <v>161.1</v>
      </c>
      <c r="H479" s="174" t="n">
        <v>37.3</v>
      </c>
      <c r="I479" s="174" t="n">
        <v>32.9</v>
      </c>
      <c r="J479" s="174" t="n">
        <v>89.90000000000001</v>
      </c>
      <c r="K479" s="175" t="inlineStr">
        <is>
          <t>3986 GIGADEVICE</t>
        </is>
      </c>
    </row>
    <row r="480">
      <c r="A480" s="17" t="inlineStr">
        <is>
          <t>TCL Industries</t>
        </is>
      </c>
      <c r="B480" s="167" t="n">
        <v>1</v>
      </c>
      <c r="C480" s="173" t="n">
        <v>100</v>
      </c>
      <c r="D480" s="174" t="n">
        <v>37.5</v>
      </c>
      <c r="E480" s="174" t="n">
        <v>88.90000000000001</v>
      </c>
      <c r="F480" s="174" t="n">
        <v>82.7</v>
      </c>
      <c r="G480" s="174" t="n">
        <v>161.1</v>
      </c>
      <c r="H480" s="174" t="n">
        <v>37.3</v>
      </c>
      <c r="I480" s="174" t="n">
        <v>32.9</v>
      </c>
      <c r="J480" s="174" t="n">
        <v>89.90000000000001</v>
      </c>
      <c r="K480" s="175" t="inlineStr">
        <is>
          <t>3986 GIGADEVICE</t>
        </is>
      </c>
    </row>
    <row r="481">
      <c r="A481" s="17" t="inlineStr">
        <is>
          <t>Yuanfeng Future Growth Fund and CGII</t>
        </is>
      </c>
      <c r="B481" s="167" t="n">
        <v>1</v>
      </c>
      <c r="C481" s="173" t="n">
        <v>100</v>
      </c>
      <c r="D481" s="174" t="n">
        <v>37.2</v>
      </c>
      <c r="E481" s="174" t="n">
        <v>49.8</v>
      </c>
      <c r="F481" s="174" t="n">
        <v>-1.1</v>
      </c>
      <c r="G481" s="174" t="n">
        <v>33.2</v>
      </c>
      <c r="H481" s="174" t="n">
        <v>9.199999999999999</v>
      </c>
      <c r="I481" s="174" t="n">
        <v>-27.9</v>
      </c>
      <c r="J481" s="174" t="n">
        <v>-2.9</v>
      </c>
      <c r="K481" s="175" t="inlineStr">
        <is>
          <t>1779 LONGBIO-B</t>
        </is>
      </c>
    </row>
    <row r="482">
      <c r="A482" s="17" t="inlineStr">
        <is>
          <t>Affluent Base Limited</t>
        </is>
      </c>
      <c r="B482" s="167" t="n">
        <v>1</v>
      </c>
      <c r="C482" s="173" t="n">
        <v>100</v>
      </c>
      <c r="D482" s="174" t="n">
        <v>36.7</v>
      </c>
      <c r="E482" s="174" t="n">
        <v>98</v>
      </c>
      <c r="F482" s="174" t="n">
        <v>71.8</v>
      </c>
      <c r="G482" s="174" t="n">
        <v>303.2</v>
      </c>
      <c r="H482" s="174" t="n">
        <v>44.8</v>
      </c>
      <c r="I482" s="174" t="n">
        <v>25.7</v>
      </c>
      <c r="J482" s="174" t="n">
        <v>195</v>
      </c>
      <c r="K482" s="175" t="inlineStr">
        <is>
          <t>2587 HEALTHYWAY INC</t>
        </is>
      </c>
    </row>
    <row r="483">
      <c r="A483" s="17" t="inlineStr">
        <is>
          <t>HW MedSpect Limited</t>
        </is>
      </c>
      <c r="B483" s="167" t="n">
        <v>1</v>
      </c>
      <c r="C483" s="173" t="n">
        <v>100</v>
      </c>
      <c r="D483" s="174" t="n">
        <v>36.7</v>
      </c>
      <c r="E483" s="174" t="n">
        <v>98</v>
      </c>
      <c r="F483" s="174" t="n">
        <v>71.8</v>
      </c>
      <c r="G483" s="174" t="n">
        <v>303.2</v>
      </c>
      <c r="H483" s="174" t="n">
        <v>44.8</v>
      </c>
      <c r="I483" s="174" t="n">
        <v>25.7</v>
      </c>
      <c r="J483" s="174" t="n">
        <v>195</v>
      </c>
      <c r="K483" s="175" t="inlineStr">
        <is>
          <t>2587 HEALTHYWAY INC</t>
        </is>
      </c>
    </row>
    <row r="484">
      <c r="A484" s="17" t="inlineStr">
        <is>
          <t>Strait One Investment LTD</t>
        </is>
      </c>
      <c r="B484" s="167" t="n">
        <v>1</v>
      </c>
      <c r="C484" s="173" t="n">
        <v>100</v>
      </c>
      <c r="D484" s="174" t="n">
        <v>36.7</v>
      </c>
      <c r="E484" s="174" t="n">
        <v>98</v>
      </c>
      <c r="F484" s="174" t="n">
        <v>71.8</v>
      </c>
      <c r="G484" s="174" t="n">
        <v>303.2</v>
      </c>
      <c r="H484" s="174" t="n">
        <v>44.8</v>
      </c>
      <c r="I484" s="174" t="n">
        <v>25.7</v>
      </c>
      <c r="J484" s="174" t="n">
        <v>195</v>
      </c>
      <c r="K484" s="175" t="inlineStr">
        <is>
          <t>2587 HEALTHYWAY INC</t>
        </is>
      </c>
    </row>
    <row r="485">
      <c r="A485" s="17" t="inlineStr">
        <is>
          <t>May Jyu Limited</t>
        </is>
      </c>
      <c r="B485" s="167" t="n">
        <v>1</v>
      </c>
      <c r="C485" s="173" t="n">
        <v>100</v>
      </c>
      <c r="D485" s="174" t="n">
        <v>36.7</v>
      </c>
      <c r="E485" s="174" t="n">
        <v>98</v>
      </c>
      <c r="F485" s="174" t="n">
        <v>71.8</v>
      </c>
      <c r="G485" s="174" t="n">
        <v>303.2</v>
      </c>
      <c r="H485" s="174" t="n">
        <v>44.8</v>
      </c>
      <c r="I485" s="174" t="n">
        <v>25.7</v>
      </c>
      <c r="J485" s="174" t="n">
        <v>195</v>
      </c>
      <c r="K485" s="175" t="inlineStr">
        <is>
          <t>2587 HEALTHYWAY INC</t>
        </is>
      </c>
    </row>
    <row r="486">
      <c r="A486" s="17" t="inlineStr">
        <is>
          <t>Jyun Jing Limited</t>
        </is>
      </c>
      <c r="B486" s="167" t="n">
        <v>1</v>
      </c>
      <c r="C486" s="173" t="n">
        <v>100</v>
      </c>
      <c r="D486" s="174" t="n">
        <v>36.7</v>
      </c>
      <c r="E486" s="174" t="n">
        <v>98</v>
      </c>
      <c r="F486" s="174" t="n">
        <v>71.8</v>
      </c>
      <c r="G486" s="174" t="n">
        <v>303.2</v>
      </c>
      <c r="H486" s="174" t="n">
        <v>44.8</v>
      </c>
      <c r="I486" s="174" t="n">
        <v>25.7</v>
      </c>
      <c r="J486" s="174" t="n">
        <v>195</v>
      </c>
      <c r="K486" s="175" t="inlineStr">
        <is>
          <t>2587 HEALTHYWAY INC</t>
        </is>
      </c>
    </row>
    <row r="487">
      <c r="A487" s="17" t="inlineStr">
        <is>
          <t>Bai Sheng Enterprises Limited</t>
        </is>
      </c>
      <c r="B487" s="167" t="n">
        <v>1</v>
      </c>
      <c r="C487" s="173" t="n">
        <v>100</v>
      </c>
      <c r="D487" s="174" t="n">
        <v>36.7</v>
      </c>
      <c r="E487" s="174" t="n">
        <v>98</v>
      </c>
      <c r="F487" s="174" t="n">
        <v>71.8</v>
      </c>
      <c r="G487" s="174" t="n">
        <v>303.2</v>
      </c>
      <c r="H487" s="174" t="n">
        <v>44.8</v>
      </c>
      <c r="I487" s="174" t="n">
        <v>25.7</v>
      </c>
      <c r="J487" s="174" t="n">
        <v>195</v>
      </c>
      <c r="K487" s="175" t="inlineStr">
        <is>
          <t>2587 HEALTHYWAY INC</t>
        </is>
      </c>
    </row>
    <row r="488">
      <c r="A488" s="17" t="inlineStr">
        <is>
          <t>Novo Holdings A / S</t>
        </is>
      </c>
      <c r="B488" s="167" t="n">
        <v>1</v>
      </c>
      <c r="C488" s="173" t="n">
        <v>100</v>
      </c>
      <c r="D488" s="174" t="n">
        <v>35.9</v>
      </c>
      <c r="E488" s="174" t="n">
        <v>40.8</v>
      </c>
      <c r="F488" s="174" t="n">
        <v>51.2</v>
      </c>
      <c r="G488" s="174" t="n">
        <v>-10</v>
      </c>
      <c r="H488" s="174" t="n">
        <v>3.6</v>
      </c>
      <c r="I488" s="174" t="n">
        <v>11.2</v>
      </c>
      <c r="J488" s="174" t="n">
        <v>-33.8</v>
      </c>
      <c r="K488" s="175" t="inlineStr">
        <is>
          <t>2268 WUXI XDC</t>
        </is>
      </c>
    </row>
    <row r="489">
      <c r="A489" s="17" t="inlineStr">
        <is>
          <t>JKKB Limited</t>
        </is>
      </c>
      <c r="B489" s="167" t="n">
        <v>1</v>
      </c>
      <c r="C489" s="173" t="n">
        <v>100</v>
      </c>
      <c r="D489" s="174" t="n">
        <v>33.7</v>
      </c>
      <c r="E489" s="174" t="n">
        <v>0.5</v>
      </c>
      <c r="F489" s="174" t="n">
        <v>16.4</v>
      </c>
      <c r="G489" s="174" t="n">
        <v>-6.5</v>
      </c>
      <c r="H489" s="174" t="n">
        <v>-24.9</v>
      </c>
      <c r="I489" s="174" t="n">
        <v>-13</v>
      </c>
      <c r="J489" s="174" t="n">
        <v>-30.1</v>
      </c>
      <c r="K489" s="175" t="inlineStr">
        <is>
          <t>2508 SAINT BELLA</t>
        </is>
      </c>
    </row>
    <row r="490">
      <c r="A490" s="17" t="inlineStr">
        <is>
          <t>Carl Wu / 吳啟楠</t>
        </is>
      </c>
      <c r="B490" s="167" t="n">
        <v>1</v>
      </c>
      <c r="C490" s="173" t="n">
        <v>100</v>
      </c>
      <c r="D490" s="174" t="n">
        <v>33.7</v>
      </c>
      <c r="E490" s="174" t="n">
        <v>0.5</v>
      </c>
      <c r="F490" s="174" t="n">
        <v>16.4</v>
      </c>
      <c r="G490" s="174" t="n">
        <v>-6.5</v>
      </c>
      <c r="H490" s="174" t="n">
        <v>-24.9</v>
      </c>
      <c r="I490" s="174" t="n">
        <v>-13</v>
      </c>
      <c r="J490" s="174" t="n">
        <v>-30.1</v>
      </c>
      <c r="K490" s="175" t="inlineStr">
        <is>
          <t>2508 SAINT BELLA</t>
        </is>
      </c>
    </row>
    <row r="491">
      <c r="A491" s="17" t="inlineStr">
        <is>
          <t>Gigantic Wealth Holdings Limited</t>
        </is>
      </c>
      <c r="B491" s="167" t="n">
        <v>1</v>
      </c>
      <c r="C491" s="173" t="n">
        <v>100</v>
      </c>
      <c r="D491" s="174" t="n">
        <v>33</v>
      </c>
      <c r="E491" s="174" t="n">
        <v>44.3</v>
      </c>
      <c r="F491" s="174" t="n">
        <v>25.5</v>
      </c>
      <c r="G491" s="174" t="n">
        <v>-10.5</v>
      </c>
      <c r="H491" s="174" t="n">
        <v>8.5</v>
      </c>
      <c r="I491" s="174" t="n">
        <v>-5.7</v>
      </c>
      <c r="J491" s="174" t="n">
        <v>-32.7</v>
      </c>
      <c r="K491" s="175" t="inlineStr">
        <is>
          <t>2219 CHAOJU EYE CARE</t>
        </is>
      </c>
    </row>
    <row r="492">
      <c r="A492" s="17" t="inlineStr">
        <is>
          <t>GT Cedar Capital (Hong Kong) Limited</t>
        </is>
      </c>
      <c r="B492" s="167" t="n">
        <v>1</v>
      </c>
      <c r="C492" s="173" t="n">
        <v>100</v>
      </c>
      <c r="D492" s="174" t="n">
        <v>33</v>
      </c>
      <c r="E492" s="174" t="n">
        <v>44.3</v>
      </c>
      <c r="F492" s="174" t="n">
        <v>25.5</v>
      </c>
      <c r="G492" s="174" t="n">
        <v>-10.5</v>
      </c>
      <c r="H492" s="174" t="n">
        <v>8.5</v>
      </c>
      <c r="I492" s="174" t="n">
        <v>-5.7</v>
      </c>
      <c r="J492" s="174" t="n">
        <v>-32.7</v>
      </c>
      <c r="K492" s="175" t="inlineStr">
        <is>
          <t>2219 CHAOJU EYE CARE</t>
        </is>
      </c>
    </row>
    <row r="493">
      <c r="A493" s="17" t="inlineStr">
        <is>
          <t>Management (HK) Limited</t>
        </is>
      </c>
      <c r="B493" s="167" t="n">
        <v>1</v>
      </c>
      <c r="C493" s="173" t="n">
        <v>100</v>
      </c>
      <c r="D493" s="174" t="n">
        <v>32.8</v>
      </c>
      <c r="E493" s="174" t="n">
        <v>59.4</v>
      </c>
      <c r="F493" s="174" t="n">
        <v>78.3</v>
      </c>
      <c r="G493" s="174" t="n">
        <v>115.7</v>
      </c>
      <c r="H493" s="174" t="n">
        <v>20.1</v>
      </c>
      <c r="I493" s="174" t="n">
        <v>34.3</v>
      </c>
      <c r="J493" s="174" t="n">
        <v>62.4</v>
      </c>
      <c r="K493" s="175" t="inlineStr">
        <is>
          <t>2788 CHUANGXIN IND</t>
        </is>
      </c>
    </row>
    <row r="494">
      <c r="A494" s="17" t="inlineStr">
        <is>
          <t>CCB International Capital Limited</t>
        </is>
      </c>
      <c r="B494" s="167" t="n">
        <v>1</v>
      </c>
      <c r="C494" s="173" t="n">
        <v>100</v>
      </c>
      <c r="D494" s="174" t="n">
        <v>31.3</v>
      </c>
      <c r="E494" s="174" t="n">
        <v>20.1</v>
      </c>
      <c r="F494" s="174" t="n">
        <v>24.4</v>
      </c>
      <c r="G494" s="174" t="n">
        <v>20.1</v>
      </c>
      <c r="H494" s="174" t="n">
        <v>-8.6</v>
      </c>
      <c r="I494" s="174" t="n">
        <v>-5.2</v>
      </c>
      <c r="J494" s="174" t="n">
        <v>-8.6</v>
      </c>
      <c r="K494" s="175" t="inlineStr">
        <is>
          <t>6960 SHUANGDENG</t>
        </is>
      </c>
    </row>
    <row r="495">
      <c r="A495" s="17" t="inlineStr">
        <is>
          <t>Connected Client CSOP Asset Management Limited</t>
        </is>
      </c>
      <c r="B495" s="167" t="n">
        <v>1</v>
      </c>
      <c r="C495" s="173" t="n">
        <v>100</v>
      </c>
      <c r="D495" s="174" t="n">
        <v>31.3</v>
      </c>
      <c r="E495" s="174" t="n">
        <v>20.1</v>
      </c>
      <c r="F495" s="174" t="n">
        <v>24.4</v>
      </c>
      <c r="G495" s="174" t="n">
        <v>20.1</v>
      </c>
      <c r="H495" s="174" t="n">
        <v>-8.6</v>
      </c>
      <c r="I495" s="174" t="n">
        <v>-5.2</v>
      </c>
      <c r="J495" s="174" t="n">
        <v>-8.6</v>
      </c>
      <c r="K495" s="175" t="inlineStr">
        <is>
          <t>6960 SHUANGDENG</t>
        </is>
      </c>
    </row>
    <row r="496">
      <c r="A496" s="17" t="inlineStr">
        <is>
          <t>Abu Dhabi Investment Authority</t>
        </is>
      </c>
      <c r="B496" s="167" t="n">
        <v>1</v>
      </c>
      <c r="C496" s="173" t="n">
        <v>100</v>
      </c>
      <c r="D496" s="174" t="n">
        <v>30.9</v>
      </c>
      <c r="E496" s="174" t="n">
        <v>55.5</v>
      </c>
      <c r="F496" s="174" t="n">
        <v>37.7</v>
      </c>
      <c r="G496" s="174" t="n">
        <v>24.9</v>
      </c>
      <c r="H496" s="174" t="n">
        <v>18.8</v>
      </c>
      <c r="I496" s="174" t="n">
        <v>5.2</v>
      </c>
      <c r="J496" s="174" t="n">
        <v>-4.6</v>
      </c>
      <c r="K496" s="175" t="inlineStr">
        <is>
          <t>2675 EDGE MEDICAL-B</t>
        </is>
      </c>
    </row>
    <row r="497">
      <c r="A497" s="17" t="inlineStr">
        <is>
          <t>China Alpha Fund Management (HK) Ltd</t>
        </is>
      </c>
      <c r="B497" s="167" t="n">
        <v>1</v>
      </c>
      <c r="C497" s="173" t="n">
        <v>100</v>
      </c>
      <c r="D497" s="174" t="n">
        <v>30.9</v>
      </c>
      <c r="E497" s="174" t="n">
        <v>55.5</v>
      </c>
      <c r="F497" s="174" t="n">
        <v>37.7</v>
      </c>
      <c r="G497" s="174" t="n">
        <v>24.9</v>
      </c>
      <c r="H497" s="174" t="n">
        <v>18.8</v>
      </c>
      <c r="I497" s="174" t="n">
        <v>5.2</v>
      </c>
      <c r="J497" s="174" t="n">
        <v>-4.6</v>
      </c>
      <c r="K497" s="175" t="inlineStr">
        <is>
          <t>2675 EDGE MEDICAL-B</t>
        </is>
      </c>
    </row>
    <row r="498">
      <c r="A498" s="17" t="inlineStr">
        <is>
          <t>Tekful Limited</t>
        </is>
      </c>
      <c r="B498" s="167" t="n">
        <v>1</v>
      </c>
      <c r="C498" s="173" t="n">
        <v>100</v>
      </c>
      <c r="D498" s="174" t="n">
        <v>30.9</v>
      </c>
      <c r="E498" s="174" t="n">
        <v>55.5</v>
      </c>
      <c r="F498" s="174" t="n">
        <v>37.7</v>
      </c>
      <c r="G498" s="174" t="n">
        <v>24.9</v>
      </c>
      <c r="H498" s="174" t="n">
        <v>18.8</v>
      </c>
      <c r="I498" s="174" t="n">
        <v>5.2</v>
      </c>
      <c r="J498" s="174" t="n">
        <v>-4.6</v>
      </c>
      <c r="K498" s="175" t="inlineStr">
        <is>
          <t>2675 EDGE MEDICAL-B</t>
        </is>
      </c>
    </row>
    <row r="499">
      <c r="A499" s="17" t="inlineStr">
        <is>
          <t>Novotech SG Holdings Pte. Ltd</t>
        </is>
      </c>
      <c r="B499" s="167" t="n">
        <v>1</v>
      </c>
      <c r="C499" s="173" t="n">
        <v>100</v>
      </c>
      <c r="D499" s="174" t="n">
        <v>30</v>
      </c>
      <c r="E499" s="174" t="n">
        <v>75</v>
      </c>
      <c r="F499" s="174" t="n">
        <v>74.7</v>
      </c>
      <c r="G499" s="174" t="n">
        <v>-2.9</v>
      </c>
      <c r="H499" s="174" t="n">
        <v>34.6</v>
      </c>
      <c r="I499" s="174" t="n">
        <v>34.4</v>
      </c>
      <c r="J499" s="174" t="n">
        <v>-25.3</v>
      </c>
      <c r="K499" s="175" t="inlineStr">
        <is>
          <t>2563 BIOSTAR PHARM-B</t>
        </is>
      </c>
    </row>
    <row r="500">
      <c r="A500" s="17" t="inlineStr">
        <is>
          <t>Mr. Li Yi</t>
        </is>
      </c>
      <c r="B500" s="167" t="n">
        <v>1</v>
      </c>
      <c r="C500" s="173" t="n">
        <v>100</v>
      </c>
      <c r="D500" s="174" t="n">
        <v>29.9</v>
      </c>
      <c r="E500" s="174" t="n">
        <v>51.5</v>
      </c>
      <c r="F500" s="174" t="n">
        <v>212.5</v>
      </c>
      <c r="G500" s="174" t="n">
        <v>18.8</v>
      </c>
      <c r="H500" s="174" t="n">
        <v>16.6</v>
      </c>
      <c r="I500" s="174" t="n">
        <v>140.5</v>
      </c>
      <c r="J500" s="174" t="n">
        <v>-8.5</v>
      </c>
      <c r="K500" s="175" t="inlineStr">
        <is>
          <t>6651 51WORLD</t>
        </is>
      </c>
    </row>
    <row r="501">
      <c r="A501" s="17" t="inlineStr">
        <is>
          <t>III, L.P.</t>
        </is>
      </c>
      <c r="B501" s="167" t="n">
        <v>1</v>
      </c>
      <c r="C501" s="173" t="n">
        <v>100</v>
      </c>
      <c r="D501" s="174" t="n">
        <v>28.8</v>
      </c>
      <c r="E501" s="174" t="n">
        <v>25.3</v>
      </c>
      <c r="F501" s="174" t="n">
        <v>44.4</v>
      </c>
      <c r="G501" s="174" t="n">
        <v>87.5</v>
      </c>
      <c r="H501" s="174" t="n">
        <v>-2.7</v>
      </c>
      <c r="I501" s="174" t="n">
        <v>12.2</v>
      </c>
      <c r="J501" s="174" t="n">
        <v>45.7</v>
      </c>
      <c r="K501" s="175" t="inlineStr">
        <is>
          <t>2629 MIRXES-B</t>
        </is>
      </c>
    </row>
    <row r="502">
      <c r="A502" s="17" t="inlineStr">
        <is>
          <t>Creation Pte. Ltd.</t>
        </is>
      </c>
      <c r="B502" s="167" t="n">
        <v>1</v>
      </c>
      <c r="C502" s="173" t="n">
        <v>100</v>
      </c>
      <c r="D502" s="174" t="n">
        <v>28.8</v>
      </c>
      <c r="E502" s="174" t="n">
        <v>25.3</v>
      </c>
      <c r="F502" s="174" t="n">
        <v>44.4</v>
      </c>
      <c r="G502" s="174" t="n">
        <v>87.5</v>
      </c>
      <c r="H502" s="174" t="n">
        <v>-2.7</v>
      </c>
      <c r="I502" s="174" t="n">
        <v>12.2</v>
      </c>
      <c r="J502" s="174" t="n">
        <v>45.7</v>
      </c>
      <c r="K502" s="175" t="inlineStr">
        <is>
          <t>2629 MIRXES-B</t>
        </is>
      </c>
    </row>
    <row r="503">
      <c r="A503" s="17" t="inlineStr">
        <is>
          <t>NHH Venture Fund, L.P</t>
        </is>
      </c>
      <c r="B503" s="167" t="n">
        <v>1</v>
      </c>
      <c r="C503" s="173" t="n">
        <v>100</v>
      </c>
      <c r="D503" s="174" t="n">
        <v>28.8</v>
      </c>
      <c r="E503" s="174" t="n">
        <v>25.3</v>
      </c>
      <c r="F503" s="174" t="n">
        <v>44.4</v>
      </c>
      <c r="G503" s="174" t="n">
        <v>87.5</v>
      </c>
      <c r="H503" s="174" t="n">
        <v>-2.7</v>
      </c>
      <c r="I503" s="174" t="n">
        <v>12.2</v>
      </c>
      <c r="J503" s="174" t="n">
        <v>45.7</v>
      </c>
      <c r="K503" s="175" t="inlineStr">
        <is>
          <t>2629 MIRXES-B</t>
        </is>
      </c>
    </row>
    <row r="504">
      <c r="A504" s="17" t="inlineStr">
        <is>
          <t>源九號有限合夥基金</t>
        </is>
      </c>
      <c r="B504" s="167" t="n">
        <v>1</v>
      </c>
      <c r="C504" s="173" t="n">
        <v>100</v>
      </c>
      <c r="D504" s="174" t="n">
        <v>28.8</v>
      </c>
      <c r="E504" s="174" t="n">
        <v>25.3</v>
      </c>
      <c r="F504" s="174" t="n">
        <v>44.4</v>
      </c>
      <c r="G504" s="174" t="n">
        <v>87.5</v>
      </c>
      <c r="H504" s="174" t="n">
        <v>-2.7</v>
      </c>
      <c r="I504" s="174" t="n">
        <v>12.2</v>
      </c>
      <c r="J504" s="174" t="n">
        <v>45.7</v>
      </c>
      <c r="K504" s="175" t="inlineStr">
        <is>
          <t>2629 MIRXES-B</t>
        </is>
      </c>
    </row>
    <row r="505">
      <c r="A505" s="17" t="inlineStr">
        <is>
          <t>SDG Alpha Win PE LPF</t>
        </is>
      </c>
      <c r="B505" s="167" t="n">
        <v>1</v>
      </c>
      <c r="C505" s="173" t="n">
        <v>100</v>
      </c>
      <c r="D505" s="174" t="n">
        <v>28.8</v>
      </c>
      <c r="E505" s="174" t="n">
        <v>25.3</v>
      </c>
      <c r="F505" s="174" t="n">
        <v>44.4</v>
      </c>
      <c r="G505" s="174" t="n">
        <v>87.5</v>
      </c>
      <c r="H505" s="174" t="n">
        <v>-2.7</v>
      </c>
      <c r="I505" s="174" t="n">
        <v>12.2</v>
      </c>
      <c r="J505" s="174" t="n">
        <v>45.7</v>
      </c>
      <c r="K505" s="175" t="inlineStr">
        <is>
          <t>2629 MIRXES-B</t>
        </is>
      </c>
    </row>
    <row r="506">
      <c r="A506" s="17" t="inlineStr">
        <is>
          <t>Holdings Company Limited</t>
        </is>
      </c>
      <c r="B506" s="167" t="n">
        <v>1</v>
      </c>
      <c r="C506" s="173" t="n">
        <v>100</v>
      </c>
      <c r="D506" s="174" t="n">
        <v>28.8</v>
      </c>
      <c r="E506" s="174" t="n">
        <v>25.3</v>
      </c>
      <c r="F506" s="174" t="n">
        <v>44.4</v>
      </c>
      <c r="G506" s="174" t="n">
        <v>87.5</v>
      </c>
      <c r="H506" s="174" t="n">
        <v>-2.7</v>
      </c>
      <c r="I506" s="174" t="n">
        <v>12.2</v>
      </c>
      <c r="J506" s="174" t="n">
        <v>45.7</v>
      </c>
      <c r="K506" s="175" t="inlineStr">
        <is>
          <t>2629 MIRXES-B</t>
        </is>
      </c>
    </row>
    <row r="507">
      <c r="A507" s="17" t="inlineStr">
        <is>
          <t>BPC SPV MRX LIMITED</t>
        </is>
      </c>
      <c r="B507" s="167" t="n">
        <v>1</v>
      </c>
      <c r="C507" s="173" t="n">
        <v>100</v>
      </c>
      <c r="D507" s="174" t="n">
        <v>28.8</v>
      </c>
      <c r="E507" s="174" t="n">
        <v>25.3</v>
      </c>
      <c r="F507" s="174" t="n">
        <v>44.4</v>
      </c>
      <c r="G507" s="174" t="n">
        <v>87.5</v>
      </c>
      <c r="H507" s="174" t="n">
        <v>-2.7</v>
      </c>
      <c r="I507" s="174" t="n">
        <v>12.2</v>
      </c>
      <c r="J507" s="174" t="n">
        <v>45.7</v>
      </c>
      <c r="K507" s="175" t="inlineStr">
        <is>
          <t>2629 MIRXES-B</t>
        </is>
      </c>
    </row>
    <row r="508">
      <c r="A508" s="17" t="inlineStr">
        <is>
          <t>Accurate Gene Limited</t>
        </is>
      </c>
      <c r="B508" s="167" t="n">
        <v>1</v>
      </c>
      <c r="C508" s="173" t="n">
        <v>100</v>
      </c>
      <c r="D508" s="174" t="n">
        <v>28.8</v>
      </c>
      <c r="E508" s="174" t="n">
        <v>25.3</v>
      </c>
      <c r="F508" s="174" t="n">
        <v>44.4</v>
      </c>
      <c r="G508" s="174" t="n">
        <v>87.5</v>
      </c>
      <c r="H508" s="174" t="n">
        <v>-2.7</v>
      </c>
      <c r="I508" s="174" t="n">
        <v>12.2</v>
      </c>
      <c r="J508" s="174" t="n">
        <v>45.7</v>
      </c>
      <c r="K508" s="175" t="inlineStr">
        <is>
          <t>2629 MIRXES-B</t>
        </is>
      </c>
    </row>
    <row r="509">
      <c r="A509" s="17" t="inlineStr">
        <is>
          <t>Technologies Pte. Ltd.</t>
        </is>
      </c>
      <c r="B509" s="167" t="n">
        <v>1</v>
      </c>
      <c r="C509" s="173" t="n">
        <v>100</v>
      </c>
      <c r="D509" s="174" t="n">
        <v>28.8</v>
      </c>
      <c r="E509" s="174" t="n">
        <v>25.3</v>
      </c>
      <c r="F509" s="174" t="n">
        <v>44.4</v>
      </c>
      <c r="G509" s="174" t="n">
        <v>87.5</v>
      </c>
      <c r="H509" s="174" t="n">
        <v>-2.7</v>
      </c>
      <c r="I509" s="174" t="n">
        <v>12.2</v>
      </c>
      <c r="J509" s="174" t="n">
        <v>45.7</v>
      </c>
      <c r="K509" s="175" t="inlineStr">
        <is>
          <t>2629 MIRXES-B</t>
        </is>
      </c>
    </row>
    <row r="510">
      <c r="A510" s="17" t="inlineStr">
        <is>
          <t>Luo Jinhong</t>
        </is>
      </c>
      <c r="B510" s="167" t="n">
        <v>1</v>
      </c>
      <c r="C510" s="173" t="n">
        <v>100</v>
      </c>
      <c r="D510" s="174" t="n">
        <v>28.4</v>
      </c>
      <c r="E510" s="174" t="n">
        <v>28</v>
      </c>
      <c r="F510" s="174" t="n">
        <v>28.9</v>
      </c>
      <c r="G510" s="174" t="n">
        <v>27.1</v>
      </c>
      <c r="H510" s="174" t="n">
        <v>-0.4</v>
      </c>
      <c r="I510" s="174" t="n">
        <v>0.4</v>
      </c>
      <c r="J510" s="174" t="n">
        <v>-1.1</v>
      </c>
      <c r="K510" s="175" t="inlineStr">
        <is>
          <t>2285 CHERVON</t>
        </is>
      </c>
    </row>
    <row r="511">
      <c r="A511" s="17" t="inlineStr">
        <is>
          <t>Double Joy Ventures Limited</t>
        </is>
      </c>
      <c r="B511" s="167" t="n">
        <v>1</v>
      </c>
      <c r="C511" s="173" t="n">
        <v>100</v>
      </c>
      <c r="D511" s="174" t="n">
        <v>27.6</v>
      </c>
      <c r="E511" s="174" t="n">
        <v>27.9</v>
      </c>
      <c r="F511" s="174" t="n">
        <v>22.5</v>
      </c>
      <c r="G511" s="174" t="n">
        <v>-6.2</v>
      </c>
      <c r="H511" s="174" t="n">
        <v>0.3</v>
      </c>
      <c r="I511" s="174" t="n">
        <v>-4</v>
      </c>
      <c r="J511" s="174" t="n">
        <v>-26.5</v>
      </c>
      <c r="K511" s="175" t="inlineStr">
        <is>
          <t>2162 KEYMED BIO-B</t>
        </is>
      </c>
    </row>
    <row r="512">
      <c r="A512" s="17" t="inlineStr">
        <is>
          <t>Zhengxin Group Investment Limited</t>
        </is>
      </c>
      <c r="B512" s="167" t="n">
        <v>1</v>
      </c>
      <c r="C512" s="173" t="n">
        <v>100</v>
      </c>
      <c r="D512" s="174" t="n">
        <v>26</v>
      </c>
      <c r="E512" s="174" t="n">
        <v>31.3</v>
      </c>
      <c r="F512" s="174" t="n">
        <v>25.5</v>
      </c>
      <c r="G512" s="174" t="n">
        <v>-12.7</v>
      </c>
      <c r="H512" s="174" t="n">
        <v>4.2</v>
      </c>
      <c r="I512" s="174" t="n">
        <v>-0.4</v>
      </c>
      <c r="J512" s="174" t="n">
        <v>-30.7</v>
      </c>
      <c r="K512" s="175" t="inlineStr">
        <is>
          <t>3636 JINXUN RESOURCE</t>
        </is>
      </c>
    </row>
    <row r="513">
      <c r="A513" s="17" t="inlineStr">
        <is>
          <t>New Asia Ferrell Asset Management Limited</t>
        </is>
      </c>
      <c r="B513" s="167" t="n">
        <v>1</v>
      </c>
      <c r="C513" s="173" t="n">
        <v>100</v>
      </c>
      <c r="D513" s="174" t="n">
        <v>26</v>
      </c>
      <c r="E513" s="174" t="n">
        <v>31.3</v>
      </c>
      <c r="F513" s="174" t="n">
        <v>25.5</v>
      </c>
      <c r="G513" s="174" t="n">
        <v>-12.7</v>
      </c>
      <c r="H513" s="174" t="n">
        <v>4.2</v>
      </c>
      <c r="I513" s="174" t="n">
        <v>-0.4</v>
      </c>
      <c r="J513" s="174" t="n">
        <v>-30.7</v>
      </c>
      <c r="K513" s="175" t="inlineStr">
        <is>
          <t>3636 JINXUN RESOURCE</t>
        </is>
      </c>
    </row>
    <row r="514">
      <c r="A514" s="17" t="inlineStr">
        <is>
          <t>Mobilewise Limited</t>
        </is>
      </c>
      <c r="B514" s="167" t="n">
        <v>1</v>
      </c>
      <c r="C514" s="173" t="n">
        <v>100</v>
      </c>
      <c r="D514" s="174" t="n">
        <v>25.9</v>
      </c>
      <c r="E514" s="174" t="n">
        <v>66.09999999999999</v>
      </c>
      <c r="F514" s="174" t="n">
        <v>139.4</v>
      </c>
      <c r="G514" s="174" t="n">
        <v>167.2</v>
      </c>
      <c r="H514" s="174" t="n">
        <v>31.9</v>
      </c>
      <c r="I514" s="174" t="n">
        <v>90.09999999999999</v>
      </c>
      <c r="J514" s="174" t="n">
        <v>112.2</v>
      </c>
      <c r="K514" s="175" t="inlineStr">
        <is>
          <t>1244 3D MEDICINES-B</t>
        </is>
      </c>
    </row>
    <row r="515">
      <c r="A515" s="17" t="inlineStr">
        <is>
          <t>NewTrails Capital</t>
        </is>
      </c>
      <c r="B515" s="167" t="n">
        <v>1</v>
      </c>
      <c r="C515" s="173" t="n">
        <v>100</v>
      </c>
      <c r="D515" s="174" t="n">
        <v>25.9</v>
      </c>
      <c r="E515" s="174" t="n">
        <v>17.7</v>
      </c>
      <c r="F515" s="174" t="n">
        <v>14.5</v>
      </c>
      <c r="G515" s="174" t="n">
        <v>17.1</v>
      </c>
      <c r="H515" s="174" t="n">
        <v>-6.5</v>
      </c>
      <c r="I515" s="174" t="n">
        <v>-9.1</v>
      </c>
      <c r="J515" s="174" t="n">
        <v>-7</v>
      </c>
      <c r="K515" s="175" t="inlineStr">
        <is>
          <t>2698 SOFTCARE</t>
        </is>
      </c>
    </row>
    <row r="516">
      <c r="A516" s="17" t="inlineStr">
        <is>
          <t>Qihui Runjin</t>
        </is>
      </c>
      <c r="B516" s="167" t="n">
        <v>1</v>
      </c>
      <c r="C516" s="173" t="n">
        <v>100</v>
      </c>
      <c r="D516" s="174" t="n">
        <v>25.9</v>
      </c>
      <c r="E516" s="174" t="n">
        <v>17.7</v>
      </c>
      <c r="F516" s="174" t="n">
        <v>14.5</v>
      </c>
      <c r="G516" s="174" t="n">
        <v>17.1</v>
      </c>
      <c r="H516" s="174" t="n">
        <v>-6.5</v>
      </c>
      <c r="I516" s="174" t="n">
        <v>-9.1</v>
      </c>
      <c r="J516" s="174" t="n">
        <v>-7</v>
      </c>
      <c r="K516" s="175" t="inlineStr">
        <is>
          <t>2698 SOFTCARE</t>
        </is>
      </c>
    </row>
    <row r="517">
      <c r="A517" s="17" t="inlineStr">
        <is>
          <t>Strategies (Asia) Pte. Ltd</t>
        </is>
      </c>
      <c r="B517" s="167" t="n">
        <v>1</v>
      </c>
      <c r="C517" s="173" t="n">
        <v>100</v>
      </c>
      <c r="D517" s="174" t="n">
        <v>25.2</v>
      </c>
      <c r="E517" s="174" t="n">
        <v>31.7</v>
      </c>
      <c r="F517" s="174" t="n">
        <v>26.8</v>
      </c>
      <c r="G517" s="174" t="n">
        <v>76.5</v>
      </c>
      <c r="H517" s="174" t="n">
        <v>5.2</v>
      </c>
      <c r="I517" s="174" t="n">
        <v>1.3</v>
      </c>
      <c r="J517" s="174" t="n">
        <v>41</v>
      </c>
      <c r="K517" s="175" t="inlineStr">
        <is>
          <t>1276 HENGRUI PHARMA</t>
        </is>
      </c>
    </row>
    <row r="518">
      <c r="A518" s="17" t="inlineStr">
        <is>
          <t>Cordial Solar</t>
        </is>
      </c>
      <c r="B518" s="167" t="n">
        <v>1</v>
      </c>
      <c r="C518" s="173" t="n">
        <v>100</v>
      </c>
      <c r="D518" s="174" t="n">
        <v>25.2</v>
      </c>
      <c r="E518" s="174" t="n">
        <v>31.7</v>
      </c>
      <c r="F518" s="174" t="n">
        <v>26.8</v>
      </c>
      <c r="G518" s="174" t="n">
        <v>76.5</v>
      </c>
      <c r="H518" s="174" t="n">
        <v>5.2</v>
      </c>
      <c r="I518" s="174" t="n">
        <v>1.3</v>
      </c>
      <c r="J518" s="174" t="n">
        <v>41</v>
      </c>
      <c r="K518" s="175" t="inlineStr">
        <is>
          <t>1276 HENGRUI PHARMA</t>
        </is>
      </c>
    </row>
    <row r="519">
      <c r="A519" s="17" t="inlineStr">
        <is>
          <t>Zhou Keting</t>
        </is>
      </c>
      <c r="B519" s="167" t="n">
        <v>1</v>
      </c>
      <c r="C519" s="173" t="n">
        <v>100</v>
      </c>
      <c r="D519" s="174" t="n">
        <v>23.9</v>
      </c>
      <c r="E519" s="174" t="n">
        <v>8.5</v>
      </c>
      <c r="F519" s="174" t="n">
        <v>-15.1</v>
      </c>
      <c r="G519" s="174" t="n">
        <v>-6.3</v>
      </c>
      <c r="H519" s="174" t="n">
        <v>-12.4</v>
      </c>
      <c r="I519" s="174" t="n">
        <v>-31.4</v>
      </c>
      <c r="J519" s="174" t="n">
        <v>-24.3</v>
      </c>
      <c r="K519" s="175" t="inlineStr">
        <is>
          <t>6687 JST GROUP</t>
        </is>
      </c>
    </row>
    <row r="520">
      <c r="A520" s="17" t="inlineStr">
        <is>
          <t>CUAM Entities</t>
        </is>
      </c>
      <c r="B520" s="167" t="n">
        <v>1</v>
      </c>
      <c r="C520" s="173" t="n">
        <v>100</v>
      </c>
      <c r="D520" s="174" t="n">
        <v>23.9</v>
      </c>
      <c r="E520" s="174" t="n">
        <v>8.5</v>
      </c>
      <c r="F520" s="174" t="n">
        <v>-15.1</v>
      </c>
      <c r="G520" s="174" t="n">
        <v>-6.3</v>
      </c>
      <c r="H520" s="174" t="n">
        <v>-12.4</v>
      </c>
      <c r="I520" s="174" t="n">
        <v>-31.4</v>
      </c>
      <c r="J520" s="174" t="n">
        <v>-24.3</v>
      </c>
      <c r="K520" s="175" t="inlineStr">
        <is>
          <t>6687 JST GROUP</t>
        </is>
      </c>
    </row>
    <row r="521">
      <c r="A521" s="17" t="inlineStr">
        <is>
          <t>GTCS Holdings</t>
        </is>
      </c>
      <c r="B521" s="167" t="n">
        <v>1</v>
      </c>
      <c r="C521" s="173" t="n">
        <v>100</v>
      </c>
      <c r="D521" s="174" t="n">
        <v>23.9</v>
      </c>
      <c r="E521" s="174" t="n">
        <v>8.5</v>
      </c>
      <c r="F521" s="174" t="n">
        <v>-15.1</v>
      </c>
      <c r="G521" s="174" t="n">
        <v>-6.3</v>
      </c>
      <c r="H521" s="174" t="n">
        <v>-12.4</v>
      </c>
      <c r="I521" s="174" t="n">
        <v>-31.4</v>
      </c>
      <c r="J521" s="174" t="n">
        <v>-24.3</v>
      </c>
      <c r="K521" s="175" t="inlineStr">
        <is>
          <t>6687 JST GROUP</t>
        </is>
      </c>
    </row>
    <row r="522">
      <c r="A522" s="17" t="inlineStr">
        <is>
          <t>Blink Field Limited</t>
        </is>
      </c>
      <c r="B522" s="167" t="n">
        <v>1</v>
      </c>
      <c r="C522" s="173" t="n">
        <v>100</v>
      </c>
      <c r="D522" s="174" t="n">
        <v>23.8</v>
      </c>
      <c r="E522" s="174" t="n">
        <v>67.09999999999999</v>
      </c>
      <c r="F522" s="174" t="n">
        <v>34.4</v>
      </c>
      <c r="G522" s="174" t="n">
        <v>102.3</v>
      </c>
      <c r="H522" s="174" t="n">
        <v>35</v>
      </c>
      <c r="I522" s="174" t="n">
        <v>8.6</v>
      </c>
      <c r="J522" s="174" t="n">
        <v>63.5</v>
      </c>
      <c r="K522" s="175" t="inlineStr">
        <is>
          <t>6683 STARPLUS LEGEND</t>
        </is>
      </c>
    </row>
    <row r="523">
      <c r="A523" s="17" t="inlineStr">
        <is>
          <t>NETDRAGON WEBSOFT INC</t>
        </is>
      </c>
      <c r="B523" s="167" t="n">
        <v>1</v>
      </c>
      <c r="C523" s="173" t="n">
        <v>100</v>
      </c>
      <c r="D523" s="174" t="n">
        <v>23.8</v>
      </c>
      <c r="E523" s="174" t="n">
        <v>67.09999999999999</v>
      </c>
      <c r="F523" s="174" t="n">
        <v>34.4</v>
      </c>
      <c r="G523" s="174" t="n">
        <v>102.3</v>
      </c>
      <c r="H523" s="174" t="n">
        <v>35</v>
      </c>
      <c r="I523" s="174" t="n">
        <v>8.6</v>
      </c>
      <c r="J523" s="174" t="n">
        <v>63.5</v>
      </c>
      <c r="K523" s="175" t="inlineStr">
        <is>
          <t>6683 STARPLUS LEGEND</t>
        </is>
      </c>
    </row>
    <row r="524">
      <c r="A524" s="17" t="inlineStr">
        <is>
          <t>Beevest Capital Limited</t>
        </is>
      </c>
      <c r="B524" s="167" t="n">
        <v>1</v>
      </c>
      <c r="C524" s="173" t="n">
        <v>100</v>
      </c>
      <c r="D524" s="174" t="n">
        <v>23.7</v>
      </c>
      <c r="E524" s="174" t="n">
        <v>21</v>
      </c>
      <c r="F524" s="174" t="n">
        <v>20.7</v>
      </c>
      <c r="G524" s="174" t="n">
        <v>39.6</v>
      </c>
      <c r="H524" s="174" t="n">
        <v>-2.2</v>
      </c>
      <c r="I524" s="174" t="n">
        <v>-2.5</v>
      </c>
      <c r="J524" s="174" t="n">
        <v>12.9</v>
      </c>
      <c r="K524" s="175" t="inlineStr">
        <is>
          <t>2509 QYUNS-B</t>
        </is>
      </c>
    </row>
    <row r="525">
      <c r="A525" s="17" t="inlineStr">
        <is>
          <t>Huadong Medicine Investment Holding (Hong Kong) Limited</t>
        </is>
      </c>
      <c r="B525" s="167" t="n">
        <v>1</v>
      </c>
      <c r="C525" s="173" t="n">
        <v>100</v>
      </c>
      <c r="D525" s="174" t="n">
        <v>23.7</v>
      </c>
      <c r="E525" s="174" t="n">
        <v>21</v>
      </c>
      <c r="F525" s="174" t="n">
        <v>20.7</v>
      </c>
      <c r="G525" s="174" t="n">
        <v>39.6</v>
      </c>
      <c r="H525" s="174" t="n">
        <v>-2.2</v>
      </c>
      <c r="I525" s="174" t="n">
        <v>-2.5</v>
      </c>
      <c r="J525" s="174" t="n">
        <v>12.9</v>
      </c>
      <c r="K525" s="175" t="inlineStr">
        <is>
          <t>2509 QYUNS-B</t>
        </is>
      </c>
    </row>
    <row r="526">
      <c r="A526" s="17" t="inlineStr">
        <is>
          <t>JianXin Medical Technology Limited</t>
        </is>
      </c>
      <c r="B526" s="167" t="n">
        <v>1</v>
      </c>
      <c r="C526" s="173" t="n">
        <v>100</v>
      </c>
      <c r="D526" s="174" t="n">
        <v>23.7</v>
      </c>
      <c r="E526" s="174" t="n">
        <v>21</v>
      </c>
      <c r="F526" s="174" t="n">
        <v>20.7</v>
      </c>
      <c r="G526" s="174" t="n">
        <v>39.6</v>
      </c>
      <c r="H526" s="174" t="n">
        <v>-2.2</v>
      </c>
      <c r="I526" s="174" t="n">
        <v>-2.5</v>
      </c>
      <c r="J526" s="174" t="n">
        <v>12.9</v>
      </c>
      <c r="K526" s="175" t="inlineStr">
        <is>
          <t>2509 QYUNS-B</t>
        </is>
      </c>
    </row>
    <row r="527">
      <c r="A527" s="17" t="inlineStr">
        <is>
          <t>Xinmin Tianshi Agricultural Industry Development Company Limited</t>
        </is>
      </c>
      <c r="B527" s="167" t="n">
        <v>1</v>
      </c>
      <c r="C527" s="173" t="n">
        <v>100</v>
      </c>
      <c r="D527" s="174" t="n">
        <v>22.7</v>
      </c>
      <c r="E527" s="174" t="n">
        <v>60.8</v>
      </c>
      <c r="F527" s="174" t="n">
        <v>61.5</v>
      </c>
      <c r="G527" s="174" t="n">
        <v>68.3</v>
      </c>
      <c r="H527" s="174" t="n">
        <v>31.1</v>
      </c>
      <c r="I527" s="174" t="n">
        <v>31.6</v>
      </c>
      <c r="J527" s="174" t="n">
        <v>37.2</v>
      </c>
      <c r="K527" s="175" t="inlineStr">
        <is>
          <t>9676 SHIYUE DAOTIAN</t>
        </is>
      </c>
    </row>
    <row r="528">
      <c r="A528" s="17" t="inlineStr">
        <is>
          <t>Bona Star Consultant Limited</t>
        </is>
      </c>
      <c r="B528" s="167" t="n">
        <v>1</v>
      </c>
      <c r="C528" s="173" t="n">
        <v>100</v>
      </c>
      <c r="D528" s="174" t="n">
        <v>22.5</v>
      </c>
      <c r="E528" s="174" t="n">
        <v>10.2</v>
      </c>
      <c r="F528" s="174" t="n">
        <v>-12.2</v>
      </c>
      <c r="G528" s="174" t="n"/>
      <c r="H528" s="174" t="n">
        <v>-10</v>
      </c>
      <c r="I528" s="174" t="n">
        <v>-28.4</v>
      </c>
      <c r="J528" s="174" t="n"/>
      <c r="K528" s="175" t="inlineStr">
        <is>
          <t>6067 SENIOR MATERIAL</t>
        </is>
      </c>
    </row>
    <row r="529">
      <c r="A529" s="17" t="inlineStr">
        <is>
          <t>JINKOSOLAR INVESTMENT LIMITED</t>
        </is>
      </c>
      <c r="B529" s="167" t="n">
        <v>1</v>
      </c>
      <c r="C529" s="173" t="n">
        <v>100</v>
      </c>
      <c r="D529" s="174" t="n">
        <v>22.5</v>
      </c>
      <c r="E529" s="174" t="n">
        <v>10.2</v>
      </c>
      <c r="F529" s="174" t="n">
        <v>-12.2</v>
      </c>
      <c r="G529" s="174" t="n"/>
      <c r="H529" s="174" t="n">
        <v>-10</v>
      </c>
      <c r="I529" s="174" t="n">
        <v>-28.4</v>
      </c>
      <c r="J529" s="174" t="n"/>
      <c r="K529" s="175" t="inlineStr">
        <is>
          <t>6067 SENIOR MATERIAL</t>
        </is>
      </c>
    </row>
    <row r="530">
      <c r="A530" s="17" t="inlineStr">
        <is>
          <t>Mondeomax Limited</t>
        </is>
      </c>
      <c r="B530" s="167" t="n">
        <v>1</v>
      </c>
      <c r="C530" s="173" t="n">
        <v>100</v>
      </c>
      <c r="D530" s="174" t="n">
        <v>22.5</v>
      </c>
      <c r="E530" s="174" t="n">
        <v>10.2</v>
      </c>
      <c r="F530" s="174" t="n">
        <v>-12.2</v>
      </c>
      <c r="G530" s="174" t="n"/>
      <c r="H530" s="174" t="n">
        <v>-10</v>
      </c>
      <c r="I530" s="174" t="n">
        <v>-28.4</v>
      </c>
      <c r="J530" s="174" t="n"/>
      <c r="K530" s="175" t="inlineStr">
        <is>
          <t>6067 SENIOR MATERIAL</t>
        </is>
      </c>
    </row>
    <row r="531">
      <c r="A531" s="17" t="inlineStr">
        <is>
          <t>SHEEN NATION HOLDINGS LIMITED</t>
        </is>
      </c>
      <c r="B531" s="167" t="n">
        <v>1</v>
      </c>
      <c r="C531" s="173" t="n">
        <v>100</v>
      </c>
      <c r="D531" s="174" t="n">
        <v>22.5</v>
      </c>
      <c r="E531" s="174" t="n">
        <v>10.2</v>
      </c>
      <c r="F531" s="174" t="n">
        <v>-12.2</v>
      </c>
      <c r="G531" s="174" t="n"/>
      <c r="H531" s="174" t="n">
        <v>-10</v>
      </c>
      <c r="I531" s="174" t="n">
        <v>-28.4</v>
      </c>
      <c r="J531" s="174" t="n"/>
      <c r="K531" s="175" t="inlineStr">
        <is>
          <t>6067 SENIOR MATERIAL</t>
        </is>
      </c>
    </row>
    <row r="532">
      <c r="A532" s="17" t="inlineStr">
        <is>
          <t>SINSANWA HOLDINGS (H.K.) CO., LIMITED</t>
        </is>
      </c>
      <c r="B532" s="167" t="n">
        <v>1</v>
      </c>
      <c r="C532" s="173" t="n">
        <v>100</v>
      </c>
      <c r="D532" s="174" t="n">
        <v>22.5</v>
      </c>
      <c r="E532" s="174" t="n">
        <v>10.2</v>
      </c>
      <c r="F532" s="174" t="n">
        <v>-12.2</v>
      </c>
      <c r="G532" s="174" t="n"/>
      <c r="H532" s="174" t="n">
        <v>-10</v>
      </c>
      <c r="I532" s="174" t="n">
        <v>-28.4</v>
      </c>
      <c r="J532" s="174" t="n"/>
      <c r="K532" s="175" t="inlineStr">
        <is>
          <t>6067 SENIOR MATERIAL</t>
        </is>
      </c>
    </row>
    <row r="533">
      <c r="A533" s="17" t="inlineStr">
        <is>
          <t>Coast Flagship Investment SPC</t>
        </is>
      </c>
      <c r="B533" s="167" t="n">
        <v>1</v>
      </c>
      <c r="C533" s="173" t="n">
        <v>100</v>
      </c>
      <c r="D533" s="174" t="n">
        <v>21.9</v>
      </c>
      <c r="E533" s="174" t="n">
        <v>10.6</v>
      </c>
      <c r="F533" s="174" t="n">
        <v>8.1</v>
      </c>
      <c r="G533" s="174" t="n">
        <v>21.1</v>
      </c>
      <c r="H533" s="174" t="n">
        <v>-9.300000000000001</v>
      </c>
      <c r="I533" s="174" t="n">
        <v>-11.3</v>
      </c>
      <c r="J533" s="174" t="n">
        <v>-0.7</v>
      </c>
      <c r="K533" s="175" t="inlineStr">
        <is>
          <t>1490 CHESHI</t>
        </is>
      </c>
    </row>
    <row r="534">
      <c r="A534" s="17" t="inlineStr">
        <is>
          <t>Goldstream Capital Management Limited</t>
        </is>
      </c>
      <c r="B534" s="167" t="n">
        <v>1</v>
      </c>
      <c r="C534" s="173" t="n">
        <v>100</v>
      </c>
      <c r="D534" s="174" t="n">
        <v>21.9</v>
      </c>
      <c r="E534" s="174" t="n">
        <v>10.6</v>
      </c>
      <c r="F534" s="174" t="n">
        <v>8.1</v>
      </c>
      <c r="G534" s="174" t="n">
        <v>21.1</v>
      </c>
      <c r="H534" s="174" t="n">
        <v>-9.300000000000001</v>
      </c>
      <c r="I534" s="174" t="n">
        <v>-11.3</v>
      </c>
      <c r="J534" s="174" t="n">
        <v>-0.7</v>
      </c>
      <c r="K534" s="175" t="inlineStr">
        <is>
          <t>1490 CHESHI</t>
        </is>
      </c>
    </row>
    <row r="535">
      <c r="A535" s="17" t="inlineStr">
        <is>
          <t>Shimmering Skyline L.P</t>
        </is>
      </c>
      <c r="B535" s="167" t="n">
        <v>1</v>
      </c>
      <c r="C535" s="173" t="n">
        <v>100</v>
      </c>
      <c r="D535" s="174" t="n">
        <v>21.9</v>
      </c>
      <c r="E535" s="174" t="n">
        <v>10.6</v>
      </c>
      <c r="F535" s="174" t="n">
        <v>8.1</v>
      </c>
      <c r="G535" s="174" t="n">
        <v>21.1</v>
      </c>
      <c r="H535" s="174" t="n">
        <v>-9.300000000000001</v>
      </c>
      <c r="I535" s="174" t="n">
        <v>-11.3</v>
      </c>
      <c r="J535" s="174" t="n">
        <v>-0.7</v>
      </c>
      <c r="K535" s="175" t="inlineStr">
        <is>
          <t>1490 CHESHI</t>
        </is>
      </c>
    </row>
    <row r="536">
      <c r="A536" s="17" t="inlineStr">
        <is>
          <t>Pingtan Xinghang Investment</t>
        </is>
      </c>
      <c r="B536" s="167" t="n">
        <v>1</v>
      </c>
      <c r="C536" s="173" t="n">
        <v>100</v>
      </c>
      <c r="D536" s="174" t="n">
        <v>21.4</v>
      </c>
      <c r="E536" s="174" t="n">
        <v>-16.8</v>
      </c>
      <c r="F536" s="174" t="n">
        <v>-34.6</v>
      </c>
      <c r="G536" s="174" t="n">
        <v>-34.9</v>
      </c>
      <c r="H536" s="174" t="n">
        <v>-31.5</v>
      </c>
      <c r="I536" s="174" t="n">
        <v>-46.1</v>
      </c>
      <c r="J536" s="174" t="n">
        <v>-46.4</v>
      </c>
      <c r="K536" s="175" t="inlineStr">
        <is>
          <t>2573 NEWTREND GROUP</t>
        </is>
      </c>
    </row>
    <row r="537">
      <c r="A537" s="17" t="inlineStr">
        <is>
          <t>Ms. Huang</t>
        </is>
      </c>
      <c r="B537" s="167" t="n">
        <v>1</v>
      </c>
      <c r="C537" s="173" t="n">
        <v>100</v>
      </c>
      <c r="D537" s="174" t="n">
        <v>21.4</v>
      </c>
      <c r="E537" s="174" t="n">
        <v>-16.8</v>
      </c>
      <c r="F537" s="174" t="n">
        <v>-34.6</v>
      </c>
      <c r="G537" s="174" t="n">
        <v>-34.9</v>
      </c>
      <c r="H537" s="174" t="n">
        <v>-31.5</v>
      </c>
      <c r="I537" s="174" t="n">
        <v>-46.1</v>
      </c>
      <c r="J537" s="174" t="n">
        <v>-46.4</v>
      </c>
      <c r="K537" s="175" t="inlineStr">
        <is>
          <t>2573 NEWTREND GROUP</t>
        </is>
      </c>
    </row>
    <row r="538">
      <c r="A538" s="17" t="inlineStr">
        <is>
          <t>Ms. He</t>
        </is>
      </c>
      <c r="B538" s="167" t="n">
        <v>1</v>
      </c>
      <c r="C538" s="173" t="n">
        <v>100</v>
      </c>
      <c r="D538" s="174" t="n">
        <v>21.4</v>
      </c>
      <c r="E538" s="174" t="n">
        <v>-16.8</v>
      </c>
      <c r="F538" s="174" t="n">
        <v>-34.6</v>
      </c>
      <c r="G538" s="174" t="n">
        <v>-34.9</v>
      </c>
      <c r="H538" s="174" t="n">
        <v>-31.5</v>
      </c>
      <c r="I538" s="174" t="n">
        <v>-46.1</v>
      </c>
      <c r="J538" s="174" t="n">
        <v>-46.4</v>
      </c>
      <c r="K538" s="175" t="inlineStr">
        <is>
          <t>2573 NEWTREND GROUP</t>
        </is>
      </c>
    </row>
    <row r="539">
      <c r="A539" s="17" t="inlineStr">
        <is>
          <t>Ms. Chen</t>
        </is>
      </c>
      <c r="B539" s="167" t="n">
        <v>1</v>
      </c>
      <c r="C539" s="173" t="n">
        <v>100</v>
      </c>
      <c r="D539" s="174" t="n">
        <v>21.4</v>
      </c>
      <c r="E539" s="174" t="n">
        <v>-16.8</v>
      </c>
      <c r="F539" s="174" t="n">
        <v>-34.6</v>
      </c>
      <c r="G539" s="174" t="n">
        <v>-34.9</v>
      </c>
      <c r="H539" s="174" t="n">
        <v>-31.5</v>
      </c>
      <c r="I539" s="174" t="n">
        <v>-46.1</v>
      </c>
      <c r="J539" s="174" t="n">
        <v>-46.4</v>
      </c>
      <c r="K539" s="175" t="inlineStr">
        <is>
          <t>2573 NEWTREND GROUP</t>
        </is>
      </c>
    </row>
    <row r="540">
      <c r="A540" s="17" t="inlineStr">
        <is>
          <t>He Win Hong Kong Holdings</t>
        </is>
      </c>
      <c r="B540" s="167" t="n">
        <v>1</v>
      </c>
      <c r="C540" s="173" t="n">
        <v>100</v>
      </c>
      <c r="D540" s="174" t="n">
        <v>21.4</v>
      </c>
      <c r="E540" s="174" t="n">
        <v>-16.8</v>
      </c>
      <c r="F540" s="174" t="n">
        <v>-34.6</v>
      </c>
      <c r="G540" s="174" t="n">
        <v>-34.9</v>
      </c>
      <c r="H540" s="174" t="n">
        <v>-31.5</v>
      </c>
      <c r="I540" s="174" t="n">
        <v>-46.1</v>
      </c>
      <c r="J540" s="174" t="n">
        <v>-46.4</v>
      </c>
      <c r="K540" s="175" t="inlineStr">
        <is>
          <t>2573 NEWTREND GROUP</t>
        </is>
      </c>
    </row>
    <row r="541">
      <c r="A541" s="17" t="inlineStr">
        <is>
          <t>Apex Insight Investment L.P</t>
        </is>
      </c>
      <c r="B541" s="167" t="n">
        <v>1</v>
      </c>
      <c r="C541" s="173" t="n">
        <v>100</v>
      </c>
      <c r="D541" s="174" t="n">
        <v>21.3</v>
      </c>
      <c r="E541" s="174" t="n">
        <v>11.2</v>
      </c>
      <c r="F541" s="174" t="n">
        <v>38.7</v>
      </c>
      <c r="G541" s="174" t="n">
        <v>25.4</v>
      </c>
      <c r="H541" s="174" t="n">
        <v>-8.300000000000001</v>
      </c>
      <c r="I541" s="174" t="n">
        <v>14.4</v>
      </c>
      <c r="J541" s="174" t="n">
        <v>3.4</v>
      </c>
      <c r="K541" s="175" t="inlineStr">
        <is>
          <t>3388 CREALITY</t>
        </is>
      </c>
    </row>
    <row r="542">
      <c r="A542" s="17" t="inlineStr">
        <is>
          <t>Colloway Group Limited</t>
        </is>
      </c>
      <c r="B542" s="167" t="n">
        <v>1</v>
      </c>
      <c r="C542" s="173" t="n">
        <v>100</v>
      </c>
      <c r="D542" s="174" t="n">
        <v>21.3</v>
      </c>
      <c r="E542" s="174" t="n">
        <v>11.2</v>
      </c>
      <c r="F542" s="174" t="n">
        <v>38.7</v>
      </c>
      <c r="G542" s="174" t="n">
        <v>25.4</v>
      </c>
      <c r="H542" s="174" t="n">
        <v>-8.300000000000001</v>
      </c>
      <c r="I542" s="174" t="n">
        <v>14.4</v>
      </c>
      <c r="J542" s="174" t="n">
        <v>3.4</v>
      </c>
      <c r="K542" s="175" t="inlineStr">
        <is>
          <t>3388 CREALITY</t>
        </is>
      </c>
    </row>
    <row r="543">
      <c r="A543" s="17" t="inlineStr">
        <is>
          <t>Dingxin (Securities) Limited</t>
        </is>
      </c>
      <c r="B543" s="167" t="n">
        <v>1</v>
      </c>
      <c r="C543" s="173" t="n">
        <v>100</v>
      </c>
      <c r="D543" s="174" t="n">
        <v>21.3</v>
      </c>
      <c r="E543" s="174" t="n">
        <v>11.2</v>
      </c>
      <c r="F543" s="174" t="n">
        <v>38.7</v>
      </c>
      <c r="G543" s="174" t="n">
        <v>25.4</v>
      </c>
      <c r="H543" s="174" t="n">
        <v>-8.300000000000001</v>
      </c>
      <c r="I543" s="174" t="n">
        <v>14.4</v>
      </c>
      <c r="J543" s="174" t="n">
        <v>3.4</v>
      </c>
      <c r="K543" s="175" t="inlineStr">
        <is>
          <t>3388 CREALITY</t>
        </is>
      </c>
    </row>
    <row r="544">
      <c r="A544" s="17" t="inlineStr">
        <is>
          <t>GBA Homeland Limited</t>
        </is>
      </c>
      <c r="B544" s="167" t="n">
        <v>1</v>
      </c>
      <c r="C544" s="173" t="n">
        <v>100</v>
      </c>
      <c r="D544" s="174" t="n">
        <v>21.3</v>
      </c>
      <c r="E544" s="174" t="n">
        <v>11.2</v>
      </c>
      <c r="F544" s="174" t="n">
        <v>38.7</v>
      </c>
      <c r="G544" s="174" t="n">
        <v>25.4</v>
      </c>
      <c r="H544" s="174" t="n">
        <v>-8.300000000000001</v>
      </c>
      <c r="I544" s="174" t="n">
        <v>14.4</v>
      </c>
      <c r="J544" s="174" t="n">
        <v>3.4</v>
      </c>
      <c r="K544" s="175" t="inlineStr">
        <is>
          <t>3388 CREALITY</t>
        </is>
      </c>
    </row>
    <row r="545">
      <c r="A545" s="17" t="inlineStr">
        <is>
          <t>Optimas ACM Fund LP</t>
        </is>
      </c>
      <c r="B545" s="167" t="n">
        <v>1</v>
      </c>
      <c r="C545" s="173" t="n">
        <v>100</v>
      </c>
      <c r="D545" s="174" t="n">
        <v>21.3</v>
      </c>
      <c r="E545" s="174" t="n">
        <v>11.2</v>
      </c>
      <c r="F545" s="174" t="n">
        <v>38.7</v>
      </c>
      <c r="G545" s="174" t="n">
        <v>25.4</v>
      </c>
      <c r="H545" s="174" t="n">
        <v>-8.300000000000001</v>
      </c>
      <c r="I545" s="174" t="n">
        <v>14.4</v>
      </c>
      <c r="J545" s="174" t="n">
        <v>3.4</v>
      </c>
      <c r="K545" s="175" t="inlineStr">
        <is>
          <t>3388 CREALITY</t>
        </is>
      </c>
    </row>
    <row r="546">
      <c r="A546" s="17" t="inlineStr">
        <is>
          <t>Yuyao Yangming Equity Investment Fund Co., Ltd</t>
        </is>
      </c>
      <c r="B546" s="167" t="n">
        <v>1</v>
      </c>
      <c r="C546" s="173" t="n">
        <v>100</v>
      </c>
      <c r="D546" s="174" t="n">
        <v>20.9</v>
      </c>
      <c r="E546" s="174" t="n">
        <v>22.3</v>
      </c>
      <c r="F546" s="174" t="n">
        <v>16.5</v>
      </c>
      <c r="G546" s="174" t="n">
        <v>10.4</v>
      </c>
      <c r="H546" s="174" t="n">
        <v>1.2</v>
      </c>
      <c r="I546" s="174" t="n">
        <v>-3.6</v>
      </c>
      <c r="J546" s="174" t="n">
        <v>-8.699999999999999</v>
      </c>
      <c r="K546" s="175" t="inlineStr">
        <is>
          <t>2105 LAEKNA-B</t>
        </is>
      </c>
    </row>
    <row r="547">
      <c r="A547" s="17" t="inlineStr">
        <is>
          <t>Guosen (HK) Financial Products Company Limited</t>
        </is>
      </c>
      <c r="B547" s="167" t="n">
        <v>1</v>
      </c>
      <c r="C547" s="173" t="n">
        <v>100</v>
      </c>
      <c r="D547" s="174" t="n">
        <v>20.6</v>
      </c>
      <c r="E547" s="174" t="n">
        <v>30.7</v>
      </c>
      <c r="F547" s="174" t="n">
        <v>47.6</v>
      </c>
      <c r="G547" s="174" t="n">
        <v>62.9</v>
      </c>
      <c r="H547" s="174" t="n">
        <v>8.300000000000001</v>
      </c>
      <c r="I547" s="174" t="n">
        <v>22.4</v>
      </c>
      <c r="J547" s="174" t="n">
        <v>35</v>
      </c>
      <c r="K547" s="175" t="inlineStr">
        <is>
          <t>2637 HAIXI PHARMA</t>
        </is>
      </c>
    </row>
    <row r="548">
      <c r="A548" s="17" t="inlineStr">
        <is>
          <t>Zhuhai Gokin New Energy Investment Co., Ltd</t>
        </is>
      </c>
      <c r="B548" s="167" t="n">
        <v>1</v>
      </c>
      <c r="C548" s="173" t="n">
        <v>100</v>
      </c>
      <c r="D548" s="174" t="n">
        <v>20.1</v>
      </c>
      <c r="E548" s="174" t="n">
        <v>3.6</v>
      </c>
      <c r="F548" s="174" t="n">
        <v>8.1</v>
      </c>
      <c r="G548" s="174" t="n">
        <v>-2.5</v>
      </c>
      <c r="H548" s="174" t="n">
        <v>-13.7</v>
      </c>
      <c r="I548" s="174" t="n">
        <v>-10</v>
      </c>
      <c r="J548" s="174" t="n">
        <v>-18.8</v>
      </c>
      <c r="K548" s="175" t="inlineStr">
        <is>
          <t>2865 DRINDA</t>
        </is>
      </c>
    </row>
    <row r="549">
      <c r="A549" s="17" t="inlineStr">
        <is>
          <t>Modern Direct Investment New Energy Technology Co., Limited</t>
        </is>
      </c>
      <c r="B549" s="167" t="n">
        <v>1</v>
      </c>
      <c r="C549" s="173" t="n">
        <v>100</v>
      </c>
      <c r="D549" s="174" t="n">
        <v>20.1</v>
      </c>
      <c r="E549" s="174" t="n">
        <v>3.6</v>
      </c>
      <c r="F549" s="174" t="n">
        <v>8.1</v>
      </c>
      <c r="G549" s="174" t="n">
        <v>-2.5</v>
      </c>
      <c r="H549" s="174" t="n">
        <v>-13.7</v>
      </c>
      <c r="I549" s="174" t="n">
        <v>-10</v>
      </c>
      <c r="J549" s="174" t="n">
        <v>-18.8</v>
      </c>
      <c r="K549" s="175" t="inlineStr">
        <is>
          <t>2865 DRINDA</t>
        </is>
      </c>
    </row>
    <row r="550">
      <c r="A550" s="17" t="inlineStr">
        <is>
          <t>Yue Chuang New Energy HK Limited</t>
        </is>
      </c>
      <c r="B550" s="167" t="n">
        <v>1</v>
      </c>
      <c r="C550" s="173" t="n">
        <v>100</v>
      </c>
      <c r="D550" s="174" t="n">
        <v>20</v>
      </c>
      <c r="E550" s="174" t="n">
        <v>48.5</v>
      </c>
      <c r="F550" s="174" t="n">
        <v>69.8</v>
      </c>
      <c r="G550" s="174" t="n">
        <v>132.2</v>
      </c>
      <c r="H550" s="174" t="n">
        <v>23.8</v>
      </c>
      <c r="I550" s="174" t="n">
        <v>41.5</v>
      </c>
      <c r="J550" s="174" t="n">
        <v>93.5</v>
      </c>
      <c r="K550" s="175" t="inlineStr">
        <is>
          <t>2582 GUOFUHEE</t>
        </is>
      </c>
    </row>
    <row r="551">
      <c r="A551" s="17" t="inlineStr">
        <is>
          <t>Barjai Trading Company Limited</t>
        </is>
      </c>
      <c r="B551" s="167" t="n">
        <v>1</v>
      </c>
      <c r="C551" s="173" t="n">
        <v>100</v>
      </c>
      <c r="D551" s="174" t="n">
        <v>18.5</v>
      </c>
      <c r="E551" s="174" t="n">
        <v>40</v>
      </c>
      <c r="F551" s="174" t="n">
        <v>90.2</v>
      </c>
      <c r="G551" s="174" t="n">
        <v>125.3</v>
      </c>
      <c r="H551" s="174" t="n">
        <v>18.2</v>
      </c>
      <c r="I551" s="174" t="n">
        <v>60.6</v>
      </c>
      <c r="J551" s="174" t="n">
        <v>90.2</v>
      </c>
      <c r="K551" s="175" t="inlineStr">
        <is>
          <t>2556 MARKETINGFORCE</t>
        </is>
      </c>
    </row>
    <row r="552">
      <c r="A552" s="17" t="inlineStr">
        <is>
          <t>VH Nanchang Donghu Asset Capital LPF</t>
        </is>
      </c>
      <c r="B552" s="167" t="n">
        <v>1</v>
      </c>
      <c r="C552" s="173" t="n">
        <v>100</v>
      </c>
      <c r="D552" s="174" t="n">
        <v>18.5</v>
      </c>
      <c r="E552" s="174" t="n">
        <v>40</v>
      </c>
      <c r="F552" s="174" t="n">
        <v>90.2</v>
      </c>
      <c r="G552" s="174" t="n">
        <v>125.3</v>
      </c>
      <c r="H552" s="174" t="n">
        <v>18.2</v>
      </c>
      <c r="I552" s="174" t="n">
        <v>60.6</v>
      </c>
      <c r="J552" s="174" t="n">
        <v>90.2</v>
      </c>
      <c r="K552" s="175" t="inlineStr">
        <is>
          <t>2556 MARKETINGFORCE</t>
        </is>
      </c>
    </row>
    <row r="553">
      <c r="A553" s="17" t="inlineStr">
        <is>
          <t>Kuwait Investment</t>
        </is>
      </c>
      <c r="B553" s="167" t="n">
        <v>1</v>
      </c>
      <c r="C553" s="173" t="n">
        <v>100</v>
      </c>
      <c r="D553" s="174" t="n">
        <v>16.4</v>
      </c>
      <c r="E553" s="174" t="n">
        <v>17.5</v>
      </c>
      <c r="F553" s="174" t="n">
        <v>16.5</v>
      </c>
      <c r="G553" s="174" t="n">
        <v>57.4</v>
      </c>
      <c r="H553" s="174" t="n">
        <v>0.9</v>
      </c>
      <c r="I553" s="174" t="n">
        <v>0.1</v>
      </c>
      <c r="J553" s="174" t="n">
        <v>35.2</v>
      </c>
      <c r="K553" s="175" t="inlineStr">
        <is>
          <t>3750 CATL</t>
        </is>
      </c>
    </row>
    <row r="554">
      <c r="A554" s="17" t="inlineStr">
        <is>
          <t>Zenith Hop International Limited</t>
        </is>
      </c>
      <c r="B554" s="167" t="n">
        <v>1</v>
      </c>
      <c r="C554" s="173" t="n">
        <v>100</v>
      </c>
      <c r="D554" s="174" t="n">
        <v>16.4</v>
      </c>
      <c r="E554" s="174" t="n">
        <v>17.5</v>
      </c>
      <c r="F554" s="174" t="n">
        <v>16.5</v>
      </c>
      <c r="G554" s="174" t="n">
        <v>57.4</v>
      </c>
      <c r="H554" s="174" t="n">
        <v>0.9</v>
      </c>
      <c r="I554" s="174" t="n">
        <v>0.1</v>
      </c>
      <c r="J554" s="174" t="n">
        <v>35.2</v>
      </c>
      <c r="K554" s="175" t="inlineStr">
        <is>
          <t>3750 CATL</t>
        </is>
      </c>
    </row>
    <row r="555">
      <c r="A555" s="17" t="inlineStr">
        <is>
          <t>UG Investment</t>
        </is>
      </c>
      <c r="B555" s="167" t="n">
        <v>1</v>
      </c>
      <c r="C555" s="173" t="n">
        <v>100</v>
      </c>
      <c r="D555" s="174" t="n">
        <v>16.2</v>
      </c>
      <c r="E555" s="174" t="n">
        <v>11.2</v>
      </c>
      <c r="F555" s="174" t="n">
        <v>-0.1</v>
      </c>
      <c r="G555" s="174" t="n">
        <v>-25.1</v>
      </c>
      <c r="H555" s="174" t="n">
        <v>-4.3</v>
      </c>
      <c r="I555" s="174" t="n">
        <v>-14</v>
      </c>
      <c r="J555" s="174" t="n">
        <v>-35.5</v>
      </c>
      <c r="K555" s="175" t="inlineStr">
        <is>
          <t>0501 OMNIVISION</t>
        </is>
      </c>
    </row>
    <row r="556">
      <c r="A556" s="17" t="inlineStr">
        <is>
          <t>OPPO (Tiantian Trading)</t>
        </is>
      </c>
      <c r="B556" s="167" t="n">
        <v>1</v>
      </c>
      <c r="C556" s="173" t="n">
        <v>100</v>
      </c>
      <c r="D556" s="174" t="n">
        <v>16.2</v>
      </c>
      <c r="E556" s="174" t="n">
        <v>11.2</v>
      </c>
      <c r="F556" s="174" t="n">
        <v>-0.1</v>
      </c>
      <c r="G556" s="174" t="n">
        <v>-25.1</v>
      </c>
      <c r="H556" s="174" t="n">
        <v>-4.3</v>
      </c>
      <c r="I556" s="174" t="n">
        <v>-14</v>
      </c>
      <c r="J556" s="174" t="n">
        <v>-35.5</v>
      </c>
      <c r="K556" s="175" t="inlineStr">
        <is>
          <t>0501 OMNIVISION</t>
        </is>
      </c>
    </row>
    <row r="557">
      <c r="A557" s="17" t="inlineStr">
        <is>
          <t>Torus</t>
        </is>
      </c>
      <c r="B557" s="167" t="n">
        <v>1</v>
      </c>
      <c r="C557" s="173" t="n">
        <v>100</v>
      </c>
      <c r="D557" s="174" t="n">
        <v>16</v>
      </c>
      <c r="E557" s="174" t="n">
        <v>25.8</v>
      </c>
      <c r="F557" s="174" t="n">
        <v>30.9</v>
      </c>
      <c r="G557" s="174" t="n">
        <v>65.09999999999999</v>
      </c>
      <c r="H557" s="174" t="n">
        <v>8.4</v>
      </c>
      <c r="I557" s="174" t="n">
        <v>12.8</v>
      </c>
      <c r="J557" s="174" t="n">
        <v>42.3</v>
      </c>
      <c r="K557" s="175" t="inlineStr">
        <is>
          <t>1304 FORTIOR</t>
        </is>
      </c>
    </row>
    <row r="558">
      <c r="A558" s="17" t="inlineStr">
        <is>
          <t>Intac</t>
        </is>
      </c>
      <c r="B558" s="167" t="n">
        <v>1</v>
      </c>
      <c r="C558" s="173" t="n">
        <v>100</v>
      </c>
      <c r="D558" s="174" t="n">
        <v>16</v>
      </c>
      <c r="E558" s="174" t="n">
        <v>25.8</v>
      </c>
      <c r="F558" s="174" t="n">
        <v>30.9</v>
      </c>
      <c r="G558" s="174" t="n">
        <v>65.09999999999999</v>
      </c>
      <c r="H558" s="174" t="n">
        <v>8.4</v>
      </c>
      <c r="I558" s="174" t="n">
        <v>12.8</v>
      </c>
      <c r="J558" s="174" t="n">
        <v>42.3</v>
      </c>
      <c r="K558" s="175" t="inlineStr">
        <is>
          <t>1304 FORTIOR</t>
        </is>
      </c>
    </row>
    <row r="559">
      <c r="A559" s="17" t="inlineStr">
        <is>
          <t>Franklin Templeton Sealand Fund Management Co., Ltd</t>
        </is>
      </c>
      <c r="B559" s="167" t="n">
        <v>1</v>
      </c>
      <c r="C559" s="173" t="n">
        <v>100</v>
      </c>
      <c r="D559" s="174" t="n">
        <v>15.7</v>
      </c>
      <c r="E559" s="174" t="n">
        <v>1.3</v>
      </c>
      <c r="F559" s="174" t="n">
        <v>10.6</v>
      </c>
      <c r="G559" s="174" t="n"/>
      <c r="H559" s="174" t="n">
        <v>-12.4</v>
      </c>
      <c r="I559" s="174" t="n">
        <v>-4.4</v>
      </c>
      <c r="J559" s="174" t="n"/>
      <c r="K559" s="175" t="inlineStr">
        <is>
          <t>0668 ANKER</t>
        </is>
      </c>
    </row>
    <row r="560">
      <c r="A560" s="17" t="inlineStr">
        <is>
          <t>Principal Asset Management Company (Asia) Limited</t>
        </is>
      </c>
      <c r="B560" s="167" t="n">
        <v>1</v>
      </c>
      <c r="C560" s="173" t="n">
        <v>100</v>
      </c>
      <c r="D560" s="174" t="n">
        <v>15.7</v>
      </c>
      <c r="E560" s="174" t="n">
        <v>1.3</v>
      </c>
      <c r="F560" s="174" t="n">
        <v>10.6</v>
      </c>
      <c r="G560" s="174" t="n"/>
      <c r="H560" s="174" t="n">
        <v>-12.4</v>
      </c>
      <c r="I560" s="174" t="n">
        <v>-4.4</v>
      </c>
      <c r="J560" s="174" t="n"/>
      <c r="K560" s="175" t="inlineStr">
        <is>
          <t>0668 ANKER</t>
        </is>
      </c>
    </row>
    <row r="561">
      <c r="A561" s="17" t="inlineStr">
        <is>
          <t>All View Focus Fund LPF</t>
        </is>
      </c>
      <c r="B561" s="167" t="n">
        <v>1</v>
      </c>
      <c r="C561" s="173" t="n">
        <v>100</v>
      </c>
      <c r="D561" s="174" t="n">
        <v>15.2</v>
      </c>
      <c r="E561" s="174" t="n">
        <v>28.6</v>
      </c>
      <c r="F561" s="174" t="n">
        <v>89</v>
      </c>
      <c r="G561" s="174" t="n"/>
      <c r="H561" s="174" t="n">
        <v>11.7</v>
      </c>
      <c r="I561" s="174" t="n">
        <v>64</v>
      </c>
      <c r="J561" s="174" t="n"/>
      <c r="K561" s="175" t="inlineStr">
        <is>
          <t>3752 ROKAE ROBOTICS</t>
        </is>
      </c>
    </row>
    <row r="562">
      <c r="A562" s="17" t="inlineStr">
        <is>
          <t>Beijing Financial Street Capital Operation Group Co., Ltd</t>
        </is>
      </c>
      <c r="B562" s="167" t="n">
        <v>1</v>
      </c>
      <c r="C562" s="173" t="n">
        <v>100</v>
      </c>
      <c r="D562" s="174" t="n">
        <v>15.2</v>
      </c>
      <c r="E562" s="174" t="n">
        <v>28.6</v>
      </c>
      <c r="F562" s="174" t="n">
        <v>89</v>
      </c>
      <c r="G562" s="174" t="n"/>
      <c r="H562" s="174" t="n">
        <v>11.7</v>
      </c>
      <c r="I562" s="174" t="n">
        <v>64</v>
      </c>
      <c r="J562" s="174" t="n"/>
      <c r="K562" s="175" t="inlineStr">
        <is>
          <t>3752 ROKAE ROBOTICS</t>
        </is>
      </c>
    </row>
    <row r="563">
      <c r="A563" s="17" t="inlineStr">
        <is>
          <t>China Travel Service (Holdings) Hong Kong Limited</t>
        </is>
      </c>
      <c r="B563" s="167" t="n">
        <v>1</v>
      </c>
      <c r="C563" s="173" t="n">
        <v>100</v>
      </c>
      <c r="D563" s="174" t="n">
        <v>15</v>
      </c>
      <c r="E563" s="174" t="n">
        <v>6.6</v>
      </c>
      <c r="F563" s="174" t="n">
        <v>-15</v>
      </c>
      <c r="G563" s="174" t="n">
        <v>-18.1</v>
      </c>
      <c r="H563" s="174" t="n">
        <v>-7.3</v>
      </c>
      <c r="I563" s="174" t="n">
        <v>-26.1</v>
      </c>
      <c r="J563" s="174" t="n">
        <v>-28.8</v>
      </c>
      <c r="K563" s="175" t="inlineStr">
        <is>
          <t>2460 CR BEVERAGE</t>
        </is>
      </c>
    </row>
    <row r="564">
      <c r="A564" s="17" t="inlineStr">
        <is>
          <t>Wildlife Willow Limited</t>
        </is>
      </c>
      <c r="B564" s="167" t="n">
        <v>1</v>
      </c>
      <c r="C564" s="173" t="n">
        <v>100</v>
      </c>
      <c r="D564" s="174" t="n">
        <v>15</v>
      </c>
      <c r="E564" s="174" t="n">
        <v>6.6</v>
      </c>
      <c r="F564" s="174" t="n">
        <v>-15</v>
      </c>
      <c r="G564" s="174" t="n">
        <v>-18.1</v>
      </c>
      <c r="H564" s="174" t="n">
        <v>-7.3</v>
      </c>
      <c r="I564" s="174" t="n">
        <v>-26.1</v>
      </c>
      <c r="J564" s="174" t="n">
        <v>-28.8</v>
      </c>
      <c r="K564" s="175" t="inlineStr">
        <is>
          <t>2460 CR BEVERAGE</t>
        </is>
      </c>
    </row>
    <row r="565">
      <c r="A565" s="17" t="inlineStr">
        <is>
          <t>Asia Pacific Limited</t>
        </is>
      </c>
      <c r="B565" s="167" t="n">
        <v>1</v>
      </c>
      <c r="C565" s="173" t="n">
        <v>100</v>
      </c>
      <c r="D565" s="174" t="n">
        <v>14.9</v>
      </c>
      <c r="E565" s="174" t="n">
        <v>30</v>
      </c>
      <c r="F565" s="174" t="n">
        <v>0.9</v>
      </c>
      <c r="G565" s="174" t="n">
        <v>-17.4</v>
      </c>
      <c r="H565" s="174" t="n">
        <v>13.1</v>
      </c>
      <c r="I565" s="174" t="n">
        <v>-12.2</v>
      </c>
      <c r="J565" s="174" t="n">
        <v>-28.2</v>
      </c>
      <c r="K565" s="175" t="inlineStr">
        <is>
          <t>2543 DAHON TECH</t>
        </is>
      </c>
    </row>
    <row r="566">
      <c r="A566" s="17" t="inlineStr">
        <is>
          <t>Allianz Global Investors Asia Pacific Limited</t>
        </is>
      </c>
      <c r="B566" s="167" t="n">
        <v>1</v>
      </c>
      <c r="C566" s="173" t="n">
        <v>100</v>
      </c>
      <c r="D566" s="174" t="n">
        <v>14.9</v>
      </c>
      <c r="E566" s="174" t="n">
        <v>30</v>
      </c>
      <c r="F566" s="174" t="n">
        <v>0.9</v>
      </c>
      <c r="G566" s="174" t="n">
        <v>-17.4</v>
      </c>
      <c r="H566" s="174" t="n">
        <v>13.1</v>
      </c>
      <c r="I566" s="174" t="n">
        <v>-12.2</v>
      </c>
      <c r="J566" s="174" t="n">
        <v>-28.2</v>
      </c>
      <c r="K566" s="175" t="inlineStr">
        <is>
          <t>2543 DAHON TECH</t>
        </is>
      </c>
    </row>
    <row r="567">
      <c r="A567" s="17" t="inlineStr">
        <is>
          <t>GBAD Fund Management</t>
        </is>
      </c>
      <c r="B567" s="167" t="n">
        <v>1</v>
      </c>
      <c r="C567" s="173" t="n">
        <v>100</v>
      </c>
      <c r="D567" s="174" t="n">
        <v>14.9</v>
      </c>
      <c r="E567" s="174" t="n">
        <v>30</v>
      </c>
      <c r="F567" s="174" t="n">
        <v>0.9</v>
      </c>
      <c r="G567" s="174" t="n">
        <v>-17.4</v>
      </c>
      <c r="H567" s="174" t="n">
        <v>13.1</v>
      </c>
      <c r="I567" s="174" t="n">
        <v>-12.2</v>
      </c>
      <c r="J567" s="174" t="n">
        <v>-28.2</v>
      </c>
      <c r="K567" s="175" t="inlineStr">
        <is>
          <t>2543 DAHON TECH</t>
        </is>
      </c>
    </row>
    <row r="568">
      <c r="A568" s="17" t="inlineStr">
        <is>
          <t>Dahon Tech Enterprise LP</t>
        </is>
      </c>
      <c r="B568" s="167" t="n">
        <v>1</v>
      </c>
      <c r="C568" s="173" t="n">
        <v>100</v>
      </c>
      <c r="D568" s="174" t="n">
        <v>14.9</v>
      </c>
      <c r="E568" s="174" t="n">
        <v>30</v>
      </c>
      <c r="F568" s="174" t="n">
        <v>0.9</v>
      </c>
      <c r="G568" s="174" t="n">
        <v>-17.4</v>
      </c>
      <c r="H568" s="174" t="n">
        <v>13.1</v>
      </c>
      <c r="I568" s="174" t="n">
        <v>-12.2</v>
      </c>
      <c r="J568" s="174" t="n">
        <v>-28.2</v>
      </c>
      <c r="K568" s="175" t="inlineStr">
        <is>
          <t>2543 DAHON TECH</t>
        </is>
      </c>
    </row>
    <row r="569">
      <c r="A569" s="17" t="inlineStr">
        <is>
          <t>Industrial Bank WM</t>
        </is>
      </c>
      <c r="B569" s="167" t="n">
        <v>1</v>
      </c>
      <c r="C569" s="173" t="n">
        <v>100</v>
      </c>
      <c r="D569" s="174" t="n">
        <v>14.8</v>
      </c>
      <c r="E569" s="174" t="n">
        <v>17.5</v>
      </c>
      <c r="F569" s="174" t="n">
        <v>21.9</v>
      </c>
      <c r="G569" s="174" t="n">
        <v>69.40000000000001</v>
      </c>
      <c r="H569" s="174" t="n">
        <v>2.4</v>
      </c>
      <c r="I569" s="174" t="n">
        <v>6.2</v>
      </c>
      <c r="J569" s="174" t="n">
        <v>47.5</v>
      </c>
      <c r="K569" s="175" t="inlineStr">
        <is>
          <t>3200 HANS CNC</t>
        </is>
      </c>
    </row>
    <row r="570">
      <c r="A570" s="17" t="inlineStr">
        <is>
          <t>Emsdom Limited</t>
        </is>
      </c>
      <c r="B570" s="167" t="n">
        <v>1</v>
      </c>
      <c r="C570" s="173" t="n">
        <v>100</v>
      </c>
      <c r="D570" s="174" t="n">
        <v>14.3</v>
      </c>
      <c r="E570" s="174" t="n">
        <v>9.5</v>
      </c>
      <c r="F570" s="174" t="n">
        <v>-19.1</v>
      </c>
      <c r="G570" s="174" t="n">
        <v>-15.2</v>
      </c>
      <c r="H570" s="174" t="n">
        <v>-4.2</v>
      </c>
      <c r="I570" s="174" t="n">
        <v>-29.2</v>
      </c>
      <c r="J570" s="174" t="n">
        <v>-25.8</v>
      </c>
      <c r="K570" s="175" t="inlineStr">
        <is>
          <t>1334 RUICHANG INTL</t>
        </is>
      </c>
    </row>
    <row r="571">
      <c r="A571" s="17" t="inlineStr">
        <is>
          <t>Shanghai Huijin Asset Management Co., Ltd</t>
        </is>
      </c>
      <c r="B571" s="167" t="n">
        <v>1</v>
      </c>
      <c r="C571" s="173" t="n">
        <v>100</v>
      </c>
      <c r="D571" s="174" t="n">
        <v>13.8</v>
      </c>
      <c r="E571" s="174" t="n">
        <v>26.5</v>
      </c>
      <c r="F571" s="174" t="n">
        <v>93.8</v>
      </c>
      <c r="G571" s="174" t="n">
        <v>61.5</v>
      </c>
      <c r="H571" s="174" t="n">
        <v>11.1</v>
      </c>
      <c r="I571" s="174" t="n">
        <v>70.3</v>
      </c>
      <c r="J571" s="174" t="n">
        <v>41.9</v>
      </c>
      <c r="K571" s="175" t="inlineStr">
        <is>
          <t>6616 GLOBAL NEW MAT</t>
        </is>
      </c>
    </row>
    <row r="572">
      <c r="A572" s="17" t="inlineStr">
        <is>
          <t>YBN Investments</t>
        </is>
      </c>
      <c r="B572" s="167" t="n">
        <v>1</v>
      </c>
      <c r="C572" s="173" t="n">
        <v>100</v>
      </c>
      <c r="D572" s="174" t="n">
        <v>13.8</v>
      </c>
      <c r="E572" s="174" t="n">
        <v>26.5</v>
      </c>
      <c r="F572" s="174" t="n">
        <v>93.8</v>
      </c>
      <c r="G572" s="174" t="n">
        <v>61.5</v>
      </c>
      <c r="H572" s="174" t="n">
        <v>11.1</v>
      </c>
      <c r="I572" s="174" t="n">
        <v>70.3</v>
      </c>
      <c r="J572" s="174" t="n">
        <v>41.9</v>
      </c>
      <c r="K572" s="175" t="inlineStr">
        <is>
          <t>6616 GLOBAL NEW MAT</t>
        </is>
      </c>
    </row>
    <row r="573">
      <c r="A573" s="17" t="inlineStr">
        <is>
          <t>Aether Wave Fund L.P</t>
        </is>
      </c>
      <c r="B573" s="167" t="n">
        <v>1</v>
      </c>
      <c r="C573" s="173" t="n">
        <v>100</v>
      </c>
      <c r="D573" s="174" t="n">
        <v>13.5</v>
      </c>
      <c r="E573" s="174" t="n">
        <v>3.9</v>
      </c>
      <c r="F573" s="174" t="n">
        <v>7.5</v>
      </c>
      <c r="G573" s="174" t="n">
        <v>-14</v>
      </c>
      <c r="H573" s="174" t="n">
        <v>-8.4</v>
      </c>
      <c r="I573" s="174" t="n">
        <v>-5.2</v>
      </c>
      <c r="J573" s="174" t="n">
        <v>-24.2</v>
      </c>
      <c r="K573" s="175" t="inlineStr">
        <is>
          <t>3355 FS.COM</t>
        </is>
      </c>
    </row>
    <row r="574">
      <c r="A574" s="17" t="inlineStr">
        <is>
          <t>Great Holding Development Limited</t>
        </is>
      </c>
      <c r="B574" s="167" t="n">
        <v>1</v>
      </c>
      <c r="C574" s="173" t="n">
        <v>100</v>
      </c>
      <c r="D574" s="174" t="n">
        <v>13.5</v>
      </c>
      <c r="E574" s="174" t="n">
        <v>3.9</v>
      </c>
      <c r="F574" s="174" t="n">
        <v>7.5</v>
      </c>
      <c r="G574" s="174" t="n">
        <v>-14</v>
      </c>
      <c r="H574" s="174" t="n">
        <v>-8.4</v>
      </c>
      <c r="I574" s="174" t="n">
        <v>-5.2</v>
      </c>
      <c r="J574" s="174" t="n">
        <v>-24.2</v>
      </c>
      <c r="K574" s="175" t="inlineStr">
        <is>
          <t>3355 FS.COM</t>
        </is>
      </c>
    </row>
    <row r="575">
      <c r="A575" s="17" t="inlineStr">
        <is>
          <t>Wider Huge Group Limited</t>
        </is>
      </c>
      <c r="B575" s="167" t="n">
        <v>1</v>
      </c>
      <c r="C575" s="173" t="n">
        <v>100</v>
      </c>
      <c r="D575" s="174" t="n">
        <v>13.5</v>
      </c>
      <c r="E575" s="174" t="n">
        <v>3.9</v>
      </c>
      <c r="F575" s="174" t="n">
        <v>7.5</v>
      </c>
      <c r="G575" s="174" t="n">
        <v>-14</v>
      </c>
      <c r="H575" s="174" t="n">
        <v>-8.4</v>
      </c>
      <c r="I575" s="174" t="n">
        <v>-5.2</v>
      </c>
      <c r="J575" s="174" t="n">
        <v>-24.2</v>
      </c>
      <c r="K575" s="175" t="inlineStr">
        <is>
          <t>3355 FS.COM</t>
        </is>
      </c>
    </row>
    <row r="576">
      <c r="A576" s="17" t="inlineStr">
        <is>
          <t>Health Vision Hong Kong Limited</t>
        </is>
      </c>
      <c r="B576" s="167" t="n">
        <v>1</v>
      </c>
      <c r="C576" s="173" t="n">
        <v>100</v>
      </c>
      <c r="D576" s="174" t="n">
        <v>13.4</v>
      </c>
      <c r="E576" s="174" t="n">
        <v>-3.2</v>
      </c>
      <c r="F576" s="174" t="n">
        <v>9.1</v>
      </c>
      <c r="G576" s="174" t="n">
        <v>-54.5</v>
      </c>
      <c r="H576" s="174" t="n">
        <v>-14.6</v>
      </c>
      <c r="I576" s="174" t="n">
        <v>-3.8</v>
      </c>
      <c r="J576" s="174" t="n">
        <v>-59.9</v>
      </c>
      <c r="K576" s="175" t="inlineStr">
        <is>
          <t>2677 DISTINCT HEALTH</t>
        </is>
      </c>
    </row>
    <row r="577">
      <c r="A577" s="17" t="inlineStr">
        <is>
          <t>KingMed Diagnostics (Hong Kong) Limited (ਹᏨ᜕ (ಥ)ʮ̡</t>
        </is>
      </c>
      <c r="B577" s="167" t="n">
        <v>1</v>
      </c>
      <c r="C577" s="173" t="n">
        <v>100</v>
      </c>
      <c r="D577" s="174" t="n">
        <v>13.4</v>
      </c>
      <c r="E577" s="174" t="n">
        <v>-3.2</v>
      </c>
      <c r="F577" s="174" t="n">
        <v>9.1</v>
      </c>
      <c r="G577" s="174" t="n">
        <v>-54.5</v>
      </c>
      <c r="H577" s="174" t="n">
        <v>-14.6</v>
      </c>
      <c r="I577" s="174" t="n">
        <v>-3.8</v>
      </c>
      <c r="J577" s="174" t="n">
        <v>-59.9</v>
      </c>
      <c r="K577" s="175" t="inlineStr">
        <is>
          <t>2677 DISTINCT HEALTH</t>
        </is>
      </c>
    </row>
    <row r="578">
      <c r="A578" s="17" t="inlineStr">
        <is>
          <t>Mininglamp Technology</t>
        </is>
      </c>
      <c r="B578" s="167" t="n">
        <v>1</v>
      </c>
      <c r="C578" s="173" t="n">
        <v>100</v>
      </c>
      <c r="D578" s="174" t="n">
        <v>13.4</v>
      </c>
      <c r="E578" s="174" t="n">
        <v>-3.2</v>
      </c>
      <c r="F578" s="174" t="n">
        <v>9.1</v>
      </c>
      <c r="G578" s="174" t="n">
        <v>-54.5</v>
      </c>
      <c r="H578" s="174" t="n">
        <v>-14.6</v>
      </c>
      <c r="I578" s="174" t="n">
        <v>-3.8</v>
      </c>
      <c r="J578" s="174" t="n">
        <v>-59.9</v>
      </c>
      <c r="K578" s="175" t="inlineStr">
        <is>
          <t>2677 DISTINCT HEALTH</t>
        </is>
      </c>
    </row>
    <row r="579">
      <c r="A579" s="17" t="inlineStr">
        <is>
          <t>Awinic Technology Limited</t>
        </is>
      </c>
      <c r="B579" s="167" t="n">
        <v>1</v>
      </c>
      <c r="C579" s="173" t="n">
        <v>100</v>
      </c>
      <c r="D579" s="174" t="n">
        <v>13.3</v>
      </c>
      <c r="E579" s="174" t="n">
        <v>17.1</v>
      </c>
      <c r="F579" s="174" t="n">
        <v>52.2</v>
      </c>
      <c r="G579" s="174" t="n">
        <v>21.2</v>
      </c>
      <c r="H579" s="174" t="n">
        <v>3.4</v>
      </c>
      <c r="I579" s="174" t="n">
        <v>34.4</v>
      </c>
      <c r="J579" s="174" t="n">
        <v>7</v>
      </c>
      <c r="K579" s="175" t="inlineStr">
        <is>
          <t>3296 HUAQIN</t>
        </is>
      </c>
    </row>
    <row r="580">
      <c r="A580" s="17" t="inlineStr">
        <is>
          <t>Cloud Map Holdings Limited</t>
        </is>
      </c>
      <c r="B580" s="167" t="n">
        <v>1</v>
      </c>
      <c r="C580" s="173" t="n">
        <v>100</v>
      </c>
      <c r="D580" s="174" t="n">
        <v>13.3</v>
      </c>
      <c r="E580" s="174" t="n">
        <v>17.1</v>
      </c>
      <c r="F580" s="174" t="n">
        <v>52.2</v>
      </c>
      <c r="G580" s="174" t="n">
        <v>21.2</v>
      </c>
      <c r="H580" s="174" t="n">
        <v>3.4</v>
      </c>
      <c r="I580" s="174" t="n">
        <v>34.4</v>
      </c>
      <c r="J580" s="174" t="n">
        <v>7</v>
      </c>
      <c r="K580" s="175" t="inlineStr">
        <is>
          <t>3296 HUAQIN</t>
        </is>
      </c>
    </row>
    <row r="581">
      <c r="A581" s="17" t="inlineStr">
        <is>
          <t>Ung Choi Kun</t>
        </is>
      </c>
      <c r="B581" s="167" t="n">
        <v>1</v>
      </c>
      <c r="C581" s="173" t="n">
        <v>100</v>
      </c>
      <c r="D581" s="174" t="n">
        <v>13</v>
      </c>
      <c r="E581" s="174" t="n">
        <v>13</v>
      </c>
      <c r="F581" s="174" t="n">
        <v>10.2</v>
      </c>
      <c r="G581" s="174" t="n">
        <v>-3.7</v>
      </c>
      <c r="H581" s="174" t="n">
        <v>0</v>
      </c>
      <c r="I581" s="174" t="n">
        <v>-2.5</v>
      </c>
      <c r="J581" s="174" t="n">
        <v>-14.8</v>
      </c>
      <c r="K581" s="175" t="inlineStr">
        <is>
          <t>1204 BOARDWARE INTEL</t>
        </is>
      </c>
    </row>
    <row r="582">
      <c r="A582" s="17" t="inlineStr">
        <is>
          <t>Corelink Group Limited</t>
        </is>
      </c>
      <c r="B582" s="167" t="n">
        <v>1</v>
      </c>
      <c r="C582" s="173" t="n">
        <v>100</v>
      </c>
      <c r="D582" s="174" t="n">
        <v>12</v>
      </c>
      <c r="E582" s="174" t="n">
        <v>1.6</v>
      </c>
      <c r="F582" s="174" t="n">
        <v>0.7</v>
      </c>
      <c r="G582" s="174" t="n">
        <v>20</v>
      </c>
      <c r="H582" s="174" t="n">
        <v>-9.300000000000001</v>
      </c>
      <c r="I582" s="174" t="n">
        <v>-10.1</v>
      </c>
      <c r="J582" s="174" t="n">
        <v>7.1</v>
      </c>
      <c r="K582" s="175" t="inlineStr">
        <is>
          <t>9860 ADICON HOLDINGS</t>
        </is>
      </c>
    </row>
    <row r="583">
      <c r="A583" s="17" t="inlineStr">
        <is>
          <t>MR Global (HK) Limited</t>
        </is>
      </c>
      <c r="B583" s="167" t="n">
        <v>1</v>
      </c>
      <c r="C583" s="173" t="n">
        <v>100</v>
      </c>
      <c r="D583" s="174" t="n">
        <v>12</v>
      </c>
      <c r="E583" s="174" t="n">
        <v>1.6</v>
      </c>
      <c r="F583" s="174" t="n">
        <v>0.7</v>
      </c>
      <c r="G583" s="174" t="n">
        <v>20</v>
      </c>
      <c r="H583" s="174" t="n">
        <v>-9.300000000000001</v>
      </c>
      <c r="I583" s="174" t="n">
        <v>-10.1</v>
      </c>
      <c r="J583" s="174" t="n">
        <v>7.1</v>
      </c>
      <c r="K583" s="175" t="inlineStr">
        <is>
          <t>9860 ADICON HOLDINGS</t>
        </is>
      </c>
    </row>
    <row r="584">
      <c r="A584" s="17" t="inlineStr">
        <is>
          <t>Snibe Diagnostic (Hong Kong) Company Limited</t>
        </is>
      </c>
      <c r="B584" s="167" t="n">
        <v>1</v>
      </c>
      <c r="C584" s="173" t="n">
        <v>100</v>
      </c>
      <c r="D584" s="174" t="n">
        <v>12</v>
      </c>
      <c r="E584" s="174" t="n">
        <v>1.6</v>
      </c>
      <c r="F584" s="174" t="n">
        <v>0.7</v>
      </c>
      <c r="G584" s="174" t="n">
        <v>20</v>
      </c>
      <c r="H584" s="174" t="n">
        <v>-9.300000000000001</v>
      </c>
      <c r="I584" s="174" t="n">
        <v>-10.1</v>
      </c>
      <c r="J584" s="174" t="n">
        <v>7.1</v>
      </c>
      <c r="K584" s="175" t="inlineStr">
        <is>
          <t>9860 ADICON HOLDINGS</t>
        </is>
      </c>
    </row>
    <row r="585">
      <c r="A585" s="17" t="inlineStr">
        <is>
          <t>Timestar Elite Limited</t>
        </is>
      </c>
      <c r="B585" s="167" t="n">
        <v>1</v>
      </c>
      <c r="C585" s="173" t="n">
        <v>100</v>
      </c>
      <c r="D585" s="174" t="n">
        <v>12</v>
      </c>
      <c r="E585" s="174" t="n">
        <v>1.6</v>
      </c>
      <c r="F585" s="174" t="n">
        <v>0.7</v>
      </c>
      <c r="G585" s="174" t="n">
        <v>20</v>
      </c>
      <c r="H585" s="174" t="n">
        <v>-9.300000000000001</v>
      </c>
      <c r="I585" s="174" t="n">
        <v>-10.1</v>
      </c>
      <c r="J585" s="174" t="n">
        <v>7.1</v>
      </c>
      <c r="K585" s="175" t="inlineStr">
        <is>
          <t>9860 ADICON HOLDINGS</t>
        </is>
      </c>
    </row>
    <row r="586">
      <c r="A586" s="17" t="inlineStr">
        <is>
          <t>Nice First Investments Limited</t>
        </is>
      </c>
      <c r="B586" s="167" t="n">
        <v>1</v>
      </c>
      <c r="C586" s="173" t="n">
        <v>100</v>
      </c>
      <c r="D586" s="174" t="n">
        <v>11.6</v>
      </c>
      <c r="E586" s="174" t="n">
        <v>27.2</v>
      </c>
      <c r="F586" s="174" t="n">
        <v>33.2</v>
      </c>
      <c r="G586" s="174" t="n">
        <v>43.8</v>
      </c>
      <c r="H586" s="174" t="n">
        <v>14</v>
      </c>
      <c r="I586" s="174" t="n">
        <v>19.4</v>
      </c>
      <c r="J586" s="174" t="n">
        <v>28.9</v>
      </c>
      <c r="K586" s="175" t="inlineStr">
        <is>
          <t>2768 GON TECHNOLOGY</t>
        </is>
      </c>
    </row>
    <row r="587">
      <c r="A587" s="17" t="inlineStr">
        <is>
          <t>Zhou Wanyuan</t>
        </is>
      </c>
      <c r="B587" s="167" t="n">
        <v>1</v>
      </c>
      <c r="C587" s="173" t="n">
        <v>100</v>
      </c>
      <c r="D587" s="174" t="n">
        <v>11.6</v>
      </c>
      <c r="E587" s="174" t="n">
        <v>27.2</v>
      </c>
      <c r="F587" s="174" t="n">
        <v>33.2</v>
      </c>
      <c r="G587" s="174" t="n">
        <v>43.8</v>
      </c>
      <c r="H587" s="174" t="n">
        <v>14</v>
      </c>
      <c r="I587" s="174" t="n">
        <v>19.4</v>
      </c>
      <c r="J587" s="174" t="n">
        <v>28.9</v>
      </c>
      <c r="K587" s="175" t="inlineStr">
        <is>
          <t>2768 GON TECHNOLOGY</t>
        </is>
      </c>
    </row>
    <row r="588">
      <c r="A588" s="17" t="inlineStr">
        <is>
          <t>CMBI (Singapore) Pte. Limited</t>
        </is>
      </c>
      <c r="B588" s="167" t="n">
        <v>1</v>
      </c>
      <c r="C588" s="173" t="n">
        <v>100</v>
      </c>
      <c r="D588" s="174" t="n">
        <v>11.6</v>
      </c>
      <c r="E588" s="174" t="n">
        <v>27.2</v>
      </c>
      <c r="F588" s="174" t="n">
        <v>33.2</v>
      </c>
      <c r="G588" s="174" t="n">
        <v>43.8</v>
      </c>
      <c r="H588" s="174" t="n">
        <v>14</v>
      </c>
      <c r="I588" s="174" t="n">
        <v>19.4</v>
      </c>
      <c r="J588" s="174" t="n">
        <v>28.9</v>
      </c>
      <c r="K588" s="175" t="inlineStr">
        <is>
          <t>2768 GON TECHNOLOGY</t>
        </is>
      </c>
    </row>
    <row r="589">
      <c r="A589" s="17" t="inlineStr">
        <is>
          <t>SLD International Enterprises Limited</t>
        </is>
      </c>
      <c r="B589" s="167" t="n">
        <v>1</v>
      </c>
      <c r="C589" s="173" t="n">
        <v>100</v>
      </c>
      <c r="D589" s="174" t="n">
        <v>11.6</v>
      </c>
      <c r="E589" s="174" t="n">
        <v>27.2</v>
      </c>
      <c r="F589" s="174" t="n">
        <v>33.2</v>
      </c>
      <c r="G589" s="174" t="n">
        <v>43.8</v>
      </c>
      <c r="H589" s="174" t="n">
        <v>14</v>
      </c>
      <c r="I589" s="174" t="n">
        <v>19.4</v>
      </c>
      <c r="J589" s="174" t="n">
        <v>28.9</v>
      </c>
      <c r="K589" s="175" t="inlineStr">
        <is>
          <t>2768 GON TECHNOLOGY</t>
        </is>
      </c>
    </row>
    <row r="590">
      <c r="A590" s="17" t="inlineStr">
        <is>
          <t>Cheng A International Co., Limited</t>
        </is>
      </c>
      <c r="B590" s="167" t="n">
        <v>1</v>
      </c>
      <c r="C590" s="173" t="n">
        <v>100</v>
      </c>
      <c r="D590" s="174" t="n">
        <v>11.6</v>
      </c>
      <c r="E590" s="174" t="n">
        <v>27.2</v>
      </c>
      <c r="F590" s="174" t="n">
        <v>33.2</v>
      </c>
      <c r="G590" s="174" t="n">
        <v>43.8</v>
      </c>
      <c r="H590" s="174" t="n">
        <v>14</v>
      </c>
      <c r="I590" s="174" t="n">
        <v>19.4</v>
      </c>
      <c r="J590" s="174" t="n">
        <v>28.9</v>
      </c>
      <c r="K590" s="175" t="inlineStr">
        <is>
          <t>2768 GON TECHNOLOGY</t>
        </is>
      </c>
    </row>
    <row r="591">
      <c r="A591" s="17" t="inlineStr">
        <is>
          <t>Luminous Horizon</t>
        </is>
      </c>
      <c r="B591" s="167" t="n">
        <v>1</v>
      </c>
      <c r="C591" s="173" t="n">
        <v>100</v>
      </c>
      <c r="D591" s="174" t="n">
        <v>11.6</v>
      </c>
      <c r="E591" s="174" t="n">
        <v>27.2</v>
      </c>
      <c r="F591" s="174" t="n">
        <v>33.2</v>
      </c>
      <c r="G591" s="174" t="n">
        <v>43.8</v>
      </c>
      <c r="H591" s="174" t="n">
        <v>14</v>
      </c>
      <c r="I591" s="174" t="n">
        <v>19.4</v>
      </c>
      <c r="J591" s="174" t="n">
        <v>28.9</v>
      </c>
      <c r="K591" s="175" t="inlineStr">
        <is>
          <t>2768 GON TECHNOLOGY</t>
        </is>
      </c>
    </row>
    <row r="592">
      <c r="A592" s="17" t="inlineStr">
        <is>
          <t>Guo Shaojun</t>
        </is>
      </c>
      <c r="B592" s="167" t="n">
        <v>1</v>
      </c>
      <c r="C592" s="173" t="n">
        <v>100</v>
      </c>
      <c r="D592" s="174" t="n">
        <v>11.1</v>
      </c>
      <c r="E592" s="174" t="n">
        <v>6.7</v>
      </c>
      <c r="F592" s="174" t="n">
        <v>-7.8</v>
      </c>
      <c r="G592" s="174" t="n">
        <v>-36.7</v>
      </c>
      <c r="H592" s="174" t="n">
        <v>-4</v>
      </c>
      <c r="I592" s="174" t="n">
        <v>-17</v>
      </c>
      <c r="J592" s="174" t="n">
        <v>-43</v>
      </c>
      <c r="K592" s="175" t="inlineStr">
        <is>
          <t>2516 FAR INTL</t>
        </is>
      </c>
    </row>
    <row r="593">
      <c r="A593" s="17" t="inlineStr">
        <is>
          <t>Liu Liyun</t>
        </is>
      </c>
      <c r="B593" s="167" t="n">
        <v>1</v>
      </c>
      <c r="C593" s="173" t="n">
        <v>100</v>
      </c>
      <c r="D593" s="174" t="n">
        <v>11.1</v>
      </c>
      <c r="E593" s="174" t="n">
        <v>6.7</v>
      </c>
      <c r="F593" s="174" t="n">
        <v>-7.8</v>
      </c>
      <c r="G593" s="174" t="n">
        <v>-36.7</v>
      </c>
      <c r="H593" s="174" t="n">
        <v>-4</v>
      </c>
      <c r="I593" s="174" t="n">
        <v>-17</v>
      </c>
      <c r="J593" s="174" t="n">
        <v>-43</v>
      </c>
      <c r="K593" s="175" t="inlineStr">
        <is>
          <t>2516 FAR INTL</t>
        </is>
      </c>
    </row>
    <row r="594">
      <c r="A594" s="17" t="inlineStr">
        <is>
          <t>Yang Yingwu</t>
        </is>
      </c>
      <c r="B594" s="167" t="n">
        <v>1</v>
      </c>
      <c r="C594" s="173" t="n">
        <v>100</v>
      </c>
      <c r="D594" s="174" t="n">
        <v>11.1</v>
      </c>
      <c r="E594" s="174" t="n">
        <v>6.7</v>
      </c>
      <c r="F594" s="174" t="n">
        <v>-7.8</v>
      </c>
      <c r="G594" s="174" t="n">
        <v>-36.7</v>
      </c>
      <c r="H594" s="174" t="n">
        <v>-4</v>
      </c>
      <c r="I594" s="174" t="n">
        <v>-17</v>
      </c>
      <c r="J594" s="174" t="n">
        <v>-43</v>
      </c>
      <c r="K594" s="175" t="inlineStr">
        <is>
          <t>2516 FAR INTL</t>
        </is>
      </c>
    </row>
    <row r="595">
      <c r="A595" s="17" t="inlineStr">
        <is>
          <t>Vital Message</t>
        </is>
      </c>
      <c r="B595" s="167" t="n">
        <v>1</v>
      </c>
      <c r="C595" s="173" t="n">
        <v>100</v>
      </c>
      <c r="D595" s="174" t="n">
        <v>10.4</v>
      </c>
      <c r="E595" s="174" t="n">
        <v>-24.3</v>
      </c>
      <c r="F595" s="174" t="n">
        <v>-45.1</v>
      </c>
      <c r="G595" s="174" t="n">
        <v>-54.9</v>
      </c>
      <c r="H595" s="174" t="n">
        <v>-31.4</v>
      </c>
      <c r="I595" s="174" t="n">
        <v>-50.2</v>
      </c>
      <c r="J595" s="174" t="n">
        <v>-59.2</v>
      </c>
      <c r="K595" s="175" t="inlineStr">
        <is>
          <t>2593 HERBS GROUP</t>
        </is>
      </c>
    </row>
    <row r="596">
      <c r="A596" s="17" t="inlineStr">
        <is>
          <t>Chu Kin Lan</t>
        </is>
      </c>
      <c r="B596" s="167" t="n">
        <v>1</v>
      </c>
      <c r="C596" s="173" t="n">
        <v>100</v>
      </c>
      <c r="D596" s="174" t="n">
        <v>10</v>
      </c>
      <c r="E596" s="174" t="n">
        <v>2</v>
      </c>
      <c r="F596" s="174" t="n">
        <v>8</v>
      </c>
      <c r="G596" s="174" t="n">
        <v>0</v>
      </c>
      <c r="H596" s="174" t="n">
        <v>-7.3</v>
      </c>
      <c r="I596" s="174" t="n">
        <v>-1.8</v>
      </c>
      <c r="J596" s="174" t="n">
        <v>-9.1</v>
      </c>
      <c r="K596" s="175" t="inlineStr">
        <is>
          <t>1489 GC CONSTRUCTION</t>
        </is>
      </c>
    </row>
    <row r="597">
      <c r="A597" s="17" t="inlineStr">
        <is>
          <t>Infinitus Wealth Limited</t>
        </is>
      </c>
      <c r="B597" s="167" t="n">
        <v>1</v>
      </c>
      <c r="C597" s="173" t="n">
        <v>100</v>
      </c>
      <c r="D597" s="174" t="n">
        <v>10</v>
      </c>
      <c r="E597" s="174" t="n">
        <v>2</v>
      </c>
      <c r="F597" s="174" t="n">
        <v>8</v>
      </c>
      <c r="G597" s="174" t="n">
        <v>0</v>
      </c>
      <c r="H597" s="174" t="n">
        <v>-7.3</v>
      </c>
      <c r="I597" s="174" t="n">
        <v>-1.8</v>
      </c>
      <c r="J597" s="174" t="n">
        <v>-9.1</v>
      </c>
      <c r="K597" s="175" t="inlineStr">
        <is>
          <t>1489 GC CONSTRUCTION</t>
        </is>
      </c>
    </row>
    <row r="598">
      <c r="A598" s="17" t="inlineStr">
        <is>
          <t>Grab Inc</t>
        </is>
      </c>
      <c r="B598" s="167" t="n">
        <v>1</v>
      </c>
      <c r="C598" s="173" t="n">
        <v>100</v>
      </c>
      <c r="D598" s="174" t="n">
        <v>10</v>
      </c>
      <c r="E598" s="174" t="n">
        <v>8.1</v>
      </c>
      <c r="F598" s="174" t="n">
        <v>-20.5</v>
      </c>
      <c r="G598" s="174" t="n">
        <v>-20.4</v>
      </c>
      <c r="H598" s="174" t="n">
        <v>-1.7</v>
      </c>
      <c r="I598" s="174" t="n">
        <v>-27.7</v>
      </c>
      <c r="J598" s="174" t="n">
        <v>-27.6</v>
      </c>
      <c r="K598" s="175" t="inlineStr">
        <is>
          <t>2525 HESAI-W</t>
        </is>
      </c>
    </row>
    <row r="599">
      <c r="A599" s="17" t="inlineStr">
        <is>
          <t>Commando Global Fund</t>
        </is>
      </c>
      <c r="B599" s="167" t="n">
        <v>1</v>
      </c>
      <c r="C599" s="173" t="n">
        <v>100</v>
      </c>
      <c r="D599" s="174" t="n">
        <v>10</v>
      </c>
      <c r="E599" s="174" t="n">
        <v>8.1</v>
      </c>
      <c r="F599" s="174" t="n">
        <v>-20.5</v>
      </c>
      <c r="G599" s="174" t="n">
        <v>-20.4</v>
      </c>
      <c r="H599" s="174" t="n">
        <v>-1.7</v>
      </c>
      <c r="I599" s="174" t="n">
        <v>-27.7</v>
      </c>
      <c r="J599" s="174" t="n">
        <v>-27.6</v>
      </c>
      <c r="K599" s="175" t="inlineStr">
        <is>
          <t>2525 HESAI-W</t>
        </is>
      </c>
    </row>
    <row r="600">
      <c r="A600" s="17" t="inlineStr">
        <is>
          <t>Regal Partners Holdings Pty Limited</t>
        </is>
      </c>
      <c r="B600" s="167" t="n">
        <v>1</v>
      </c>
      <c r="C600" s="173" t="n">
        <v>100</v>
      </c>
      <c r="D600" s="174" t="n">
        <v>10</v>
      </c>
      <c r="E600" s="174" t="n">
        <v>2.6</v>
      </c>
      <c r="F600" s="174" t="n">
        <v>-5.6</v>
      </c>
      <c r="G600" s="174" t="n"/>
      <c r="H600" s="174" t="n">
        <v>-6.7</v>
      </c>
      <c r="I600" s="174" t="n">
        <v>-14.2</v>
      </c>
      <c r="J600" s="174" t="n"/>
      <c r="K600" s="175" t="inlineStr">
        <is>
          <t>7687 EACON</t>
        </is>
      </c>
    </row>
    <row r="601">
      <c r="A601" s="17" t="inlineStr">
        <is>
          <t>ZIJINNING Limited Partnership</t>
        </is>
      </c>
      <c r="B601" s="167" t="n">
        <v>1</v>
      </c>
      <c r="C601" s="173" t="n">
        <v>100</v>
      </c>
      <c r="D601" s="174" t="n">
        <v>10</v>
      </c>
      <c r="E601" s="174" t="n">
        <v>2.6</v>
      </c>
      <c r="F601" s="174" t="n">
        <v>-5.6</v>
      </c>
      <c r="G601" s="174" t="n"/>
      <c r="H601" s="174" t="n">
        <v>-6.7</v>
      </c>
      <c r="I601" s="174" t="n">
        <v>-14.2</v>
      </c>
      <c r="J601" s="174" t="n"/>
      <c r="K601" s="175" t="inlineStr">
        <is>
          <t>7687 EACON</t>
        </is>
      </c>
    </row>
    <row r="602">
      <c r="A602" s="17" t="inlineStr">
        <is>
          <t>Ontario Teachers Pension Plan Board</t>
        </is>
      </c>
      <c r="B602" s="167" t="n">
        <v>1</v>
      </c>
      <c r="C602" s="173" t="n">
        <v>100</v>
      </c>
      <c r="D602" s="174" t="n">
        <v>9.9</v>
      </c>
      <c r="E602" s="174" t="n">
        <v>25.4</v>
      </c>
      <c r="F602" s="174" t="n">
        <v>25.1</v>
      </c>
      <c r="G602" s="174" t="n">
        <v>-17.4</v>
      </c>
      <c r="H602" s="174" t="n">
        <v>14.1</v>
      </c>
      <c r="I602" s="174" t="n">
        <v>13.9</v>
      </c>
      <c r="J602" s="174" t="n">
        <v>-24.9</v>
      </c>
      <c r="K602" s="175" t="inlineStr">
        <is>
          <t>9959 LINKLOGIS–W</t>
        </is>
      </c>
    </row>
    <row r="603">
      <c r="A603" s="17" t="inlineStr">
        <is>
          <t>Sequoia Funds</t>
        </is>
      </c>
      <c r="B603" s="167" t="n">
        <v>1</v>
      </c>
      <c r="C603" s="173" t="n">
        <v>100</v>
      </c>
      <c r="D603" s="174" t="n">
        <v>9.9</v>
      </c>
      <c r="E603" s="174" t="n">
        <v>25.4</v>
      </c>
      <c r="F603" s="174" t="n">
        <v>25.1</v>
      </c>
      <c r="G603" s="174" t="n">
        <v>-17.4</v>
      </c>
      <c r="H603" s="174" t="n">
        <v>14.1</v>
      </c>
      <c r="I603" s="174" t="n">
        <v>13.9</v>
      </c>
      <c r="J603" s="174" t="n">
        <v>-24.9</v>
      </c>
      <c r="K603" s="175" t="inlineStr">
        <is>
          <t>9959 LINKLOGIS–W</t>
        </is>
      </c>
    </row>
    <row r="604">
      <c r="A604" s="17" t="inlineStr">
        <is>
          <t>Begonia No. 1 LPF</t>
        </is>
      </c>
      <c r="B604" s="167" t="n">
        <v>1</v>
      </c>
      <c r="C604" s="173" t="n">
        <v>100</v>
      </c>
      <c r="D604" s="174" t="n">
        <v>9.800000000000001</v>
      </c>
      <c r="E604" s="174" t="n">
        <v>0.4</v>
      </c>
      <c r="F604" s="174" t="n">
        <v>9.800000000000001</v>
      </c>
      <c r="G604" s="174" t="n">
        <v>165.9</v>
      </c>
      <c r="H604" s="174" t="n">
        <v>-8.6</v>
      </c>
      <c r="I604" s="174" t="n">
        <v>0</v>
      </c>
      <c r="J604" s="174" t="n">
        <v>142.1</v>
      </c>
      <c r="K604" s="175" t="inlineStr">
        <is>
          <t>2228 QUANTUMPH-P</t>
        </is>
      </c>
    </row>
    <row r="605">
      <c r="A605" s="17" t="inlineStr">
        <is>
          <t>Biocytogen Pharmaceuticals (Beijing) Co., Ltd</t>
        </is>
      </c>
      <c r="B605" s="167" t="n">
        <v>1</v>
      </c>
      <c r="C605" s="173" t="n">
        <v>100</v>
      </c>
      <c r="D605" s="174" t="n">
        <v>9.800000000000001</v>
      </c>
      <c r="E605" s="174" t="n">
        <v>0.4</v>
      </c>
      <c r="F605" s="174" t="n">
        <v>9.800000000000001</v>
      </c>
      <c r="G605" s="174" t="n">
        <v>165.9</v>
      </c>
      <c r="H605" s="174" t="n">
        <v>-8.6</v>
      </c>
      <c r="I605" s="174" t="n">
        <v>0</v>
      </c>
      <c r="J605" s="174" t="n">
        <v>142.1</v>
      </c>
      <c r="K605" s="175" t="inlineStr">
        <is>
          <t>2228 QUANTUMPH-P</t>
        </is>
      </c>
    </row>
    <row r="606">
      <c r="A606" s="17" t="inlineStr">
        <is>
          <t>Bradley Lether Pentelute</t>
        </is>
      </c>
      <c r="B606" s="167" t="n">
        <v>1</v>
      </c>
      <c r="C606" s="173" t="n">
        <v>100</v>
      </c>
      <c r="D606" s="174" t="n">
        <v>9.800000000000001</v>
      </c>
      <c r="E606" s="174" t="n">
        <v>0.4</v>
      </c>
      <c r="F606" s="174" t="n">
        <v>9.800000000000001</v>
      </c>
      <c r="G606" s="174" t="n">
        <v>165.9</v>
      </c>
      <c r="H606" s="174" t="n">
        <v>-8.6</v>
      </c>
      <c r="I606" s="174" t="n">
        <v>0</v>
      </c>
      <c r="J606" s="174" t="n">
        <v>142.1</v>
      </c>
      <c r="K606" s="175" t="inlineStr">
        <is>
          <t>2228 QUANTUMPH-P</t>
        </is>
      </c>
    </row>
    <row r="607">
      <c r="A607" s="17" t="inlineStr">
        <is>
          <t>FaaS Capital Longevity Limited</t>
        </is>
      </c>
      <c r="B607" s="167" t="n">
        <v>1</v>
      </c>
      <c r="C607" s="173" t="n">
        <v>100</v>
      </c>
      <c r="D607" s="174" t="n">
        <v>9.800000000000001</v>
      </c>
      <c r="E607" s="174" t="n">
        <v>0.4</v>
      </c>
      <c r="F607" s="174" t="n">
        <v>9.800000000000001</v>
      </c>
      <c r="G607" s="174" t="n">
        <v>165.9</v>
      </c>
      <c r="H607" s="174" t="n">
        <v>-8.6</v>
      </c>
      <c r="I607" s="174" t="n">
        <v>0</v>
      </c>
      <c r="J607" s="174" t="n">
        <v>142.1</v>
      </c>
      <c r="K607" s="175" t="inlineStr">
        <is>
          <t>2228 QUANTUMPH-P</t>
        </is>
      </c>
    </row>
    <row r="608">
      <c r="A608" s="17" t="inlineStr">
        <is>
          <t>Ginkgo Capital Global Fund SPC-Ginkgo Capital Global Fund I SP</t>
        </is>
      </c>
      <c r="B608" s="167" t="n">
        <v>1</v>
      </c>
      <c r="C608" s="173" t="n">
        <v>100</v>
      </c>
      <c r="D608" s="174" t="n">
        <v>9.800000000000001</v>
      </c>
      <c r="E608" s="174" t="n">
        <v>0.4</v>
      </c>
      <c r="F608" s="174" t="n">
        <v>9.800000000000001</v>
      </c>
      <c r="G608" s="174" t="n">
        <v>165.9</v>
      </c>
      <c r="H608" s="174" t="n">
        <v>-8.6</v>
      </c>
      <c r="I608" s="174" t="n">
        <v>0</v>
      </c>
      <c r="J608" s="174" t="n">
        <v>142.1</v>
      </c>
      <c r="K608" s="175" t="inlineStr">
        <is>
          <t>2228 QUANTUMPH-P</t>
        </is>
      </c>
    </row>
    <row r="609">
      <c r="A609" s="17" t="inlineStr">
        <is>
          <t>IntelliMed One Investment Limited</t>
        </is>
      </c>
      <c r="B609" s="167" t="n">
        <v>1</v>
      </c>
      <c r="C609" s="173" t="n">
        <v>100</v>
      </c>
      <c r="D609" s="174" t="n">
        <v>9.800000000000001</v>
      </c>
      <c r="E609" s="174" t="n">
        <v>0.4</v>
      </c>
      <c r="F609" s="174" t="n">
        <v>9.800000000000001</v>
      </c>
      <c r="G609" s="174" t="n">
        <v>165.9</v>
      </c>
      <c r="H609" s="174" t="n">
        <v>-8.6</v>
      </c>
      <c r="I609" s="174" t="n">
        <v>0</v>
      </c>
      <c r="J609" s="174" t="n">
        <v>142.1</v>
      </c>
      <c r="K609" s="175" t="inlineStr">
        <is>
          <t>2228 QUANTUMPH-P</t>
        </is>
      </c>
    </row>
    <row r="610">
      <c r="A610" s="17" t="inlineStr">
        <is>
          <t>Mammoth Medical Solutions</t>
        </is>
      </c>
      <c r="B610" s="167" t="n">
        <v>1</v>
      </c>
      <c r="C610" s="173" t="n">
        <v>100</v>
      </c>
      <c r="D610" s="174" t="n">
        <v>9.800000000000001</v>
      </c>
      <c r="E610" s="174" t="n">
        <v>0.4</v>
      </c>
      <c r="F610" s="174" t="n">
        <v>9.800000000000001</v>
      </c>
      <c r="G610" s="174" t="n">
        <v>165.9</v>
      </c>
      <c r="H610" s="174" t="n">
        <v>-8.6</v>
      </c>
      <c r="I610" s="174" t="n">
        <v>0</v>
      </c>
      <c r="J610" s="174" t="n">
        <v>142.1</v>
      </c>
      <c r="K610" s="175" t="inlineStr">
        <is>
          <t>2228 QUANTUMPH-P</t>
        </is>
      </c>
    </row>
    <row r="611">
      <c r="A611" s="17" t="inlineStr">
        <is>
          <t>Successful Lotus Limited</t>
        </is>
      </c>
      <c r="B611" s="167" t="n">
        <v>1</v>
      </c>
      <c r="C611" s="173" t="n">
        <v>100</v>
      </c>
      <c r="D611" s="174" t="n">
        <v>9.800000000000001</v>
      </c>
      <c r="E611" s="174" t="n">
        <v>0.4</v>
      </c>
      <c r="F611" s="174" t="n">
        <v>9.800000000000001</v>
      </c>
      <c r="G611" s="174" t="n">
        <v>165.9</v>
      </c>
      <c r="H611" s="174" t="n">
        <v>-8.6</v>
      </c>
      <c r="I611" s="174" t="n">
        <v>0</v>
      </c>
      <c r="J611" s="174" t="n">
        <v>142.1</v>
      </c>
      <c r="K611" s="175" t="inlineStr">
        <is>
          <t>2228 QUANTUMPH-P</t>
        </is>
      </c>
    </row>
    <row r="612">
      <c r="A612" s="17" t="inlineStr">
        <is>
          <t>SynerSuccess Capital Ltd</t>
        </is>
      </c>
      <c r="B612" s="167" t="n">
        <v>1</v>
      </c>
      <c r="C612" s="173" t="n">
        <v>100</v>
      </c>
      <c r="D612" s="174" t="n">
        <v>9.300000000000001</v>
      </c>
      <c r="E612" s="174" t="n">
        <v>6.7</v>
      </c>
      <c r="F612" s="174" t="n">
        <v>3.6</v>
      </c>
      <c r="G612" s="174" t="n">
        <v>-18.3</v>
      </c>
      <c r="H612" s="174" t="n">
        <v>-2.4</v>
      </c>
      <c r="I612" s="174" t="n">
        <v>-5.2</v>
      </c>
      <c r="J612" s="174" t="n">
        <v>-25.2</v>
      </c>
      <c r="K612" s="175" t="inlineStr">
        <is>
          <t>2657 FOREST CABIN</t>
        </is>
      </c>
    </row>
    <row r="613">
      <c r="A613" s="17" t="inlineStr">
        <is>
          <t>SS Capital</t>
        </is>
      </c>
      <c r="B613" s="167" t="n">
        <v>1</v>
      </c>
      <c r="C613" s="173" t="n">
        <v>100</v>
      </c>
      <c r="D613" s="174" t="n">
        <v>9.300000000000001</v>
      </c>
      <c r="E613" s="174" t="n">
        <v>6.7</v>
      </c>
      <c r="F613" s="174" t="n">
        <v>3.6</v>
      </c>
      <c r="G613" s="174" t="n">
        <v>-18.3</v>
      </c>
      <c r="H613" s="174" t="n">
        <v>-2.4</v>
      </c>
      <c r="I613" s="174" t="n">
        <v>-5.2</v>
      </c>
      <c r="J613" s="174" t="n">
        <v>-25.2</v>
      </c>
      <c r="K613" s="175" t="inlineStr">
        <is>
          <t>2657 FOREST CABIN</t>
        </is>
      </c>
    </row>
    <row r="614">
      <c r="A614" s="17" t="inlineStr">
        <is>
          <t>Youngor Fashion –</t>
        </is>
      </c>
      <c r="B614" s="167" t="n">
        <v>1</v>
      </c>
      <c r="C614" s="173" t="n">
        <v>100</v>
      </c>
      <c r="D614" s="174" t="n">
        <v>9.300000000000001</v>
      </c>
      <c r="E614" s="174" t="n">
        <v>6.7</v>
      </c>
      <c r="F614" s="174" t="n">
        <v>3.6</v>
      </c>
      <c r="G614" s="174" t="n">
        <v>-18.3</v>
      </c>
      <c r="H614" s="174" t="n">
        <v>-2.4</v>
      </c>
      <c r="I614" s="174" t="n">
        <v>-5.2</v>
      </c>
      <c r="J614" s="174" t="n">
        <v>-25.2</v>
      </c>
      <c r="K614" s="175" t="inlineStr">
        <is>
          <t>2657 FOREST CABIN</t>
        </is>
      </c>
    </row>
    <row r="615">
      <c r="A615" s="17" t="inlineStr">
        <is>
          <t>Toutoushidao –</t>
        </is>
      </c>
      <c r="B615" s="167" t="n">
        <v>1</v>
      </c>
      <c r="C615" s="173" t="n">
        <v>100</v>
      </c>
      <c r="D615" s="174" t="n">
        <v>9.300000000000001</v>
      </c>
      <c r="E615" s="174" t="n">
        <v>6.7</v>
      </c>
      <c r="F615" s="174" t="n">
        <v>3.6</v>
      </c>
      <c r="G615" s="174" t="n">
        <v>-18.3</v>
      </c>
      <c r="H615" s="174" t="n">
        <v>-2.4</v>
      </c>
      <c r="I615" s="174" t="n">
        <v>-5.2</v>
      </c>
      <c r="J615" s="174" t="n">
        <v>-25.2</v>
      </c>
      <c r="K615" s="175" t="inlineStr">
        <is>
          <t>2657 FOREST CABIN</t>
        </is>
      </c>
    </row>
    <row r="616">
      <c r="A616" s="17" t="inlineStr">
        <is>
          <t>Olympic Country</t>
        </is>
      </c>
      <c r="B616" s="167" t="n">
        <v>1</v>
      </c>
      <c r="C616" s="173" t="n">
        <v>100</v>
      </c>
      <c r="D616" s="174" t="n">
        <v>9.1</v>
      </c>
      <c r="E616" s="174" t="n">
        <v>6.4</v>
      </c>
      <c r="F616" s="174" t="n">
        <v>16.1</v>
      </c>
      <c r="G616" s="174" t="n">
        <v>76.8</v>
      </c>
      <c r="H616" s="174" t="n">
        <v>-2.5</v>
      </c>
      <c r="I616" s="174" t="n">
        <v>6.3</v>
      </c>
      <c r="J616" s="174" t="n">
        <v>62</v>
      </c>
      <c r="K616" s="175" t="inlineStr">
        <is>
          <t>6613 LENS</t>
        </is>
      </c>
    </row>
    <row r="617">
      <c r="A617" s="17" t="inlineStr">
        <is>
          <t>CMB International Capital Limited</t>
        </is>
      </c>
      <c r="B617" s="167" t="n">
        <v>1</v>
      </c>
      <c r="C617" s="173" t="n">
        <v>100</v>
      </c>
      <c r="D617" s="174" t="n">
        <v>8.4</v>
      </c>
      <c r="E617" s="174" t="n">
        <v>21.7</v>
      </c>
      <c r="F617" s="174" t="n">
        <v>14.2</v>
      </c>
      <c r="G617" s="174" t="n">
        <v>156.6</v>
      </c>
      <c r="H617" s="174" t="n">
        <v>12.2</v>
      </c>
      <c r="I617" s="174" t="n">
        <v>5.4</v>
      </c>
      <c r="J617" s="174" t="n">
        <v>136.6</v>
      </c>
      <c r="K617" s="175" t="inlineStr">
        <is>
          <t>9903 ILUVATAR COREX</t>
        </is>
      </c>
    </row>
    <row r="618">
      <c r="A618" s="17" t="inlineStr">
        <is>
          <t>XN Mountain International Limited</t>
        </is>
      </c>
      <c r="B618" s="167" t="n">
        <v>1</v>
      </c>
      <c r="C618" s="173" t="n">
        <v>100</v>
      </c>
      <c r="D618" s="174" t="n">
        <v>8.4</v>
      </c>
      <c r="E618" s="174" t="n">
        <v>21.7</v>
      </c>
      <c r="F618" s="174" t="n">
        <v>14.2</v>
      </c>
      <c r="G618" s="174" t="n">
        <v>156.6</v>
      </c>
      <c r="H618" s="174" t="n">
        <v>12.2</v>
      </c>
      <c r="I618" s="174" t="n">
        <v>5.4</v>
      </c>
      <c r="J618" s="174" t="n">
        <v>136.6</v>
      </c>
      <c r="K618" s="175" t="inlineStr">
        <is>
          <t>9903 ILUVATAR COREX</t>
        </is>
      </c>
    </row>
    <row r="619">
      <c r="A619" s="17" t="inlineStr">
        <is>
          <t>Engine International Technology Co., Limited</t>
        </is>
      </c>
      <c r="B619" s="167" t="n">
        <v>1</v>
      </c>
      <c r="C619" s="173" t="n">
        <v>100</v>
      </c>
      <c r="D619" s="174" t="n">
        <v>8.4</v>
      </c>
      <c r="E619" s="174" t="n">
        <v>21.7</v>
      </c>
      <c r="F619" s="174" t="n">
        <v>14.2</v>
      </c>
      <c r="G619" s="174" t="n">
        <v>156.6</v>
      </c>
      <c r="H619" s="174" t="n">
        <v>12.2</v>
      </c>
      <c r="I619" s="174" t="n">
        <v>5.4</v>
      </c>
      <c r="J619" s="174" t="n">
        <v>136.6</v>
      </c>
      <c r="K619" s="175" t="inlineStr">
        <is>
          <t>9903 ILUVATAR COREX</t>
        </is>
      </c>
    </row>
    <row r="620">
      <c r="A620" s="17" t="inlineStr">
        <is>
          <t>DeepRoot Alpha Ltd</t>
        </is>
      </c>
      <c r="B620" s="167" t="n">
        <v>1</v>
      </c>
      <c r="C620" s="173" t="n">
        <v>100</v>
      </c>
      <c r="D620" s="174" t="n">
        <v>8.4</v>
      </c>
      <c r="E620" s="174" t="n">
        <v>21.7</v>
      </c>
      <c r="F620" s="174" t="n">
        <v>14.2</v>
      </c>
      <c r="G620" s="174" t="n">
        <v>156.6</v>
      </c>
      <c r="H620" s="174" t="n">
        <v>12.2</v>
      </c>
      <c r="I620" s="174" t="n">
        <v>5.4</v>
      </c>
      <c r="J620" s="174" t="n">
        <v>136.6</v>
      </c>
      <c r="K620" s="175" t="inlineStr">
        <is>
          <t>9903 ILUVATAR COREX</t>
        </is>
      </c>
    </row>
    <row r="621">
      <c r="A621" s="17" t="inlineStr">
        <is>
          <t>CFIG Holdings Limited</t>
        </is>
      </c>
      <c r="B621" s="167" t="n">
        <v>1</v>
      </c>
      <c r="C621" s="173" t="n">
        <v>100</v>
      </c>
      <c r="D621" s="174" t="n">
        <v>8.4</v>
      </c>
      <c r="E621" s="174" t="n">
        <v>21.7</v>
      </c>
      <c r="F621" s="174" t="n">
        <v>14.2</v>
      </c>
      <c r="G621" s="174" t="n">
        <v>156.6</v>
      </c>
      <c r="H621" s="174" t="n">
        <v>12.2</v>
      </c>
      <c r="I621" s="174" t="n">
        <v>5.4</v>
      </c>
      <c r="J621" s="174" t="n">
        <v>136.6</v>
      </c>
      <c r="K621" s="175" t="inlineStr">
        <is>
          <t>9903 ILUVATAR COREX</t>
        </is>
      </c>
    </row>
    <row r="622">
      <c r="A622" s="17" t="inlineStr">
        <is>
          <t>Richfirm (Hong Kong) Development Limited</t>
        </is>
      </c>
      <c r="B622" s="167" t="n">
        <v>1</v>
      </c>
      <c r="C622" s="173" t="n">
        <v>100</v>
      </c>
      <c r="D622" s="174" t="n">
        <v>8.199999999999999</v>
      </c>
      <c r="E622" s="174" t="n">
        <v>5.4</v>
      </c>
      <c r="F622" s="174" t="n">
        <v>16.2</v>
      </c>
      <c r="G622" s="174" t="n">
        <v>-9.1</v>
      </c>
      <c r="H622" s="174" t="n">
        <v>-2.6</v>
      </c>
      <c r="I622" s="174" t="n">
        <v>7.4</v>
      </c>
      <c r="J622" s="174" t="n">
        <v>-16</v>
      </c>
      <c r="K622" s="175" t="inlineStr">
        <is>
          <t>1021 HUAYAN ROBOTICS</t>
        </is>
      </c>
    </row>
    <row r="623">
      <c r="A623" s="17" t="inlineStr">
        <is>
          <t>Samson Group Limited</t>
        </is>
      </c>
      <c r="B623" s="167" t="n">
        <v>1</v>
      </c>
      <c r="C623" s="173" t="n">
        <v>100</v>
      </c>
      <c r="D623" s="174" t="n">
        <v>8.199999999999999</v>
      </c>
      <c r="E623" s="174" t="n">
        <v>5.4</v>
      </c>
      <c r="F623" s="174" t="n">
        <v>16.2</v>
      </c>
      <c r="G623" s="174" t="n">
        <v>-9.1</v>
      </c>
      <c r="H623" s="174" t="n">
        <v>-2.6</v>
      </c>
      <c r="I623" s="174" t="n">
        <v>7.4</v>
      </c>
      <c r="J623" s="174" t="n">
        <v>-16</v>
      </c>
      <c r="K623" s="175" t="inlineStr">
        <is>
          <t>1021 HUAYAN ROBOTICS</t>
        </is>
      </c>
    </row>
    <row r="624">
      <c r="A624" s="17" t="inlineStr">
        <is>
          <t>Shrewd Pioneer Limited</t>
        </is>
      </c>
      <c r="B624" s="167" t="n">
        <v>1</v>
      </c>
      <c r="C624" s="173" t="n">
        <v>100</v>
      </c>
      <c r="D624" s="174" t="n">
        <v>8.199999999999999</v>
      </c>
      <c r="E624" s="174" t="n">
        <v>5.4</v>
      </c>
      <c r="F624" s="174" t="n">
        <v>16.2</v>
      </c>
      <c r="G624" s="174" t="n">
        <v>-9.1</v>
      </c>
      <c r="H624" s="174" t="n">
        <v>-2.6</v>
      </c>
      <c r="I624" s="174" t="n">
        <v>7.4</v>
      </c>
      <c r="J624" s="174" t="n">
        <v>-16</v>
      </c>
      <c r="K624" s="175" t="inlineStr">
        <is>
          <t>1021 HUAYAN ROBOTICS</t>
        </is>
      </c>
    </row>
    <row r="625">
      <c r="A625" s="17" t="inlineStr">
        <is>
          <t>He Sheng Overseas Holdings Limited</t>
        </is>
      </c>
      <c r="B625" s="167" t="n">
        <v>1</v>
      </c>
      <c r="C625" s="173" t="n">
        <v>100</v>
      </c>
      <c r="D625" s="174" t="n">
        <v>8.1</v>
      </c>
      <c r="E625" s="174" t="n">
        <v>11.9</v>
      </c>
      <c r="F625" s="174" t="n">
        <v>8.9</v>
      </c>
      <c r="G625" s="174" t="n">
        <v>14.1</v>
      </c>
      <c r="H625" s="174" t="n">
        <v>3.5</v>
      </c>
      <c r="I625" s="174" t="n">
        <v>0.8</v>
      </c>
      <c r="J625" s="174" t="n">
        <v>5.5</v>
      </c>
      <c r="K625" s="175" t="inlineStr">
        <is>
          <t>0606 SCE CM</t>
        </is>
      </c>
    </row>
    <row r="626">
      <c r="A626" s="17" t="inlineStr">
        <is>
          <t>Lam Yuen Ying</t>
        </is>
      </c>
      <c r="B626" s="167" t="n">
        <v>1</v>
      </c>
      <c r="C626" s="173" t="n">
        <v>100</v>
      </c>
      <c r="D626" s="174" t="n">
        <v>8.1</v>
      </c>
      <c r="E626" s="174" t="n">
        <v>11.9</v>
      </c>
      <c r="F626" s="174" t="n">
        <v>8.9</v>
      </c>
      <c r="G626" s="174" t="n">
        <v>14.1</v>
      </c>
      <c r="H626" s="174" t="n">
        <v>3.5</v>
      </c>
      <c r="I626" s="174" t="n">
        <v>0.8</v>
      </c>
      <c r="J626" s="174" t="n">
        <v>5.5</v>
      </c>
      <c r="K626" s="175" t="inlineStr">
        <is>
          <t>0606 SCE CM</t>
        </is>
      </c>
    </row>
    <row r="627">
      <c r="A627" s="17" t="inlineStr">
        <is>
          <t>TX Capital Value Fund</t>
        </is>
      </c>
      <c r="B627" s="167" t="n">
        <v>1</v>
      </c>
      <c r="C627" s="173" t="n">
        <v>100</v>
      </c>
      <c r="D627" s="174" t="n">
        <v>8.1</v>
      </c>
      <c r="E627" s="174" t="n">
        <v>11.9</v>
      </c>
      <c r="F627" s="174" t="n">
        <v>8.9</v>
      </c>
      <c r="G627" s="174" t="n">
        <v>14.1</v>
      </c>
      <c r="H627" s="174" t="n">
        <v>3.5</v>
      </c>
      <c r="I627" s="174" t="n">
        <v>0.8</v>
      </c>
      <c r="J627" s="174" t="n">
        <v>5.5</v>
      </c>
      <c r="K627" s="175" t="inlineStr">
        <is>
          <t>0606 SCE CM</t>
        </is>
      </c>
    </row>
    <row r="628">
      <c r="A628" s="17" t="inlineStr">
        <is>
          <t>Splendor Achieve Limited</t>
        </is>
      </c>
      <c r="B628" s="167" t="n">
        <v>1</v>
      </c>
      <c r="C628" s="173" t="n">
        <v>100</v>
      </c>
      <c r="D628" s="174" t="n">
        <v>7.8</v>
      </c>
      <c r="E628" s="174" t="n">
        <v>29</v>
      </c>
      <c r="F628" s="174" t="n">
        <v>36.7</v>
      </c>
      <c r="G628" s="174" t="n">
        <v>39</v>
      </c>
      <c r="H628" s="174" t="n">
        <v>19.6</v>
      </c>
      <c r="I628" s="174" t="n">
        <v>26.7</v>
      </c>
      <c r="J628" s="174" t="n">
        <v>28.9</v>
      </c>
      <c r="K628" s="175" t="inlineStr">
        <is>
          <t>0300 MIDEA GROUP</t>
        </is>
      </c>
    </row>
    <row r="629">
      <c r="A629" s="17" t="inlineStr">
        <is>
          <t>Vanguard Focus Limited</t>
        </is>
      </c>
      <c r="B629" s="167" t="n">
        <v>1</v>
      </c>
      <c r="C629" s="173" t="n">
        <v>100</v>
      </c>
      <c r="D629" s="174" t="n">
        <v>7.8</v>
      </c>
      <c r="E629" s="174" t="n">
        <v>29</v>
      </c>
      <c r="F629" s="174" t="n">
        <v>36.7</v>
      </c>
      <c r="G629" s="174" t="n">
        <v>39</v>
      </c>
      <c r="H629" s="174" t="n">
        <v>19.6</v>
      </c>
      <c r="I629" s="174" t="n">
        <v>26.7</v>
      </c>
      <c r="J629" s="174" t="n">
        <v>28.9</v>
      </c>
      <c r="K629" s="175" t="inlineStr">
        <is>
          <t>0300 MIDEA GROUP</t>
        </is>
      </c>
    </row>
    <row r="630">
      <c r="A630" s="17" t="inlineStr">
        <is>
          <t>YHLO (Hong Kong) Limited</t>
        </is>
      </c>
      <c r="B630" s="167" t="n">
        <v>1</v>
      </c>
      <c r="C630" s="173" t="n">
        <v>100</v>
      </c>
      <c r="D630" s="174" t="n">
        <v>7.7</v>
      </c>
      <c r="E630" s="174" t="n">
        <v>15.3</v>
      </c>
      <c r="F630" s="174" t="n">
        <v>94.40000000000001</v>
      </c>
      <c r="G630" s="174" t="n">
        <v>129.4</v>
      </c>
      <c r="H630" s="174" t="n">
        <v>7.1</v>
      </c>
      <c r="I630" s="174" t="n">
        <v>80.5</v>
      </c>
      <c r="J630" s="174" t="n">
        <v>112.9</v>
      </c>
      <c r="K630" s="175" t="inlineStr">
        <is>
          <t>2325 YUNKANG GROUP</t>
        </is>
      </c>
    </row>
    <row r="631">
      <c r="A631" s="17" t="inlineStr">
        <is>
          <t>Cangzhou Chuangrong Equity Investment Fund Co., Ltd</t>
        </is>
      </c>
      <c r="B631" s="167" t="n">
        <v>1</v>
      </c>
      <c r="C631" s="173" t="n">
        <v>100</v>
      </c>
      <c r="D631" s="174" t="n">
        <v>7.7</v>
      </c>
      <c r="E631" s="174" t="n">
        <v>1.9</v>
      </c>
      <c r="F631" s="174" t="n">
        <v>5.2</v>
      </c>
      <c r="G631" s="174" t="n">
        <v>-50.6</v>
      </c>
      <c r="H631" s="174" t="n">
        <v>-5.3</v>
      </c>
      <c r="I631" s="174" t="n">
        <v>-2.3</v>
      </c>
      <c r="J631" s="174" t="n">
        <v>-54.1</v>
      </c>
      <c r="K631" s="175" t="inlineStr">
        <is>
          <t>2511 HIGHTIDE-B</t>
        </is>
      </c>
    </row>
    <row r="632">
      <c r="A632" s="17" t="inlineStr">
        <is>
          <t>No5XJR Limited</t>
        </is>
      </c>
      <c r="B632" s="167" t="n">
        <v>1</v>
      </c>
      <c r="C632" s="173" t="n">
        <v>100</v>
      </c>
      <c r="D632" s="174" t="n">
        <v>7.6</v>
      </c>
      <c r="E632" s="174" t="n">
        <v>-47.4</v>
      </c>
      <c r="F632" s="174" t="n">
        <v>-60</v>
      </c>
      <c r="G632" s="174" t="n">
        <v>-49.6</v>
      </c>
      <c r="H632" s="174" t="n">
        <v>-51.1</v>
      </c>
      <c r="I632" s="174" t="n">
        <v>-62.8</v>
      </c>
      <c r="J632" s="174" t="n">
        <v>-53.2</v>
      </c>
      <c r="K632" s="175" t="inlineStr">
        <is>
          <t>2898 SUNHO BIO-B</t>
        </is>
      </c>
    </row>
    <row r="633">
      <c r="A633" s="17" t="inlineStr">
        <is>
          <t>Tiny Jade</t>
        </is>
      </c>
      <c r="B633" s="167" t="n">
        <v>1</v>
      </c>
      <c r="C633" s="173" t="n">
        <v>100</v>
      </c>
      <c r="D633" s="174" t="n">
        <v>7.6</v>
      </c>
      <c r="E633" s="174" t="n">
        <v>4.2</v>
      </c>
      <c r="F633" s="174" t="n">
        <v>-29.6</v>
      </c>
      <c r="G633" s="174" t="n">
        <v>-42.2</v>
      </c>
      <c r="H633" s="174" t="n">
        <v>-3.1</v>
      </c>
      <c r="I633" s="174" t="n">
        <v>-34.6</v>
      </c>
      <c r="J633" s="174" t="n">
        <v>-46.3</v>
      </c>
      <c r="K633" s="175" t="inlineStr">
        <is>
          <t>2671 USAS BUILDING</t>
        </is>
      </c>
    </row>
    <row r="634">
      <c r="A634" s="17" t="inlineStr">
        <is>
          <t>Logic Selective</t>
        </is>
      </c>
      <c r="B634" s="167" t="n">
        <v>1</v>
      </c>
      <c r="C634" s="173" t="n">
        <v>100</v>
      </c>
      <c r="D634" s="174" t="n">
        <v>7.6</v>
      </c>
      <c r="E634" s="174" t="n">
        <v>4.2</v>
      </c>
      <c r="F634" s="174" t="n">
        <v>-29.6</v>
      </c>
      <c r="G634" s="174" t="n">
        <v>-42.2</v>
      </c>
      <c r="H634" s="174" t="n">
        <v>-3.1</v>
      </c>
      <c r="I634" s="174" t="n">
        <v>-34.6</v>
      </c>
      <c r="J634" s="174" t="n">
        <v>-46.3</v>
      </c>
      <c r="K634" s="175" t="inlineStr">
        <is>
          <t>2671 USAS BUILDING</t>
        </is>
      </c>
    </row>
    <row r="635">
      <c r="A635" s="17" t="inlineStr">
        <is>
          <t>Swift Grace</t>
        </is>
      </c>
      <c r="B635" s="167" t="n">
        <v>1</v>
      </c>
      <c r="C635" s="173" t="n">
        <v>100</v>
      </c>
      <c r="D635" s="174" t="n">
        <v>7.5</v>
      </c>
      <c r="E635" s="174" t="n">
        <v>-3.3</v>
      </c>
      <c r="F635" s="174" t="n">
        <v>13.5</v>
      </c>
      <c r="G635" s="174" t="n">
        <v>48.7</v>
      </c>
      <c r="H635" s="174" t="n">
        <v>-10.1</v>
      </c>
      <c r="I635" s="174" t="n">
        <v>5.6</v>
      </c>
      <c r="J635" s="174" t="n">
        <v>38.3</v>
      </c>
      <c r="K635" s="175" t="inlineStr">
        <is>
          <t>2585 MOKINGRAN</t>
        </is>
      </c>
    </row>
    <row r="636">
      <c r="A636" s="17" t="inlineStr">
        <is>
          <t>C-MER Eye Care Holdings Limited</t>
        </is>
      </c>
      <c r="B636" s="167" t="n">
        <v>1</v>
      </c>
      <c r="C636" s="173" t="n">
        <v>100</v>
      </c>
      <c r="D636" s="174" t="n">
        <v>7.3</v>
      </c>
      <c r="E636" s="174" t="n">
        <v>106.5</v>
      </c>
      <c r="F636" s="174" t="n">
        <v>64.2</v>
      </c>
      <c r="G636" s="174" t="n">
        <v>59</v>
      </c>
      <c r="H636" s="174" t="n">
        <v>92.5</v>
      </c>
      <c r="I636" s="174" t="n">
        <v>53</v>
      </c>
      <c r="J636" s="174" t="n">
        <v>48.2</v>
      </c>
      <c r="K636" s="175" t="inlineStr">
        <is>
          <t>0020 SENSETIME-W</t>
        </is>
      </c>
    </row>
    <row r="637">
      <c r="A637" s="17" t="inlineStr">
        <is>
          <t>Guosheng Overseas Holdings (Hong Kong) Limited</t>
        </is>
      </c>
      <c r="B637" s="167" t="n">
        <v>1</v>
      </c>
      <c r="C637" s="173" t="n">
        <v>100</v>
      </c>
      <c r="D637" s="174" t="n">
        <v>7.3</v>
      </c>
      <c r="E637" s="174" t="n">
        <v>106.5</v>
      </c>
      <c r="F637" s="174" t="n">
        <v>64.2</v>
      </c>
      <c r="G637" s="174" t="n">
        <v>59</v>
      </c>
      <c r="H637" s="174" t="n">
        <v>92.5</v>
      </c>
      <c r="I637" s="174" t="n">
        <v>53</v>
      </c>
      <c r="J637" s="174" t="n">
        <v>48.2</v>
      </c>
      <c r="K637" s="175" t="inlineStr">
        <is>
          <t>0020 SENSETIME-W</t>
        </is>
      </c>
    </row>
    <row r="638">
      <c r="A638" s="17" t="inlineStr">
        <is>
          <t>HKSTP Venture Fund</t>
        </is>
      </c>
      <c r="B638" s="167" t="n">
        <v>1</v>
      </c>
      <c r="C638" s="173" t="n">
        <v>100</v>
      </c>
      <c r="D638" s="174" t="n">
        <v>7.3</v>
      </c>
      <c r="E638" s="174" t="n">
        <v>106.5</v>
      </c>
      <c r="F638" s="174" t="n">
        <v>64.2</v>
      </c>
      <c r="G638" s="174" t="n">
        <v>59</v>
      </c>
      <c r="H638" s="174" t="n">
        <v>92.5</v>
      </c>
      <c r="I638" s="174" t="n">
        <v>53</v>
      </c>
      <c r="J638" s="174" t="n">
        <v>48.2</v>
      </c>
      <c r="K638" s="175" t="inlineStr">
        <is>
          <t>0020 SENSETIME-W</t>
        </is>
      </c>
    </row>
    <row r="639">
      <c r="A639" s="17" t="inlineStr">
        <is>
          <t>SAIC Motor HK Investment Limited</t>
        </is>
      </c>
      <c r="B639" s="167" t="n">
        <v>1</v>
      </c>
      <c r="C639" s="173" t="n">
        <v>100</v>
      </c>
      <c r="D639" s="174" t="n">
        <v>7.3</v>
      </c>
      <c r="E639" s="174" t="n">
        <v>106.5</v>
      </c>
      <c r="F639" s="174" t="n">
        <v>64.2</v>
      </c>
      <c r="G639" s="174" t="n">
        <v>59</v>
      </c>
      <c r="H639" s="174" t="n">
        <v>92.5</v>
      </c>
      <c r="I639" s="174" t="n">
        <v>53</v>
      </c>
      <c r="J639" s="174" t="n">
        <v>48.2</v>
      </c>
      <c r="K639" s="175" t="inlineStr">
        <is>
          <t>0020 SENSETIME-W</t>
        </is>
      </c>
    </row>
    <row r="640">
      <c r="A640" s="17" t="inlineStr">
        <is>
          <t>Shanghai Xuhui Capital Investment Co., Ltd</t>
        </is>
      </c>
      <c r="B640" s="167" t="n">
        <v>1</v>
      </c>
      <c r="C640" s="173" t="n">
        <v>100</v>
      </c>
      <c r="D640" s="174" t="n">
        <v>7.3</v>
      </c>
      <c r="E640" s="174" t="n">
        <v>106.5</v>
      </c>
      <c r="F640" s="174" t="n">
        <v>64.2</v>
      </c>
      <c r="G640" s="174" t="n">
        <v>59</v>
      </c>
      <c r="H640" s="174" t="n">
        <v>92.5</v>
      </c>
      <c r="I640" s="174" t="n">
        <v>53</v>
      </c>
      <c r="J640" s="174" t="n">
        <v>48.2</v>
      </c>
      <c r="K640" s="175" t="inlineStr">
        <is>
          <t>0020 SENSETIME-W</t>
        </is>
      </c>
    </row>
    <row r="641">
      <c r="A641" s="17" t="inlineStr">
        <is>
          <t>Taizhou Culture &amp; Tourism Development Group Ltd</t>
        </is>
      </c>
      <c r="B641" s="167" t="n">
        <v>1</v>
      </c>
      <c r="C641" s="173" t="n">
        <v>100</v>
      </c>
      <c r="D641" s="174" t="n">
        <v>7.3</v>
      </c>
      <c r="E641" s="174" t="n">
        <v>106.5</v>
      </c>
      <c r="F641" s="174" t="n">
        <v>64.2</v>
      </c>
      <c r="G641" s="174" t="n">
        <v>59</v>
      </c>
      <c r="H641" s="174" t="n">
        <v>92.5</v>
      </c>
      <c r="I641" s="174" t="n">
        <v>53</v>
      </c>
      <c r="J641" s="174" t="n">
        <v>48.2</v>
      </c>
      <c r="K641" s="175" t="inlineStr">
        <is>
          <t>0020 SENSETIME-W</t>
        </is>
      </c>
    </row>
    <row r="642">
      <c r="A642" s="17" t="inlineStr">
        <is>
          <t>HONG KONG BAIJIADA NEW MATERIAL LIMITED</t>
        </is>
      </c>
      <c r="B642" s="167" t="n">
        <v>1</v>
      </c>
      <c r="C642" s="173" t="n">
        <v>100</v>
      </c>
      <c r="D642" s="174" t="n">
        <v>7.1</v>
      </c>
      <c r="E642" s="174" t="n">
        <v>1.1</v>
      </c>
      <c r="F642" s="174" t="n">
        <v>0.7</v>
      </c>
      <c r="G642" s="174" t="n">
        <v>5.5</v>
      </c>
      <c r="H642" s="174" t="n">
        <v>-5.7</v>
      </c>
      <c r="I642" s="174" t="n">
        <v>-6</v>
      </c>
      <c r="J642" s="174" t="n">
        <v>-1.5</v>
      </c>
      <c r="K642" s="175" t="inlineStr">
        <is>
          <t>2411 PAGODA GP</t>
        </is>
      </c>
    </row>
    <row r="643">
      <c r="A643" s="17" t="inlineStr">
        <is>
          <t>Nantong Douson Drilling and Production Equipment Co., Ltd</t>
        </is>
      </c>
      <c r="B643" s="167" t="n">
        <v>1</v>
      </c>
      <c r="C643" s="173" t="n">
        <v>100</v>
      </c>
      <c r="D643" s="174" t="n">
        <v>7.1</v>
      </c>
      <c r="E643" s="174" t="n">
        <v>1.1</v>
      </c>
      <c r="F643" s="174" t="n">
        <v>0.7</v>
      </c>
      <c r="G643" s="174" t="n">
        <v>5.5</v>
      </c>
      <c r="H643" s="174" t="n">
        <v>-5.7</v>
      </c>
      <c r="I643" s="174" t="n">
        <v>-6</v>
      </c>
      <c r="J643" s="174" t="n">
        <v>-1.5</v>
      </c>
      <c r="K643" s="175" t="inlineStr">
        <is>
          <t>2411 PAGODA GP</t>
        </is>
      </c>
    </row>
    <row r="644">
      <c r="A644" s="17" t="inlineStr">
        <is>
          <t>Yip Wing Kui</t>
        </is>
      </c>
      <c r="B644" s="167" t="n">
        <v>1</v>
      </c>
      <c r="C644" s="173" t="n">
        <v>100</v>
      </c>
      <c r="D644" s="174" t="n">
        <v>7.1</v>
      </c>
      <c r="E644" s="174" t="n">
        <v>1.1</v>
      </c>
      <c r="F644" s="174" t="n">
        <v>0.7</v>
      </c>
      <c r="G644" s="174" t="n">
        <v>5.5</v>
      </c>
      <c r="H644" s="174" t="n">
        <v>-5.7</v>
      </c>
      <c r="I644" s="174" t="n">
        <v>-6</v>
      </c>
      <c r="J644" s="174" t="n">
        <v>-1.5</v>
      </c>
      <c r="K644" s="175" t="inlineStr">
        <is>
          <t>2411 PAGODA GP</t>
        </is>
      </c>
    </row>
    <row r="645">
      <c r="A645" s="17" t="inlineStr">
        <is>
          <t>H&amp;T Intelligent Control International Co., Limited</t>
        </is>
      </c>
      <c r="B645" s="167" t="n">
        <v>1</v>
      </c>
      <c r="C645" s="173" t="n">
        <v>100</v>
      </c>
      <c r="D645" s="174" t="n">
        <v>6.4</v>
      </c>
      <c r="E645" s="174" t="n">
        <v>2.3</v>
      </c>
      <c r="F645" s="174" t="n">
        <v>42.3</v>
      </c>
      <c r="G645" s="174" t="n">
        <v>23.2</v>
      </c>
      <c r="H645" s="174" t="n">
        <v>-3.8</v>
      </c>
      <c r="I645" s="174" t="n">
        <v>33.7</v>
      </c>
      <c r="J645" s="174" t="n">
        <v>15.8</v>
      </c>
      <c r="K645" s="175" t="inlineStr">
        <is>
          <t>2631 SICC</t>
        </is>
      </c>
    </row>
    <row r="646">
      <c r="A646" s="17" t="inlineStr">
        <is>
          <t>Mr. Lan Kun ( ᚆտ)</t>
        </is>
      </c>
      <c r="B646" s="167" t="n">
        <v>1</v>
      </c>
      <c r="C646" s="173" t="n">
        <v>100</v>
      </c>
      <c r="D646" s="174" t="n">
        <v>6.4</v>
      </c>
      <c r="E646" s="174" t="n">
        <v>2.3</v>
      </c>
      <c r="F646" s="174" t="n">
        <v>42.3</v>
      </c>
      <c r="G646" s="174" t="n">
        <v>23.2</v>
      </c>
      <c r="H646" s="174" t="n">
        <v>-3.8</v>
      </c>
      <c r="I646" s="174" t="n">
        <v>33.7</v>
      </c>
      <c r="J646" s="174" t="n">
        <v>15.8</v>
      </c>
      <c r="K646" s="175" t="inlineStr">
        <is>
          <t>2631 SICC</t>
        </is>
      </c>
    </row>
    <row r="647">
      <c r="A647" s="17" t="inlineStr">
        <is>
          <t>Mr. Tiago Braz</t>
        </is>
      </c>
      <c r="B647" s="167" t="n">
        <v>1</v>
      </c>
      <c r="C647" s="173" t="n">
        <v>100</v>
      </c>
      <c r="D647" s="174" t="n">
        <v>6.3</v>
      </c>
      <c r="E647" s="174" t="n">
        <v>-5.7</v>
      </c>
      <c r="F647" s="174" t="n">
        <v>-4.1</v>
      </c>
      <c r="G647" s="174" t="n">
        <v>-8.699999999999999</v>
      </c>
      <c r="H647" s="174" t="n">
        <v>-11.2</v>
      </c>
      <c r="I647" s="174" t="n">
        <v>-9.800000000000001</v>
      </c>
      <c r="J647" s="174" t="n">
        <v>-14.1</v>
      </c>
      <c r="K647" s="175" t="inlineStr">
        <is>
          <t>2613 CONTIOCEAN</t>
        </is>
      </c>
    </row>
    <row r="648">
      <c r="A648" s="17" t="inlineStr">
        <is>
          <t>Yorkool International Limited</t>
        </is>
      </c>
      <c r="B648" s="167" t="n">
        <v>1</v>
      </c>
      <c r="C648" s="173" t="n">
        <v>100</v>
      </c>
      <c r="D648" s="174" t="n">
        <v>6</v>
      </c>
      <c r="E648" s="174" t="n">
        <v>34</v>
      </c>
      <c r="F648" s="174" t="n">
        <v>24.2</v>
      </c>
      <c r="G648" s="174" t="n">
        <v>9.9</v>
      </c>
      <c r="H648" s="174" t="n">
        <v>26.4</v>
      </c>
      <c r="I648" s="174" t="n">
        <v>17.1</v>
      </c>
      <c r="J648" s="174" t="n">
        <v>3.7</v>
      </c>
      <c r="K648" s="175" t="inlineStr">
        <is>
          <t>2252 MEDBOT-B</t>
        </is>
      </c>
    </row>
    <row r="649">
      <c r="A649" s="17" t="inlineStr">
        <is>
          <t>CS Logistics Holdings Ltd</t>
        </is>
      </c>
      <c r="B649" s="167" t="n">
        <v>1</v>
      </c>
      <c r="C649" s="173" t="n">
        <v>100</v>
      </c>
      <c r="D649" s="174" t="n">
        <v>5.5</v>
      </c>
      <c r="E649" s="174" t="n">
        <v>-7.6</v>
      </c>
      <c r="F649" s="174" t="n">
        <v>-20.1</v>
      </c>
      <c r="G649" s="174" t="n">
        <v>-56.1</v>
      </c>
      <c r="H649" s="174" t="n">
        <v>-12.4</v>
      </c>
      <c r="I649" s="174" t="n">
        <v>-24.3</v>
      </c>
      <c r="J649" s="174" t="n">
        <v>-58.4</v>
      </c>
      <c r="K649" s="175" t="inlineStr">
        <is>
          <t>2209 YESASIA HLDGS</t>
        </is>
      </c>
    </row>
    <row r="650">
      <c r="A650" s="17" t="inlineStr">
        <is>
          <t>De Well Group Singapore Pte. Ltd</t>
        </is>
      </c>
      <c r="B650" s="167" t="n">
        <v>1</v>
      </c>
      <c r="C650" s="173" t="n">
        <v>100</v>
      </c>
      <c r="D650" s="174" t="n">
        <v>5.5</v>
      </c>
      <c r="E650" s="174" t="n">
        <v>-16.4</v>
      </c>
      <c r="F650" s="174" t="n">
        <v>-20.9</v>
      </c>
      <c r="G650" s="174" t="n">
        <v>-33.8</v>
      </c>
      <c r="H650" s="174" t="n">
        <v>-20.8</v>
      </c>
      <c r="I650" s="174" t="n">
        <v>-25</v>
      </c>
      <c r="J650" s="174" t="n">
        <v>-37.3</v>
      </c>
      <c r="K650" s="175" t="inlineStr">
        <is>
          <t>2420 ZIBUYU</t>
        </is>
      </c>
    </row>
    <row r="651">
      <c r="A651" s="17" t="inlineStr">
        <is>
          <t>Castrol Holdings International Limited</t>
        </is>
      </c>
      <c r="B651" s="167" t="n">
        <v>1</v>
      </c>
      <c r="C651" s="173" t="n">
        <v>100</v>
      </c>
      <c r="D651" s="174" t="n">
        <v>5.4</v>
      </c>
      <c r="E651" s="174" t="n">
        <v>2.5</v>
      </c>
      <c r="F651" s="174" t="n">
        <v>25.7</v>
      </c>
      <c r="G651" s="174" t="n">
        <v>7</v>
      </c>
      <c r="H651" s="174" t="n">
        <v>-2.7</v>
      </c>
      <c r="I651" s="174" t="n">
        <v>19.3</v>
      </c>
      <c r="J651" s="174" t="n">
        <v>1.5</v>
      </c>
      <c r="K651" s="175" t="inlineStr">
        <is>
          <t>9690 TUHU-W</t>
        </is>
      </c>
    </row>
    <row r="652">
      <c r="A652" s="17" t="inlineStr">
        <is>
          <t>Image Frame Investment (HK) Limited</t>
        </is>
      </c>
      <c r="B652" s="167" t="n">
        <v>1</v>
      </c>
      <c r="C652" s="173" t="n">
        <v>100</v>
      </c>
      <c r="D652" s="174" t="n">
        <v>5.4</v>
      </c>
      <c r="E652" s="174" t="n">
        <v>2.5</v>
      </c>
      <c r="F652" s="174" t="n">
        <v>25.7</v>
      </c>
      <c r="G652" s="174" t="n">
        <v>7</v>
      </c>
      <c r="H652" s="174" t="n">
        <v>-2.7</v>
      </c>
      <c r="I652" s="174" t="n">
        <v>19.3</v>
      </c>
      <c r="J652" s="174" t="n">
        <v>1.5</v>
      </c>
      <c r="K652" s="175" t="inlineStr">
        <is>
          <t>9690 TUHU-W</t>
        </is>
      </c>
    </row>
    <row r="653">
      <c r="A653" s="17" t="inlineStr">
        <is>
          <t>Shanghai Zizhu High-tech Zone (Group) Co., Ltd</t>
        </is>
      </c>
      <c r="B653" s="167" t="n">
        <v>1</v>
      </c>
      <c r="C653" s="173" t="n">
        <v>100</v>
      </c>
      <c r="D653" s="174" t="n">
        <v>5.4</v>
      </c>
      <c r="E653" s="174" t="n">
        <v>2.5</v>
      </c>
      <c r="F653" s="174" t="n">
        <v>25.7</v>
      </c>
      <c r="G653" s="174" t="n">
        <v>7</v>
      </c>
      <c r="H653" s="174" t="n">
        <v>-2.7</v>
      </c>
      <c r="I653" s="174" t="n">
        <v>19.3</v>
      </c>
      <c r="J653" s="174" t="n">
        <v>1.5</v>
      </c>
      <c r="K653" s="175" t="inlineStr">
        <is>
          <t>9690 TUHU-W</t>
        </is>
      </c>
    </row>
    <row r="654">
      <c r="A654" s="17" t="inlineStr">
        <is>
          <t>Accelerator VI Ltd</t>
        </is>
      </c>
      <c r="B654" s="167" t="n">
        <v>1</v>
      </c>
      <c r="C654" s="173" t="n">
        <v>100</v>
      </c>
      <c r="D654" s="174" t="n">
        <v>5.4</v>
      </c>
      <c r="E654" s="174" t="n">
        <v>12.6</v>
      </c>
      <c r="F654" s="174" t="n">
        <v>9.9</v>
      </c>
      <c r="G654" s="174" t="n">
        <v>92.5</v>
      </c>
      <c r="H654" s="174" t="n">
        <v>6.9</v>
      </c>
      <c r="I654" s="174" t="n">
        <v>4.3</v>
      </c>
      <c r="J654" s="174" t="n">
        <v>82.7</v>
      </c>
      <c r="K654" s="175" t="inlineStr">
        <is>
          <t>2590 GEEKPLUS-W</t>
        </is>
      </c>
    </row>
    <row r="655">
      <c r="A655" s="17" t="inlineStr">
        <is>
          <t>Primus Cabibbo Limited</t>
        </is>
      </c>
      <c r="B655" s="167" t="n">
        <v>1</v>
      </c>
      <c r="C655" s="173" t="n">
        <v>100</v>
      </c>
      <c r="D655" s="174" t="n">
        <v>5.4</v>
      </c>
      <c r="E655" s="174" t="n">
        <v>12.6</v>
      </c>
      <c r="F655" s="174" t="n">
        <v>9.9</v>
      </c>
      <c r="G655" s="174" t="n">
        <v>92.5</v>
      </c>
      <c r="H655" s="174" t="n">
        <v>6.9</v>
      </c>
      <c r="I655" s="174" t="n">
        <v>4.3</v>
      </c>
      <c r="J655" s="174" t="n">
        <v>82.7</v>
      </c>
      <c r="K655" s="175" t="inlineStr">
        <is>
          <t>2590 GEEKPLUS-W</t>
        </is>
      </c>
    </row>
    <row r="656">
      <c r="A656" s="17" t="inlineStr">
        <is>
          <t>NCC China A-Share Master Fund</t>
        </is>
      </c>
      <c r="B656" s="167" t="n">
        <v>1</v>
      </c>
      <c r="C656" s="173" t="n">
        <v>100</v>
      </c>
      <c r="D656" s="174" t="n">
        <v>5.1</v>
      </c>
      <c r="E656" s="174" t="n">
        <v>1.1</v>
      </c>
      <c r="F656" s="174" t="n">
        <v>-17.3</v>
      </c>
      <c r="G656" s="174" t="n">
        <v>-38.1</v>
      </c>
      <c r="H656" s="174" t="n">
        <v>-3.7</v>
      </c>
      <c r="I656" s="174" t="n">
        <v>-21.3</v>
      </c>
      <c r="J656" s="174" t="n">
        <v>-41.1</v>
      </c>
      <c r="K656" s="175" t="inlineStr">
        <is>
          <t>2279 YONGHE MEDICAL</t>
        </is>
      </c>
    </row>
    <row r="657">
      <c r="A657" s="17" t="inlineStr">
        <is>
          <t>Xunyi Limited</t>
        </is>
      </c>
      <c r="B657" s="167" t="n">
        <v>1</v>
      </c>
      <c r="C657" s="173" t="n">
        <v>100</v>
      </c>
      <c r="D657" s="174" t="n">
        <v>5.1</v>
      </c>
      <c r="E657" s="174" t="n">
        <v>2.2</v>
      </c>
      <c r="F657" s="174" t="n">
        <v>5.4</v>
      </c>
      <c r="G657" s="174" t="n">
        <v>60.8</v>
      </c>
      <c r="H657" s="174" t="n">
        <v>-2.8</v>
      </c>
      <c r="I657" s="174" t="n">
        <v>0.3</v>
      </c>
      <c r="J657" s="174" t="n">
        <v>53</v>
      </c>
      <c r="K657" s="175" t="inlineStr">
        <is>
          <t>2506 XUNFEIHEALTH</t>
        </is>
      </c>
    </row>
    <row r="658">
      <c r="A658" s="17" t="inlineStr">
        <is>
          <t>ClinChoice Medical Development Limited</t>
        </is>
      </c>
      <c r="B658" s="167" t="n">
        <v>1</v>
      </c>
      <c r="C658" s="173" t="n">
        <v>100</v>
      </c>
      <c r="D658" s="174" t="n">
        <v>5</v>
      </c>
      <c r="E658" s="174" t="n">
        <v>34.4</v>
      </c>
      <c r="F658" s="174" t="n">
        <v>38.2</v>
      </c>
      <c r="G658" s="174" t="n">
        <v>53</v>
      </c>
      <c r="H658" s="174" t="n">
        <v>28.1</v>
      </c>
      <c r="I658" s="174" t="n">
        <v>31.6</v>
      </c>
      <c r="J658" s="174" t="n">
        <v>45.8</v>
      </c>
      <c r="K658" s="175" t="inlineStr">
        <is>
          <t>1541 IMMUNEONCO-B</t>
        </is>
      </c>
    </row>
    <row r="659">
      <c r="A659" s="17" t="inlineStr">
        <is>
          <t>Hong Tai International III LPF</t>
        </is>
      </c>
      <c r="B659" s="167" t="n">
        <v>1</v>
      </c>
      <c r="C659" s="173" t="n">
        <v>100</v>
      </c>
      <c r="D659" s="174" t="n">
        <v>5</v>
      </c>
      <c r="E659" s="174" t="n">
        <v>-19.4</v>
      </c>
      <c r="F659" s="174" t="n">
        <v>-17.1</v>
      </c>
      <c r="G659" s="174" t="n">
        <v>-2.7</v>
      </c>
      <c r="H659" s="174" t="n">
        <v>-23.3</v>
      </c>
      <c r="I659" s="174" t="n">
        <v>-21.1</v>
      </c>
      <c r="J659" s="174" t="n">
        <v>-7.3</v>
      </c>
      <c r="K659" s="175" t="inlineStr">
        <is>
          <t>1471 ZHONGMIAO</t>
        </is>
      </c>
    </row>
    <row r="660">
      <c r="A660" s="17" t="inlineStr">
        <is>
          <t>Golden Feather Corporation</t>
        </is>
      </c>
      <c r="B660" s="167" t="n">
        <v>1</v>
      </c>
      <c r="C660" s="173" t="n">
        <v>100</v>
      </c>
      <c r="D660" s="174" t="n">
        <v>4.9</v>
      </c>
      <c r="E660" s="174" t="n">
        <v>0</v>
      </c>
      <c r="F660" s="174" t="n">
        <v>-8.5</v>
      </c>
      <c r="G660" s="174" t="n">
        <v>3</v>
      </c>
      <c r="H660" s="174" t="n">
        <v>-4.7</v>
      </c>
      <c r="I660" s="174" t="n">
        <v>-12.8</v>
      </c>
      <c r="J660" s="174" t="n">
        <v>-1.8</v>
      </c>
      <c r="K660" s="175" t="inlineStr">
        <is>
          <t>9878 HUITONGDA NET</t>
        </is>
      </c>
    </row>
    <row r="661">
      <c r="A661" s="17" t="inlineStr">
        <is>
          <t>Skyworth Overseas Investment Holdings Limited</t>
        </is>
      </c>
      <c r="B661" s="167" t="n">
        <v>1</v>
      </c>
      <c r="C661" s="173" t="n">
        <v>100</v>
      </c>
      <c r="D661" s="174" t="n">
        <v>4.9</v>
      </c>
      <c r="E661" s="174" t="n">
        <v>0</v>
      </c>
      <c r="F661" s="174" t="n">
        <v>-8.5</v>
      </c>
      <c r="G661" s="174" t="n">
        <v>3</v>
      </c>
      <c r="H661" s="174" t="n">
        <v>-4.7</v>
      </c>
      <c r="I661" s="174" t="n">
        <v>-12.8</v>
      </c>
      <c r="J661" s="174" t="n">
        <v>-1.8</v>
      </c>
      <c r="K661" s="175" t="inlineStr">
        <is>
          <t>9878 HUITONGDA NET</t>
        </is>
      </c>
    </row>
    <row r="662">
      <c r="A662" s="17" t="inlineStr">
        <is>
          <t>Windfall T&amp;L SPC</t>
        </is>
      </c>
      <c r="B662" s="167" t="n">
        <v>1</v>
      </c>
      <c r="C662" s="173" t="n">
        <v>100</v>
      </c>
      <c r="D662" s="174" t="n">
        <v>4.9</v>
      </c>
      <c r="E662" s="174" t="n">
        <v>0</v>
      </c>
      <c r="F662" s="174" t="n">
        <v>-8.5</v>
      </c>
      <c r="G662" s="174" t="n">
        <v>3</v>
      </c>
      <c r="H662" s="174" t="n">
        <v>-4.7</v>
      </c>
      <c r="I662" s="174" t="n">
        <v>-12.8</v>
      </c>
      <c r="J662" s="174" t="n">
        <v>-1.8</v>
      </c>
      <c r="K662" s="175" t="inlineStr">
        <is>
          <t>9878 HUITONGDA NET</t>
        </is>
      </c>
    </row>
    <row r="663">
      <c r="A663" s="17" t="inlineStr">
        <is>
          <t>Manulife Investment Management (Hong Kong) Limited</t>
        </is>
      </c>
      <c r="B663" s="167" t="n">
        <v>1</v>
      </c>
      <c r="C663" s="173" t="n">
        <v>100</v>
      </c>
      <c r="D663" s="174" t="n">
        <v>4.7</v>
      </c>
      <c r="E663" s="174" t="n">
        <v>-2.3</v>
      </c>
      <c r="F663" s="174" t="n">
        <v>6.7</v>
      </c>
      <c r="G663" s="174" t="n"/>
      <c r="H663" s="174" t="n">
        <v>-6.7</v>
      </c>
      <c r="I663" s="174" t="n">
        <v>1.9</v>
      </c>
      <c r="J663" s="174" t="n"/>
      <c r="K663" s="175" t="inlineStr">
        <is>
          <t>6951 CCTC</t>
        </is>
      </c>
    </row>
    <row r="664">
      <c r="A664" s="17" t="inlineStr">
        <is>
          <t>Yuanbao Family Office Limited</t>
        </is>
      </c>
      <c r="B664" s="167" t="n">
        <v>1</v>
      </c>
      <c r="C664" s="173" t="n">
        <v>100</v>
      </c>
      <c r="D664" s="174" t="n">
        <v>4.3</v>
      </c>
      <c r="E664" s="174" t="n">
        <v>-19.5</v>
      </c>
      <c r="F664" s="174" t="n">
        <v>-44.7</v>
      </c>
      <c r="G664" s="174" t="n"/>
      <c r="H664" s="174" t="n">
        <v>-22.9</v>
      </c>
      <c r="I664" s="174" t="n">
        <v>-47</v>
      </c>
      <c r="J664" s="174" t="n"/>
      <c r="K664" s="175" t="inlineStr">
        <is>
          <t>6106 SEER TECH</t>
        </is>
      </c>
    </row>
    <row r="665">
      <c r="A665" s="17" t="inlineStr">
        <is>
          <t>Fook Man Development Company Limited</t>
        </is>
      </c>
      <c r="B665" s="167" t="n">
        <v>1</v>
      </c>
      <c r="C665" s="173" t="n">
        <v>100</v>
      </c>
      <c r="D665" s="174" t="n">
        <v>4.2</v>
      </c>
      <c r="E665" s="174" t="n">
        <v>-4.9</v>
      </c>
      <c r="F665" s="174" t="n">
        <v>-8.6</v>
      </c>
      <c r="G665" s="174" t="n">
        <v>-4.7</v>
      </c>
      <c r="H665" s="174" t="n">
        <v>-8.699999999999999</v>
      </c>
      <c r="I665" s="174" t="n">
        <v>-12.2</v>
      </c>
      <c r="J665" s="174" t="n">
        <v>-8.5</v>
      </c>
      <c r="K665" s="175" t="inlineStr">
        <is>
          <t>9889 DRCB</t>
        </is>
      </c>
    </row>
    <row r="666">
      <c r="A666" s="17" t="inlineStr">
        <is>
          <t>Guohua Life Insurance Co., Ltd</t>
        </is>
      </c>
      <c r="B666" s="167" t="n">
        <v>1</v>
      </c>
      <c r="C666" s="173" t="n">
        <v>100</v>
      </c>
      <c r="D666" s="174" t="n">
        <v>4.2</v>
      </c>
      <c r="E666" s="174" t="n">
        <v>21.1</v>
      </c>
      <c r="F666" s="174" t="n">
        <v>14.5</v>
      </c>
      <c r="G666" s="174" t="n">
        <v>17.8</v>
      </c>
      <c r="H666" s="174" t="n">
        <v>16.3</v>
      </c>
      <c r="I666" s="174" t="n">
        <v>9.9</v>
      </c>
      <c r="J666" s="174" t="n">
        <v>13.1</v>
      </c>
      <c r="K666" s="175" t="inlineStr">
        <is>
          <t>2701 NSING TECH</t>
        </is>
      </c>
    </row>
    <row r="667">
      <c r="A667" s="17" t="inlineStr">
        <is>
          <t>Mr. An Jiangbo</t>
        </is>
      </c>
      <c r="B667" s="167" t="n">
        <v>1</v>
      </c>
      <c r="C667" s="173" t="n">
        <v>100</v>
      </c>
      <c r="D667" s="174" t="n">
        <v>4.2</v>
      </c>
      <c r="E667" s="174" t="n">
        <v>21.1</v>
      </c>
      <c r="F667" s="174" t="n">
        <v>14.5</v>
      </c>
      <c r="G667" s="174" t="n">
        <v>17.8</v>
      </c>
      <c r="H667" s="174" t="n">
        <v>16.3</v>
      </c>
      <c r="I667" s="174" t="n">
        <v>9.9</v>
      </c>
      <c r="J667" s="174" t="n">
        <v>13.1</v>
      </c>
      <c r="K667" s="175" t="inlineStr">
        <is>
          <t>2701 NSING TECH</t>
        </is>
      </c>
    </row>
    <row r="668">
      <c r="A668" s="17" t="inlineStr">
        <is>
          <t>Ms. Christine Tai</t>
        </is>
      </c>
      <c r="B668" s="167" t="n">
        <v>1</v>
      </c>
      <c r="C668" s="173" t="n">
        <v>100</v>
      </c>
      <c r="D668" s="174" t="n">
        <v>4.2</v>
      </c>
      <c r="E668" s="174" t="n">
        <v>21.1</v>
      </c>
      <c r="F668" s="174" t="n">
        <v>14.5</v>
      </c>
      <c r="G668" s="174" t="n">
        <v>17.8</v>
      </c>
      <c r="H668" s="174" t="n">
        <v>16.3</v>
      </c>
      <c r="I668" s="174" t="n">
        <v>9.9</v>
      </c>
      <c r="J668" s="174" t="n">
        <v>13.1</v>
      </c>
      <c r="K668" s="175" t="inlineStr">
        <is>
          <t>2701 NSING TECH</t>
        </is>
      </c>
    </row>
    <row r="669">
      <c r="A669" s="17" t="inlineStr">
        <is>
          <t>Hangzhou Fuyang Industrial Fund Investment Management Co., Ltd</t>
        </is>
      </c>
      <c r="B669" s="167" t="n">
        <v>1</v>
      </c>
      <c r="C669" s="173" t="n">
        <v>100</v>
      </c>
      <c r="D669" s="174" t="n">
        <v>4</v>
      </c>
      <c r="E669" s="174" t="n">
        <v>-5.1</v>
      </c>
      <c r="F669" s="174" t="n">
        <v>-6.2</v>
      </c>
      <c r="G669" s="174" t="n">
        <v>45.7</v>
      </c>
      <c r="H669" s="174" t="n">
        <v>-8.699999999999999</v>
      </c>
      <c r="I669" s="174" t="n">
        <v>-9.800000000000001</v>
      </c>
      <c r="J669" s="174" t="n">
        <v>40.1</v>
      </c>
      <c r="K669" s="175" t="inlineStr">
        <is>
          <t>6929 ORBUSNEICH</t>
        </is>
      </c>
    </row>
    <row r="670">
      <c r="A670" s="17" t="inlineStr">
        <is>
          <t>Wii Pte Ltd (Wilmar)</t>
        </is>
      </c>
      <c r="B670" s="167" t="n">
        <v>1</v>
      </c>
      <c r="C670" s="173" t="n">
        <v>100</v>
      </c>
      <c r="D670" s="174" t="n">
        <v>3.9</v>
      </c>
      <c r="E670" s="174" t="n">
        <v>0.5</v>
      </c>
      <c r="F670" s="174" t="n">
        <v>19.7</v>
      </c>
      <c r="G670" s="174" t="n">
        <v>0.7</v>
      </c>
      <c r="H670" s="174" t="n">
        <v>-3.3</v>
      </c>
      <c r="I670" s="174" t="n">
        <v>15.2</v>
      </c>
      <c r="J670" s="174" t="n">
        <v>-3.1</v>
      </c>
      <c r="K670" s="175" t="inlineStr">
        <is>
          <t>2714 MUYUAN</t>
        </is>
      </c>
    </row>
    <row r="671">
      <c r="A671" s="17" t="inlineStr">
        <is>
          <t>HPRY Holdings (Wilmar)</t>
        </is>
      </c>
      <c r="B671" s="167" t="n">
        <v>1</v>
      </c>
      <c r="C671" s="173" t="n">
        <v>100</v>
      </c>
      <c r="D671" s="174" t="n">
        <v>3.9</v>
      </c>
      <c r="E671" s="174" t="n">
        <v>0.5</v>
      </c>
      <c r="F671" s="174" t="n">
        <v>19.7</v>
      </c>
      <c r="G671" s="174" t="n">
        <v>0.7</v>
      </c>
      <c r="H671" s="174" t="n">
        <v>-3.3</v>
      </c>
      <c r="I671" s="174" t="n">
        <v>15.2</v>
      </c>
      <c r="J671" s="174" t="n">
        <v>-3.1</v>
      </c>
      <c r="K671" s="175" t="inlineStr">
        <is>
          <t>2714 MUYUAN</t>
        </is>
      </c>
    </row>
    <row r="672">
      <c r="A672" s="17" t="inlineStr">
        <is>
          <t>Sinochem Hong Kong (Group)</t>
        </is>
      </c>
      <c r="B672" s="167" t="n">
        <v>1</v>
      </c>
      <c r="C672" s="173" t="n">
        <v>100</v>
      </c>
      <c r="D672" s="174" t="n">
        <v>3.9</v>
      </c>
      <c r="E672" s="174" t="n">
        <v>0.5</v>
      </c>
      <c r="F672" s="174" t="n">
        <v>19.7</v>
      </c>
      <c r="G672" s="174" t="n">
        <v>0.7</v>
      </c>
      <c r="H672" s="174" t="n">
        <v>-3.3</v>
      </c>
      <c r="I672" s="174" t="n">
        <v>15.2</v>
      </c>
      <c r="J672" s="174" t="n">
        <v>-3.1</v>
      </c>
      <c r="K672" s="175" t="inlineStr">
        <is>
          <t>2714 MUYUAN</t>
        </is>
      </c>
    </row>
    <row r="673">
      <c r="A673" s="17" t="inlineStr">
        <is>
          <t>Hong Kong Henan Agri International</t>
        </is>
      </c>
      <c r="B673" s="167" t="n">
        <v>1</v>
      </c>
      <c r="C673" s="173" t="n">
        <v>100</v>
      </c>
      <c r="D673" s="174" t="n">
        <v>3.9</v>
      </c>
      <c r="E673" s="174" t="n">
        <v>0.5</v>
      </c>
      <c r="F673" s="174" t="n">
        <v>19.7</v>
      </c>
      <c r="G673" s="174" t="n">
        <v>0.7</v>
      </c>
      <c r="H673" s="174" t="n">
        <v>-3.3</v>
      </c>
      <c r="I673" s="174" t="n">
        <v>15.2</v>
      </c>
      <c r="J673" s="174" t="n">
        <v>-3.1</v>
      </c>
      <c r="K673" s="175" t="inlineStr">
        <is>
          <t>2714 MUYUAN</t>
        </is>
      </c>
    </row>
    <row r="674">
      <c r="A674" s="17" t="inlineStr">
        <is>
          <t>Midea Development Holding (BVI)</t>
        </is>
      </c>
      <c r="B674" s="167" t="n">
        <v>1</v>
      </c>
      <c r="C674" s="173" t="n">
        <v>100</v>
      </c>
      <c r="D674" s="174" t="n">
        <v>3.9</v>
      </c>
      <c r="E674" s="174" t="n">
        <v>0.5</v>
      </c>
      <c r="F674" s="174" t="n">
        <v>19.7</v>
      </c>
      <c r="G674" s="174" t="n">
        <v>0.7</v>
      </c>
      <c r="H674" s="174" t="n">
        <v>-3.3</v>
      </c>
      <c r="I674" s="174" t="n">
        <v>15.2</v>
      </c>
      <c r="J674" s="174" t="n">
        <v>-3.1</v>
      </c>
      <c r="K674" s="175" t="inlineStr">
        <is>
          <t>2714 MUYUAN</t>
        </is>
      </c>
    </row>
    <row r="675">
      <c r="A675" s="17" t="inlineStr">
        <is>
          <t>Cheng Hung Ping</t>
        </is>
      </c>
      <c r="B675" s="167" t="n">
        <v>1</v>
      </c>
      <c r="C675" s="173" t="n">
        <v>100</v>
      </c>
      <c r="D675" s="174" t="n">
        <v>3.8</v>
      </c>
      <c r="E675" s="174" t="n">
        <v>25</v>
      </c>
      <c r="F675" s="174" t="n">
        <v>60</v>
      </c>
      <c r="G675" s="174" t="n">
        <v>22.5</v>
      </c>
      <c r="H675" s="174" t="n">
        <v>20.5</v>
      </c>
      <c r="I675" s="174" t="n">
        <v>54.2</v>
      </c>
      <c r="J675" s="174" t="n">
        <v>18.1</v>
      </c>
      <c r="K675" s="175" t="inlineStr">
        <is>
          <t>1440 DEYUN HOLDING</t>
        </is>
      </c>
    </row>
    <row r="676">
      <c r="A676" s="17" t="inlineStr">
        <is>
          <t>Tam Yuk Ching Jenny</t>
        </is>
      </c>
      <c r="B676" s="167" t="n">
        <v>1</v>
      </c>
      <c r="C676" s="173" t="n">
        <v>100</v>
      </c>
      <c r="D676" s="174" t="n">
        <v>3.8</v>
      </c>
      <c r="E676" s="174" t="n">
        <v>25</v>
      </c>
      <c r="F676" s="174" t="n">
        <v>60</v>
      </c>
      <c r="G676" s="174" t="n">
        <v>22.5</v>
      </c>
      <c r="H676" s="174" t="n">
        <v>20.5</v>
      </c>
      <c r="I676" s="174" t="n">
        <v>54.2</v>
      </c>
      <c r="J676" s="174" t="n">
        <v>18.1</v>
      </c>
      <c r="K676" s="175" t="inlineStr">
        <is>
          <t>1440 DEYUN HOLDING</t>
        </is>
      </c>
    </row>
    <row r="677">
      <c r="A677" s="17" t="inlineStr">
        <is>
          <t>Tsai Chuen Sui Robert</t>
        </is>
      </c>
      <c r="B677" s="167" t="n">
        <v>1</v>
      </c>
      <c r="C677" s="173" t="n">
        <v>100</v>
      </c>
      <c r="D677" s="174" t="n">
        <v>3.8</v>
      </c>
      <c r="E677" s="174" t="n">
        <v>25</v>
      </c>
      <c r="F677" s="174" t="n">
        <v>60</v>
      </c>
      <c r="G677" s="174" t="n">
        <v>22.5</v>
      </c>
      <c r="H677" s="174" t="n">
        <v>20.5</v>
      </c>
      <c r="I677" s="174" t="n">
        <v>54.2</v>
      </c>
      <c r="J677" s="174" t="n">
        <v>18.1</v>
      </c>
      <c r="K677" s="175" t="inlineStr">
        <is>
          <t>1440 DEYUN HOLDING</t>
        </is>
      </c>
    </row>
    <row r="678">
      <c r="A678" s="17" t="inlineStr">
        <is>
          <t>Xingyu Automotive Lighting (Hong Kong) Company Limited</t>
        </is>
      </c>
      <c r="B678" s="167" t="n">
        <v>1</v>
      </c>
      <c r="C678" s="173" t="n">
        <v>100</v>
      </c>
      <c r="D678" s="174" t="n">
        <v>3.8</v>
      </c>
      <c r="E678" s="174" t="n">
        <v>3.7</v>
      </c>
      <c r="F678" s="174" t="n">
        <v>6.4</v>
      </c>
      <c r="G678" s="174" t="n">
        <v>-0.2</v>
      </c>
      <c r="H678" s="174" t="n">
        <v>-0.1</v>
      </c>
      <c r="I678" s="174" t="n">
        <v>2.5</v>
      </c>
      <c r="J678" s="174" t="n">
        <v>-3.8</v>
      </c>
      <c r="K678" s="175" t="inlineStr">
        <is>
          <t>9973 CHERY AUTO</t>
        </is>
      </c>
    </row>
    <row r="679">
      <c r="A679" s="17" t="inlineStr">
        <is>
          <t>Pilgrim Ever Project Company Limited</t>
        </is>
      </c>
      <c r="B679" s="167" t="n">
        <v>1</v>
      </c>
      <c r="C679" s="173" t="n">
        <v>100</v>
      </c>
      <c r="D679" s="174" t="n">
        <v>3.6</v>
      </c>
      <c r="E679" s="174" t="n">
        <v>3.1</v>
      </c>
      <c r="F679" s="174" t="n">
        <v>-8</v>
      </c>
      <c r="G679" s="174" t="n">
        <v>16.6</v>
      </c>
      <c r="H679" s="174" t="n">
        <v>-0.5</v>
      </c>
      <c r="I679" s="174" t="n">
        <v>-11.2</v>
      </c>
      <c r="J679" s="174" t="n">
        <v>12.5</v>
      </c>
      <c r="K679" s="175" t="inlineStr">
        <is>
          <t>6668 E-STAR CM</t>
        </is>
      </c>
    </row>
    <row r="680">
      <c r="A680" s="17" t="inlineStr">
        <is>
          <t>Shenzhen Qichang Investment Holding Limited</t>
        </is>
      </c>
      <c r="B680" s="167" t="n">
        <v>1</v>
      </c>
      <c r="C680" s="173" t="n">
        <v>100</v>
      </c>
      <c r="D680" s="174" t="n">
        <v>3.6</v>
      </c>
      <c r="E680" s="174" t="n">
        <v>3.1</v>
      </c>
      <c r="F680" s="174" t="n">
        <v>-8</v>
      </c>
      <c r="G680" s="174" t="n">
        <v>16.6</v>
      </c>
      <c r="H680" s="174" t="n">
        <v>-0.5</v>
      </c>
      <c r="I680" s="174" t="n">
        <v>-11.2</v>
      </c>
      <c r="J680" s="174" t="n">
        <v>12.5</v>
      </c>
      <c r="K680" s="175" t="inlineStr">
        <is>
          <t>6668 E-STAR CM</t>
        </is>
      </c>
    </row>
    <row r="681">
      <c r="A681" s="17" t="inlineStr">
        <is>
          <t>Virtues Origin SPC</t>
        </is>
      </c>
      <c r="B681" s="167" t="n">
        <v>1</v>
      </c>
      <c r="C681" s="173" t="n">
        <v>100</v>
      </c>
      <c r="D681" s="174" t="n">
        <v>3.6</v>
      </c>
      <c r="E681" s="174" t="n">
        <v>3.1</v>
      </c>
      <c r="F681" s="174" t="n">
        <v>-8</v>
      </c>
      <c r="G681" s="174" t="n">
        <v>16.6</v>
      </c>
      <c r="H681" s="174" t="n">
        <v>-0.5</v>
      </c>
      <c r="I681" s="174" t="n">
        <v>-11.2</v>
      </c>
      <c r="J681" s="174" t="n">
        <v>12.5</v>
      </c>
      <c r="K681" s="175" t="inlineStr">
        <is>
          <t>6668 E-STAR CM</t>
        </is>
      </c>
    </row>
    <row r="682">
      <c r="A682" s="17" t="inlineStr">
        <is>
          <t>Guokong Xinzhi Co., Limited</t>
        </is>
      </c>
      <c r="B682" s="167" t="n">
        <v>1</v>
      </c>
      <c r="C682" s="173" t="n">
        <v>100</v>
      </c>
      <c r="D682" s="174" t="n">
        <v>3.5</v>
      </c>
      <c r="E682" s="174" t="n">
        <v>-1.6</v>
      </c>
      <c r="F682" s="174" t="n">
        <v>-3.7</v>
      </c>
      <c r="G682" s="174" t="n">
        <v>-29.1</v>
      </c>
      <c r="H682" s="174" t="n">
        <v>-5</v>
      </c>
      <c r="I682" s="174" t="n">
        <v>-7</v>
      </c>
      <c r="J682" s="174" t="n">
        <v>-31.5</v>
      </c>
      <c r="K682" s="175" t="inlineStr">
        <is>
          <t>9611 LONGCHEER</t>
        </is>
      </c>
    </row>
    <row r="683">
      <c r="A683" s="17" t="inlineStr">
        <is>
          <t>Endless Growth NH Limited</t>
        </is>
      </c>
      <c r="B683" s="167" t="n">
        <v>1</v>
      </c>
      <c r="C683" s="173" t="n">
        <v>100</v>
      </c>
      <c r="D683" s="174" t="n">
        <v>3.5</v>
      </c>
      <c r="E683" s="174" t="n">
        <v>-1.6</v>
      </c>
      <c r="F683" s="174" t="n">
        <v>-3.7</v>
      </c>
      <c r="G683" s="174" t="n">
        <v>-29.1</v>
      </c>
      <c r="H683" s="174" t="n">
        <v>-5</v>
      </c>
      <c r="I683" s="174" t="n">
        <v>-7</v>
      </c>
      <c r="J683" s="174" t="n">
        <v>-31.5</v>
      </c>
      <c r="K683" s="175" t="inlineStr">
        <is>
          <t>9611 LONGCHEER</t>
        </is>
      </c>
    </row>
    <row r="684">
      <c r="A684" s="17" t="inlineStr">
        <is>
          <t>Qualcomm Ventures LLC</t>
        </is>
      </c>
      <c r="B684" s="167" t="n">
        <v>1</v>
      </c>
      <c r="C684" s="173" t="n">
        <v>100</v>
      </c>
      <c r="D684" s="174" t="n">
        <v>3.5</v>
      </c>
      <c r="E684" s="174" t="n">
        <v>-1.6</v>
      </c>
      <c r="F684" s="174" t="n">
        <v>-3.7</v>
      </c>
      <c r="G684" s="174" t="n">
        <v>-29.1</v>
      </c>
      <c r="H684" s="174" t="n">
        <v>-5</v>
      </c>
      <c r="I684" s="174" t="n">
        <v>-7</v>
      </c>
      <c r="J684" s="174" t="n">
        <v>-31.5</v>
      </c>
      <c r="K684" s="175" t="inlineStr">
        <is>
          <t>9611 LONGCHEER</t>
        </is>
      </c>
    </row>
    <row r="685">
      <c r="A685" s="17" t="inlineStr">
        <is>
          <t>Hong Kong Yuto Printing Company Limited</t>
        </is>
      </c>
      <c r="B685" s="167" t="n">
        <v>1</v>
      </c>
      <c r="C685" s="173" t="n">
        <v>100</v>
      </c>
      <c r="D685" s="174" t="n">
        <v>3.5</v>
      </c>
      <c r="E685" s="174" t="n">
        <v>-1.6</v>
      </c>
      <c r="F685" s="174" t="n">
        <v>-3.7</v>
      </c>
      <c r="G685" s="174" t="n">
        <v>-29.1</v>
      </c>
      <c r="H685" s="174" t="n">
        <v>-5</v>
      </c>
      <c r="I685" s="174" t="n">
        <v>-7</v>
      </c>
      <c r="J685" s="174" t="n">
        <v>-31.5</v>
      </c>
      <c r="K685" s="175" t="inlineStr">
        <is>
          <t>9611 LONGCHEER</t>
        </is>
      </c>
    </row>
    <row r="686">
      <c r="A686" s="17" t="inlineStr">
        <is>
          <t>Liugong Machinery Hongkong Co., Limited</t>
        </is>
      </c>
      <c r="B686" s="167" t="n">
        <v>1</v>
      </c>
      <c r="C686" s="173" t="n">
        <v>100</v>
      </c>
      <c r="D686" s="174" t="n">
        <v>3.4</v>
      </c>
      <c r="E686" s="174" t="n">
        <v>3.8</v>
      </c>
      <c r="F686" s="174" t="n">
        <v>2.7</v>
      </c>
      <c r="G686" s="174" t="n">
        <v>0.1</v>
      </c>
      <c r="H686" s="174" t="n">
        <v>0.4</v>
      </c>
      <c r="I686" s="174" t="n">
        <v>-0.7</v>
      </c>
      <c r="J686" s="174" t="n">
        <v>-3.1</v>
      </c>
      <c r="K686" s="175" t="inlineStr">
        <is>
          <t>2499 FOLANGSI</t>
        </is>
      </c>
    </row>
    <row r="687">
      <c r="A687" s="17" t="inlineStr">
        <is>
          <t>Huang Guangwei</t>
        </is>
      </c>
      <c r="B687" s="167" t="n">
        <v>1</v>
      </c>
      <c r="C687" s="173" t="n">
        <v>100</v>
      </c>
      <c r="D687" s="174" t="n">
        <v>3.4</v>
      </c>
      <c r="E687" s="174" t="n">
        <v>14.9</v>
      </c>
      <c r="F687" s="174" t="n">
        <v>73.90000000000001</v>
      </c>
      <c r="G687" s="174" t="n">
        <v>89.8</v>
      </c>
      <c r="H687" s="174" t="n">
        <v>11.1</v>
      </c>
      <c r="I687" s="174" t="n">
        <v>68.2</v>
      </c>
      <c r="J687" s="174" t="n">
        <v>83.5</v>
      </c>
      <c r="K687" s="175" t="inlineStr">
        <is>
          <t>6681 BRAINAURORA-B</t>
        </is>
      </c>
    </row>
    <row r="688">
      <c r="A688" s="17" t="inlineStr">
        <is>
          <t>Internet Fund IIIA Pte Ltd</t>
        </is>
      </c>
      <c r="B688" s="167" t="n">
        <v>1</v>
      </c>
      <c r="C688" s="173" t="n">
        <v>100</v>
      </c>
      <c r="D688" s="174" t="n">
        <v>3.3</v>
      </c>
      <c r="E688" s="174" t="n">
        <v>16.3</v>
      </c>
      <c r="F688" s="174" t="n">
        <v>4.2</v>
      </c>
      <c r="G688" s="174" t="n">
        <v>-24.2</v>
      </c>
      <c r="H688" s="174" t="n">
        <v>12.6</v>
      </c>
      <c r="I688" s="174" t="n">
        <v>0.8</v>
      </c>
      <c r="J688" s="174" t="n">
        <v>-26.6</v>
      </c>
      <c r="K688" s="175" t="inlineStr">
        <is>
          <t>2618 JD LOGISTICS</t>
        </is>
      </c>
    </row>
    <row r="689">
      <c r="A689" s="17" t="inlineStr">
        <is>
          <t>SoftBank Group</t>
        </is>
      </c>
      <c r="B689" s="167" t="n">
        <v>1</v>
      </c>
      <c r="C689" s="173" t="n">
        <v>100</v>
      </c>
      <c r="D689" s="174" t="n">
        <v>3.3</v>
      </c>
      <c r="E689" s="174" t="n">
        <v>16.3</v>
      </c>
      <c r="F689" s="174" t="n">
        <v>4.2</v>
      </c>
      <c r="G689" s="174" t="n">
        <v>-24.2</v>
      </c>
      <c r="H689" s="174" t="n">
        <v>12.6</v>
      </c>
      <c r="I689" s="174" t="n">
        <v>0.8</v>
      </c>
      <c r="J689" s="174" t="n">
        <v>-26.6</v>
      </c>
      <c r="K689" s="175" t="inlineStr">
        <is>
          <t>2618 JD LOGISTICS</t>
        </is>
      </c>
    </row>
    <row r="690">
      <c r="A690" s="17" t="inlineStr">
        <is>
          <t>The Blackstone Group Inc</t>
        </is>
      </c>
      <c r="B690" s="167" t="n">
        <v>1</v>
      </c>
      <c r="C690" s="173" t="n">
        <v>100</v>
      </c>
      <c r="D690" s="174" t="n">
        <v>3.3</v>
      </c>
      <c r="E690" s="174" t="n">
        <v>16.3</v>
      </c>
      <c r="F690" s="174" t="n">
        <v>4.2</v>
      </c>
      <c r="G690" s="174" t="n">
        <v>-24.2</v>
      </c>
      <c r="H690" s="174" t="n">
        <v>12.6</v>
      </c>
      <c r="I690" s="174" t="n">
        <v>0.8</v>
      </c>
      <c r="J690" s="174" t="n">
        <v>-26.6</v>
      </c>
      <c r="K690" s="175" t="inlineStr">
        <is>
          <t>2618 JD LOGISTICS</t>
        </is>
      </c>
    </row>
    <row r="691">
      <c r="A691" s="17" t="inlineStr">
        <is>
          <t>Youyu Global Limited</t>
        </is>
      </c>
      <c r="B691" s="167" t="n">
        <v>1</v>
      </c>
      <c r="C691" s="173" t="n">
        <v>100</v>
      </c>
      <c r="D691" s="174" t="n">
        <v>3.1</v>
      </c>
      <c r="E691" s="174" t="n">
        <v>-6.5</v>
      </c>
      <c r="F691" s="174" t="n">
        <v>79.8</v>
      </c>
      <c r="G691" s="174" t="n">
        <v>22</v>
      </c>
      <c r="H691" s="174" t="n">
        <v>-9.4</v>
      </c>
      <c r="I691" s="174" t="n">
        <v>74.3</v>
      </c>
      <c r="J691" s="174" t="n">
        <v>18.3</v>
      </c>
      <c r="K691" s="175" t="inlineStr">
        <is>
          <t>2137 BRII - B</t>
        </is>
      </c>
    </row>
    <row r="692">
      <c r="A692" s="17" t="inlineStr">
        <is>
          <t>Beijing Xingxing Equity Investment Partnership (Limited Partnership)</t>
        </is>
      </c>
      <c r="B692" s="167" t="n">
        <v>1</v>
      </c>
      <c r="C692" s="173" t="n">
        <v>100</v>
      </c>
      <c r="D692" s="174" t="n">
        <v>3.1</v>
      </c>
      <c r="E692" s="174" t="n">
        <v>0.7</v>
      </c>
      <c r="F692" s="174" t="n">
        <v>5.5</v>
      </c>
      <c r="G692" s="174" t="n">
        <v>3.1</v>
      </c>
      <c r="H692" s="174" t="n">
        <v>-2.3</v>
      </c>
      <c r="I692" s="174" t="n">
        <v>2.3</v>
      </c>
      <c r="J692" s="174" t="n">
        <v>0</v>
      </c>
      <c r="K692" s="175" t="inlineStr">
        <is>
          <t>2315 BIOCYTOGEN-B</t>
        </is>
      </c>
    </row>
    <row r="693">
      <c r="A693" s="17" t="inlineStr">
        <is>
          <t>VEKEN (HONGKONG) ECONOMIC AND TRADE CO., LIMITED</t>
        </is>
      </c>
      <c r="B693" s="167" t="n">
        <v>1</v>
      </c>
      <c r="C693" s="173" t="n">
        <v>100</v>
      </c>
      <c r="D693" s="174" t="n">
        <v>3.1</v>
      </c>
      <c r="E693" s="174" t="n">
        <v>0.7</v>
      </c>
      <c r="F693" s="174" t="n">
        <v>5.5</v>
      </c>
      <c r="G693" s="174" t="n">
        <v>3.1</v>
      </c>
      <c r="H693" s="174" t="n">
        <v>-2.3</v>
      </c>
      <c r="I693" s="174" t="n">
        <v>2.3</v>
      </c>
      <c r="J693" s="174" t="n">
        <v>0</v>
      </c>
      <c r="K693" s="175" t="inlineStr">
        <is>
          <t>2315 BIOCYTOGEN-B</t>
        </is>
      </c>
    </row>
    <row r="694">
      <c r="A694" s="17" t="inlineStr">
        <is>
          <t>Kelun International Development Co., Limited</t>
        </is>
      </c>
      <c r="B694" s="167" t="n">
        <v>1</v>
      </c>
      <c r="C694" s="173" t="n">
        <v>100</v>
      </c>
      <c r="D694" s="174" t="n">
        <v>3.1</v>
      </c>
      <c r="E694" s="174" t="n">
        <v>8.9</v>
      </c>
      <c r="F694" s="174" t="n">
        <v>19.6</v>
      </c>
      <c r="G694" s="174" t="n">
        <v>33.7</v>
      </c>
      <c r="H694" s="174" t="n">
        <v>5.6</v>
      </c>
      <c r="I694" s="174" t="n">
        <v>16</v>
      </c>
      <c r="J694" s="174" t="n">
        <v>29.6</v>
      </c>
      <c r="K694" s="175" t="inlineStr">
        <is>
          <t>6990 SKB BIO-B</t>
        </is>
      </c>
    </row>
    <row r="695">
      <c r="A695" s="17" t="inlineStr">
        <is>
          <t>Jiangxi Copper (via GTJA OTC swaps)</t>
        </is>
      </c>
      <c r="B695" s="167" t="n">
        <v>1</v>
      </c>
      <c r="C695" s="173" t="n">
        <v>100</v>
      </c>
      <c r="D695" s="174" t="n">
        <v>2.9</v>
      </c>
      <c r="E695" s="174" t="n">
        <v>3</v>
      </c>
      <c r="F695" s="174" t="n">
        <v>1.1</v>
      </c>
      <c r="G695" s="174" t="n">
        <v>-28.1</v>
      </c>
      <c r="H695" s="174" t="n">
        <v>0.1</v>
      </c>
      <c r="I695" s="174" t="n">
        <v>-1.8</v>
      </c>
      <c r="J695" s="174" t="n">
        <v>-30.1</v>
      </c>
      <c r="K695" s="175" t="inlineStr">
        <is>
          <t>9981 WOER</t>
        </is>
      </c>
    </row>
    <row r="696">
      <c r="A696" s="17" t="inlineStr">
        <is>
          <t>Shen Zhen New World Investment (H.K.)</t>
        </is>
      </c>
      <c r="B696" s="167" t="n">
        <v>1</v>
      </c>
      <c r="C696" s="173" t="n">
        <v>100</v>
      </c>
      <c r="D696" s="174" t="n">
        <v>2.9</v>
      </c>
      <c r="E696" s="174" t="n">
        <v>3</v>
      </c>
      <c r="F696" s="174" t="n">
        <v>1.1</v>
      </c>
      <c r="G696" s="174" t="n">
        <v>-28.1</v>
      </c>
      <c r="H696" s="174" t="n">
        <v>0.1</v>
      </c>
      <c r="I696" s="174" t="n">
        <v>-1.8</v>
      </c>
      <c r="J696" s="174" t="n">
        <v>-30.1</v>
      </c>
      <c r="K696" s="175" t="inlineStr">
        <is>
          <t>9981 WOER</t>
        </is>
      </c>
    </row>
    <row r="697">
      <c r="A697" s="17" t="inlineStr">
        <is>
          <t>Best Cheer Development</t>
        </is>
      </c>
      <c r="B697" s="167" t="n">
        <v>1</v>
      </c>
      <c r="C697" s="173" t="n">
        <v>100</v>
      </c>
      <c r="D697" s="174" t="n">
        <v>2.9</v>
      </c>
      <c r="E697" s="174" t="n">
        <v>3</v>
      </c>
      <c r="F697" s="174" t="n">
        <v>1.1</v>
      </c>
      <c r="G697" s="174" t="n">
        <v>-28.1</v>
      </c>
      <c r="H697" s="174" t="n">
        <v>0.1</v>
      </c>
      <c r="I697" s="174" t="n">
        <v>-1.8</v>
      </c>
      <c r="J697" s="174" t="n">
        <v>-30.1</v>
      </c>
      <c r="K697" s="175" t="inlineStr">
        <is>
          <t>9981 WOER</t>
        </is>
      </c>
    </row>
    <row r="698">
      <c r="A698" s="17" t="inlineStr">
        <is>
          <t>SCV Alpha LP</t>
        </is>
      </c>
      <c r="B698" s="167" t="n">
        <v>1</v>
      </c>
      <c r="C698" s="173" t="n">
        <v>100</v>
      </c>
      <c r="D698" s="174" t="n">
        <v>2.9</v>
      </c>
      <c r="E698" s="174" t="n">
        <v>3</v>
      </c>
      <c r="F698" s="174" t="n">
        <v>1.1</v>
      </c>
      <c r="G698" s="174" t="n">
        <v>-28.1</v>
      </c>
      <c r="H698" s="174" t="n">
        <v>0.1</v>
      </c>
      <c r="I698" s="174" t="n">
        <v>-1.8</v>
      </c>
      <c r="J698" s="174" t="n">
        <v>-30.1</v>
      </c>
      <c r="K698" s="175" t="inlineStr">
        <is>
          <t>9981 WOER</t>
        </is>
      </c>
    </row>
    <row r="699">
      <c r="A699" s="17" t="inlineStr">
        <is>
          <t>Pu Xin (via GTJA OTC swaps)</t>
        </is>
      </c>
      <c r="B699" s="167" t="n">
        <v>1</v>
      </c>
      <c r="C699" s="173" t="n">
        <v>100</v>
      </c>
      <c r="D699" s="174" t="n">
        <v>2.9</v>
      </c>
      <c r="E699" s="174" t="n">
        <v>3</v>
      </c>
      <c r="F699" s="174" t="n">
        <v>1.1</v>
      </c>
      <c r="G699" s="174" t="n">
        <v>-28.1</v>
      </c>
      <c r="H699" s="174" t="n">
        <v>0.1</v>
      </c>
      <c r="I699" s="174" t="n">
        <v>-1.8</v>
      </c>
      <c r="J699" s="174" t="n">
        <v>-30.1</v>
      </c>
      <c r="K699" s="175" t="inlineStr">
        <is>
          <t>9981 WOER</t>
        </is>
      </c>
    </row>
    <row r="700">
      <c r="A700" s="17" t="inlineStr">
        <is>
          <t>Capchem (Hongkong)</t>
        </is>
      </c>
      <c r="B700" s="167" t="n">
        <v>1</v>
      </c>
      <c r="C700" s="173" t="n">
        <v>100</v>
      </c>
      <c r="D700" s="174" t="n">
        <v>2.9</v>
      </c>
      <c r="E700" s="174" t="n">
        <v>3</v>
      </c>
      <c r="F700" s="174" t="n">
        <v>1.1</v>
      </c>
      <c r="G700" s="174" t="n">
        <v>-28.1</v>
      </c>
      <c r="H700" s="174" t="n">
        <v>0.1</v>
      </c>
      <c r="I700" s="174" t="n">
        <v>-1.8</v>
      </c>
      <c r="J700" s="174" t="n">
        <v>-30.1</v>
      </c>
      <c r="K700" s="175" t="inlineStr">
        <is>
          <t>9981 WOER</t>
        </is>
      </c>
    </row>
    <row r="701">
      <c r="A701" s="17" t="inlineStr">
        <is>
          <t>Enhanced Investment Products (EIP)</t>
        </is>
      </c>
      <c r="B701" s="167" t="n">
        <v>1</v>
      </c>
      <c r="C701" s="173" t="n">
        <v>100</v>
      </c>
      <c r="D701" s="174" t="n">
        <v>2.9</v>
      </c>
      <c r="E701" s="174" t="n">
        <v>3</v>
      </c>
      <c r="F701" s="174" t="n">
        <v>1.1</v>
      </c>
      <c r="G701" s="174" t="n">
        <v>-28.1</v>
      </c>
      <c r="H701" s="174" t="n">
        <v>0.1</v>
      </c>
      <c r="I701" s="174" t="n">
        <v>-1.8</v>
      </c>
      <c r="J701" s="174" t="n">
        <v>-30.1</v>
      </c>
      <c r="K701" s="175" t="inlineStr">
        <is>
          <t>9981 WOER</t>
        </is>
      </c>
    </row>
    <row r="702">
      <c r="A702" s="17" t="inlineStr">
        <is>
          <t>PARTICIPATIONS 1</t>
        </is>
      </c>
      <c r="B702" s="167" t="n">
        <v>1</v>
      </c>
      <c r="C702" s="173" t="n">
        <v>100</v>
      </c>
      <c r="D702" s="174" t="n">
        <v>2.8</v>
      </c>
      <c r="E702" s="174" t="n">
        <v>19.6</v>
      </c>
      <c r="F702" s="174" t="n">
        <v>-4.8</v>
      </c>
      <c r="G702" s="174" t="n">
        <v>10</v>
      </c>
      <c r="H702" s="174" t="n">
        <v>16.3</v>
      </c>
      <c r="I702" s="174" t="n">
        <v>-7.3</v>
      </c>
      <c r="J702" s="174" t="n">
        <v>7.1</v>
      </c>
      <c r="K702" s="175" t="inlineStr">
        <is>
          <t>9660 HORIZONROBOT-W</t>
        </is>
      </c>
    </row>
    <row r="703">
      <c r="A703" s="17" t="inlineStr">
        <is>
          <t>Temasek</t>
        </is>
      </c>
      <c r="B703" s="167" t="n">
        <v>1</v>
      </c>
      <c r="C703" s="173" t="n">
        <v>100</v>
      </c>
      <c r="D703" s="174" t="n">
        <v>2.8</v>
      </c>
      <c r="E703" s="174" t="n">
        <v>6.7</v>
      </c>
      <c r="F703" s="174" t="n">
        <v>0.2</v>
      </c>
      <c r="G703" s="174" t="n">
        <v>18.8</v>
      </c>
      <c r="H703" s="174" t="n">
        <v>3.7</v>
      </c>
      <c r="I703" s="174" t="n">
        <v>-2.6</v>
      </c>
      <c r="J703" s="174" t="n">
        <v>15.5</v>
      </c>
      <c r="K703" s="175" t="inlineStr">
        <is>
          <t>6031 SANY HEAVY IND</t>
        </is>
      </c>
    </row>
    <row r="704">
      <c r="A704" s="17" t="inlineStr">
        <is>
          <t>Weichai Power</t>
        </is>
      </c>
      <c r="B704" s="167" t="n">
        <v>1</v>
      </c>
      <c r="C704" s="173" t="n">
        <v>100</v>
      </c>
      <c r="D704" s="174" t="n">
        <v>2.8</v>
      </c>
      <c r="E704" s="174" t="n">
        <v>6.7</v>
      </c>
      <c r="F704" s="174" t="n">
        <v>0.2</v>
      </c>
      <c r="G704" s="174" t="n">
        <v>18.8</v>
      </c>
      <c r="H704" s="174" t="n">
        <v>3.7</v>
      </c>
      <c r="I704" s="174" t="n">
        <v>-2.6</v>
      </c>
      <c r="J704" s="174" t="n">
        <v>15.5</v>
      </c>
      <c r="K704" s="175" t="inlineStr">
        <is>
          <t>6031 SANY HEAVY IND</t>
        </is>
      </c>
    </row>
    <row r="705">
      <c r="A705" s="17" t="inlineStr">
        <is>
          <t>Heyuan Trading (Hong Kong) Limited</t>
        </is>
      </c>
      <c r="B705" s="167" t="n">
        <v>1</v>
      </c>
      <c r="C705" s="173" t="n">
        <v>100</v>
      </c>
      <c r="D705" s="174" t="n">
        <v>2.5</v>
      </c>
      <c r="E705" s="174" t="n">
        <v>-10.2</v>
      </c>
      <c r="F705" s="174" t="n">
        <v>-27.1</v>
      </c>
      <c r="G705" s="174" t="n">
        <v>-43.2</v>
      </c>
      <c r="H705" s="174" t="n">
        <v>-12.4</v>
      </c>
      <c r="I705" s="174" t="n">
        <v>-28.9</v>
      </c>
      <c r="J705" s="174" t="n">
        <v>-44.6</v>
      </c>
      <c r="K705" s="175" t="inlineStr">
        <is>
          <t>2271 ZHONGAN SERVICE</t>
        </is>
      </c>
    </row>
    <row r="706">
      <c r="A706" s="17" t="inlineStr">
        <is>
          <t>Wu Mingwu</t>
        </is>
      </c>
      <c r="B706" s="167" t="n">
        <v>1</v>
      </c>
      <c r="C706" s="173" t="n">
        <v>100</v>
      </c>
      <c r="D706" s="174" t="n">
        <v>2.5</v>
      </c>
      <c r="E706" s="174" t="n">
        <v>-10.2</v>
      </c>
      <c r="F706" s="174" t="n">
        <v>-27.1</v>
      </c>
      <c r="G706" s="174" t="n">
        <v>-43.2</v>
      </c>
      <c r="H706" s="174" t="n">
        <v>-12.4</v>
      </c>
      <c r="I706" s="174" t="n">
        <v>-28.9</v>
      </c>
      <c r="J706" s="174" t="n">
        <v>-44.6</v>
      </c>
      <c r="K706" s="175" t="inlineStr">
        <is>
          <t>2271 ZHONGAN SERVICE</t>
        </is>
      </c>
    </row>
    <row r="707">
      <c r="A707" s="17" t="inlineStr">
        <is>
          <t>BeingBoom Capital Limited</t>
        </is>
      </c>
      <c r="B707" s="167" t="n">
        <v>1</v>
      </c>
      <c r="C707" s="173" t="n">
        <v>100</v>
      </c>
      <c r="D707" s="174" t="n">
        <v>2.4</v>
      </c>
      <c r="E707" s="174" t="n">
        <v>11.4</v>
      </c>
      <c r="F707" s="174" t="n">
        <v>-7.5</v>
      </c>
      <c r="G707" s="174" t="n">
        <v>-13.1</v>
      </c>
      <c r="H707" s="174" t="n">
        <v>8.800000000000001</v>
      </c>
      <c r="I707" s="174" t="n">
        <v>-9.699999999999999</v>
      </c>
      <c r="J707" s="174" t="n">
        <v>-15.1</v>
      </c>
      <c r="K707" s="175" t="inlineStr">
        <is>
          <t>2692 ZHAOWEI</t>
        </is>
      </c>
    </row>
    <row r="708">
      <c r="A708" s="17" t="inlineStr">
        <is>
          <t>Hengbang and China Galaxy International Investment Company Limited</t>
        </is>
      </c>
      <c r="B708" s="167" t="n">
        <v>1</v>
      </c>
      <c r="C708" s="173" t="n">
        <v>100</v>
      </c>
      <c r="D708" s="174" t="n">
        <v>2.4</v>
      </c>
      <c r="E708" s="174" t="n">
        <v>11.4</v>
      </c>
      <c r="F708" s="174" t="n">
        <v>-7.5</v>
      </c>
      <c r="G708" s="174" t="n">
        <v>-13.1</v>
      </c>
      <c r="H708" s="174" t="n">
        <v>8.800000000000001</v>
      </c>
      <c r="I708" s="174" t="n">
        <v>-9.699999999999999</v>
      </c>
      <c r="J708" s="174" t="n">
        <v>-15.1</v>
      </c>
      <c r="K708" s="175" t="inlineStr">
        <is>
          <t>2692 ZHAOWEI</t>
        </is>
      </c>
    </row>
    <row r="709">
      <c r="A709" s="17" t="inlineStr">
        <is>
          <t>Mr. He Maoling</t>
        </is>
      </c>
      <c r="B709" s="167" t="n">
        <v>1</v>
      </c>
      <c r="C709" s="173" t="n">
        <v>100</v>
      </c>
      <c r="D709" s="174" t="n">
        <v>2.4</v>
      </c>
      <c r="E709" s="174" t="n">
        <v>11.4</v>
      </c>
      <c r="F709" s="174" t="n">
        <v>-7.5</v>
      </c>
      <c r="G709" s="174" t="n">
        <v>-13.1</v>
      </c>
      <c r="H709" s="174" t="n">
        <v>8.800000000000001</v>
      </c>
      <c r="I709" s="174" t="n">
        <v>-9.699999999999999</v>
      </c>
      <c r="J709" s="174" t="n">
        <v>-15.1</v>
      </c>
      <c r="K709" s="175" t="inlineStr">
        <is>
          <t>2692 ZHAOWEI</t>
        </is>
      </c>
    </row>
    <row r="710">
      <c r="A710" s="17" t="inlineStr">
        <is>
          <t>TOPSTAR WORLDWIDE GROUP LIMITED</t>
        </is>
      </c>
      <c r="B710" s="167" t="n">
        <v>1</v>
      </c>
      <c r="C710" s="173" t="n">
        <v>100</v>
      </c>
      <c r="D710" s="174" t="n">
        <v>2.4</v>
      </c>
      <c r="E710" s="174" t="n">
        <v>11.4</v>
      </c>
      <c r="F710" s="174" t="n">
        <v>-7.5</v>
      </c>
      <c r="G710" s="174" t="n">
        <v>-13.1</v>
      </c>
      <c r="H710" s="174" t="n">
        <v>8.800000000000001</v>
      </c>
      <c r="I710" s="174" t="n">
        <v>-9.699999999999999</v>
      </c>
      <c r="J710" s="174" t="n">
        <v>-15.1</v>
      </c>
      <c r="K710" s="175" t="inlineStr">
        <is>
          <t>2692 ZHAOWEI</t>
        </is>
      </c>
    </row>
    <row r="711">
      <c r="A711" s="17" t="inlineStr">
        <is>
          <t>W Investment Company Limited</t>
        </is>
      </c>
      <c r="B711" s="167" t="n">
        <v>1</v>
      </c>
      <c r="C711" s="173" t="n">
        <v>100</v>
      </c>
      <c r="D711" s="174" t="n">
        <v>2.4</v>
      </c>
      <c r="E711" s="174" t="n">
        <v>11.4</v>
      </c>
      <c r="F711" s="174" t="n">
        <v>-7.5</v>
      </c>
      <c r="G711" s="174" t="n">
        <v>-13.1</v>
      </c>
      <c r="H711" s="174" t="n">
        <v>8.800000000000001</v>
      </c>
      <c r="I711" s="174" t="n">
        <v>-9.699999999999999</v>
      </c>
      <c r="J711" s="174" t="n">
        <v>-15.1</v>
      </c>
      <c r="K711" s="175" t="inlineStr">
        <is>
          <t>2692 ZHAOWEI</t>
        </is>
      </c>
    </row>
    <row r="712">
      <c r="A712" s="17" t="inlineStr">
        <is>
          <t>Lai Shixian</t>
        </is>
      </c>
      <c r="B712" s="167" t="n">
        <v>1</v>
      </c>
      <c r="C712" s="173" t="n">
        <v>100</v>
      </c>
      <c r="D712" s="174" t="n">
        <v>2</v>
      </c>
      <c r="E712" s="174" t="n">
        <v>-15.8</v>
      </c>
      <c r="F712" s="174" t="n">
        <v>-64.3</v>
      </c>
      <c r="G712" s="174" t="n">
        <v>-70.90000000000001</v>
      </c>
      <c r="H712" s="174" t="n">
        <v>-17.5</v>
      </c>
      <c r="I712" s="174" t="n">
        <v>-65</v>
      </c>
      <c r="J712" s="174" t="n">
        <v>-71.5</v>
      </c>
      <c r="K712" s="175" t="inlineStr">
        <is>
          <t>6696 MANY IDEA CLOUD</t>
        </is>
      </c>
    </row>
    <row r="713">
      <c r="A713" s="17" t="inlineStr">
        <is>
          <t>SCHP Master Fund</t>
        </is>
      </c>
      <c r="B713" s="167" t="n">
        <v>1</v>
      </c>
      <c r="C713" s="173" t="n">
        <v>100</v>
      </c>
      <c r="D713" s="174" t="n">
        <v>1.8</v>
      </c>
      <c r="E713" s="174" t="n">
        <v>10.1</v>
      </c>
      <c r="F713" s="174" t="n">
        <v>0.2</v>
      </c>
      <c r="G713" s="174" t="n">
        <v>-8.699999999999999</v>
      </c>
      <c r="H713" s="174" t="n">
        <v>8.1</v>
      </c>
      <c r="I713" s="174" t="n">
        <v>-1.6</v>
      </c>
      <c r="J713" s="174" t="n">
        <v>-10.3</v>
      </c>
      <c r="K713" s="175" t="inlineStr">
        <is>
          <t>2179 RECBIO-B</t>
        </is>
      </c>
    </row>
    <row r="714">
      <c r="A714" s="17" t="inlineStr">
        <is>
          <t>Dongfang Gold Industry (Hong Kong) Limited</t>
        </is>
      </c>
      <c r="B714" s="167" t="n">
        <v>1</v>
      </c>
      <c r="C714" s="173" t="n">
        <v>100</v>
      </c>
      <c r="D714" s="174" t="n">
        <v>1.8</v>
      </c>
      <c r="E714" s="174" t="n">
        <v>0</v>
      </c>
      <c r="F714" s="174" t="n">
        <v>1.8</v>
      </c>
      <c r="G714" s="174" t="n">
        <v>12.7</v>
      </c>
      <c r="H714" s="174" t="n">
        <v>-1.8</v>
      </c>
      <c r="I714" s="174" t="n">
        <v>0</v>
      </c>
      <c r="J714" s="174" t="n">
        <v>10.7</v>
      </c>
      <c r="K714" s="175" t="inlineStr">
        <is>
          <t>2489 PERSISTENCE RES</t>
        </is>
      </c>
    </row>
    <row r="715">
      <c r="A715" s="17" t="inlineStr">
        <is>
          <t>LifeTech Scientific Corporation</t>
        </is>
      </c>
      <c r="B715" s="167" t="n">
        <v>1</v>
      </c>
      <c r="C715" s="173" t="n">
        <v>100</v>
      </c>
      <c r="D715" s="174" t="n">
        <v>1.6</v>
      </c>
      <c r="E715" s="174" t="n">
        <v>0.5</v>
      </c>
      <c r="F715" s="174" t="n">
        <v>11.5</v>
      </c>
      <c r="G715" s="174" t="n">
        <v>28.4</v>
      </c>
      <c r="H715" s="174" t="n">
        <v>-1.1</v>
      </c>
      <c r="I715" s="174" t="n">
        <v>9.699999999999999</v>
      </c>
      <c r="J715" s="174" t="n">
        <v>26.4</v>
      </c>
      <c r="K715" s="175" t="inlineStr">
        <is>
          <t>9877 JENSCARE-B</t>
        </is>
      </c>
    </row>
    <row r="716">
      <c r="A716" s="17" t="inlineStr">
        <is>
          <t>Guiyang Agricultural Investment Development Co., Ltd</t>
        </is>
      </c>
      <c r="B716" s="167" t="n">
        <v>1</v>
      </c>
      <c r="C716" s="173" t="n">
        <v>100</v>
      </c>
      <c r="D716" s="174" t="n">
        <v>1.5</v>
      </c>
      <c r="E716" s="174" t="n">
        <v>2.2</v>
      </c>
      <c r="F716" s="174" t="n">
        <v>59.7</v>
      </c>
      <c r="G716" s="174" t="n">
        <v>18.9</v>
      </c>
      <c r="H716" s="174" t="n">
        <v>0.7</v>
      </c>
      <c r="I716" s="174" t="n">
        <v>57.3</v>
      </c>
      <c r="J716" s="174" t="n">
        <v>17.2</v>
      </c>
      <c r="K716" s="175" t="inlineStr">
        <is>
          <t>2419 DEKON AGR</t>
        </is>
      </c>
    </row>
    <row r="717">
      <c r="A717" s="17" t="inlineStr">
        <is>
          <t>Quxian Huixing Industrial Investment Co., Ltd</t>
        </is>
      </c>
      <c r="B717" s="167" t="n">
        <v>1</v>
      </c>
      <c r="C717" s="173" t="n">
        <v>100</v>
      </c>
      <c r="D717" s="174" t="n">
        <v>1.5</v>
      </c>
      <c r="E717" s="174" t="n">
        <v>2.2</v>
      </c>
      <c r="F717" s="174" t="n">
        <v>59.7</v>
      </c>
      <c r="G717" s="174" t="n">
        <v>18.9</v>
      </c>
      <c r="H717" s="174" t="n">
        <v>0.7</v>
      </c>
      <c r="I717" s="174" t="n">
        <v>57.3</v>
      </c>
      <c r="J717" s="174" t="n">
        <v>17.2</v>
      </c>
      <c r="K717" s="175" t="inlineStr">
        <is>
          <t>2419 DEKON AGR</t>
        </is>
      </c>
    </row>
    <row r="718">
      <c r="A718" s="17" t="inlineStr">
        <is>
          <t>Xiushan County Xinzhiyuan Market Management Co., Ltd</t>
        </is>
      </c>
      <c r="B718" s="167" t="n">
        <v>1</v>
      </c>
      <c r="C718" s="173" t="n">
        <v>100</v>
      </c>
      <c r="D718" s="174" t="n">
        <v>1.5</v>
      </c>
      <c r="E718" s="174" t="n">
        <v>2.2</v>
      </c>
      <c r="F718" s="174" t="n">
        <v>59.7</v>
      </c>
      <c r="G718" s="174" t="n">
        <v>18.9</v>
      </c>
      <c r="H718" s="174" t="n">
        <v>0.7</v>
      </c>
      <c r="I718" s="174" t="n">
        <v>57.3</v>
      </c>
      <c r="J718" s="174" t="n">
        <v>17.2</v>
      </c>
      <c r="K718" s="175" t="inlineStr">
        <is>
          <t>2419 DEKON AGR</t>
        </is>
      </c>
    </row>
    <row r="719">
      <c r="A719" s="17" t="inlineStr">
        <is>
          <t>True Light Investments H Pte. Ltd</t>
        </is>
      </c>
      <c r="B719" s="167" t="n">
        <v>1</v>
      </c>
      <c r="C719" s="173" t="n">
        <v>100</v>
      </c>
      <c r="D719" s="174" t="n">
        <v>1.5</v>
      </c>
      <c r="E719" s="174" t="n">
        <v>0.8</v>
      </c>
      <c r="F719" s="174" t="n">
        <v>-13.9</v>
      </c>
      <c r="G719" s="174" t="n">
        <v>-12.5</v>
      </c>
      <c r="H719" s="174" t="n">
        <v>-0.7</v>
      </c>
      <c r="I719" s="174" t="n">
        <v>-15.2</v>
      </c>
      <c r="J719" s="174" t="n">
        <v>-13.8</v>
      </c>
      <c r="K719" s="175" t="inlineStr">
        <is>
          <t>9980 EASTROC</t>
        </is>
      </c>
    </row>
    <row r="720">
      <c r="A720" s="17" t="inlineStr">
        <is>
          <t>Investments 1 Limited</t>
        </is>
      </c>
      <c r="B720" s="167" t="n">
        <v>1</v>
      </c>
      <c r="C720" s="173" t="n">
        <v>100</v>
      </c>
      <c r="D720" s="174" t="n">
        <v>1.5</v>
      </c>
      <c r="E720" s="174" t="n">
        <v>0.8</v>
      </c>
      <c r="F720" s="174" t="n">
        <v>-13.9</v>
      </c>
      <c r="G720" s="174" t="n">
        <v>-12.5</v>
      </c>
      <c r="H720" s="174" t="n">
        <v>-0.7</v>
      </c>
      <c r="I720" s="174" t="n">
        <v>-15.2</v>
      </c>
      <c r="J720" s="174" t="n">
        <v>-13.8</v>
      </c>
      <c r="K720" s="175" t="inlineStr">
        <is>
          <t>9980 EASTROC</t>
        </is>
      </c>
    </row>
    <row r="721">
      <c r="A721" s="17" t="inlineStr">
        <is>
          <t>Amazing Mountain Limited</t>
        </is>
      </c>
      <c r="B721" s="167" t="n">
        <v>1</v>
      </c>
      <c r="C721" s="173" t="n">
        <v>100</v>
      </c>
      <c r="D721" s="174" t="n">
        <v>1.5</v>
      </c>
      <c r="E721" s="174" t="n">
        <v>0.8</v>
      </c>
      <c r="F721" s="174" t="n">
        <v>-13.9</v>
      </c>
      <c r="G721" s="174" t="n">
        <v>-12.5</v>
      </c>
      <c r="H721" s="174" t="n">
        <v>-0.7</v>
      </c>
      <c r="I721" s="174" t="n">
        <v>-15.2</v>
      </c>
      <c r="J721" s="174" t="n">
        <v>-13.8</v>
      </c>
      <c r="K721" s="175" t="inlineStr">
        <is>
          <t>9980 EASTROC</t>
        </is>
      </c>
    </row>
    <row r="722">
      <c r="A722" s="17" t="inlineStr">
        <is>
          <t>Phase II L.P</t>
        </is>
      </c>
      <c r="B722" s="167" t="n">
        <v>1</v>
      </c>
      <c r="C722" s="173" t="n">
        <v>100</v>
      </c>
      <c r="D722" s="174" t="n">
        <v>1.5</v>
      </c>
      <c r="E722" s="174" t="n">
        <v>0.8</v>
      </c>
      <c r="F722" s="174" t="n">
        <v>-13.9</v>
      </c>
      <c r="G722" s="174" t="n">
        <v>-12.5</v>
      </c>
      <c r="H722" s="174" t="n">
        <v>-0.7</v>
      </c>
      <c r="I722" s="174" t="n">
        <v>-15.2</v>
      </c>
      <c r="J722" s="174" t="n">
        <v>-13.8</v>
      </c>
      <c r="K722" s="175" t="inlineStr">
        <is>
          <t>9980 EASTROC</t>
        </is>
      </c>
    </row>
    <row r="723">
      <c r="A723" s="17" t="inlineStr">
        <is>
          <t>China Winning Limited</t>
        </is>
      </c>
      <c r="B723" s="167" t="n">
        <v>1</v>
      </c>
      <c r="C723" s="173" t="n">
        <v>100</v>
      </c>
      <c r="D723" s="174" t="n">
        <v>1.5</v>
      </c>
      <c r="E723" s="174" t="n">
        <v>-10.1</v>
      </c>
      <c r="F723" s="174" t="n">
        <v>-20</v>
      </c>
      <c r="G723" s="174" t="n">
        <v>-29.1</v>
      </c>
      <c r="H723" s="174" t="n">
        <v>-11.4</v>
      </c>
      <c r="I723" s="174" t="n">
        <v>-21.2</v>
      </c>
      <c r="J723" s="174" t="n">
        <v>-30.2</v>
      </c>
      <c r="K723" s="175" t="inlineStr">
        <is>
          <t>3268 MEIG</t>
        </is>
      </c>
    </row>
    <row r="724">
      <c r="A724" s="17" t="inlineStr">
        <is>
          <t>Meiko Elec. Hong Kong Co., Limited</t>
        </is>
      </c>
      <c r="B724" s="167" t="n">
        <v>1</v>
      </c>
      <c r="C724" s="173" t="n">
        <v>100</v>
      </c>
      <c r="D724" s="174" t="n">
        <v>1.5</v>
      </c>
      <c r="E724" s="174" t="n">
        <v>-10.1</v>
      </c>
      <c r="F724" s="174" t="n">
        <v>-20</v>
      </c>
      <c r="G724" s="174" t="n">
        <v>-29.1</v>
      </c>
      <c r="H724" s="174" t="n">
        <v>-11.4</v>
      </c>
      <c r="I724" s="174" t="n">
        <v>-21.2</v>
      </c>
      <c r="J724" s="174" t="n">
        <v>-30.2</v>
      </c>
      <c r="K724" s="175" t="inlineStr">
        <is>
          <t>3268 MEIG</t>
        </is>
      </c>
    </row>
    <row r="725">
      <c r="A725" s="17" t="inlineStr">
        <is>
          <t>Mr. Chau Tsang Cheong</t>
        </is>
      </c>
      <c r="B725" s="167" t="n">
        <v>1</v>
      </c>
      <c r="C725" s="173" t="n">
        <v>100</v>
      </c>
      <c r="D725" s="174" t="n">
        <v>1.5</v>
      </c>
      <c r="E725" s="174" t="n">
        <v>-10.1</v>
      </c>
      <c r="F725" s="174" t="n">
        <v>-20</v>
      </c>
      <c r="G725" s="174" t="n">
        <v>-29.1</v>
      </c>
      <c r="H725" s="174" t="n">
        <v>-11.4</v>
      </c>
      <c r="I725" s="174" t="n">
        <v>-21.2</v>
      </c>
      <c r="J725" s="174" t="n">
        <v>-30.2</v>
      </c>
      <c r="K725" s="175" t="inlineStr">
        <is>
          <t>3268 MEIG</t>
        </is>
      </c>
    </row>
    <row r="726">
      <c r="A726" s="17" t="inlineStr">
        <is>
          <t>Open Wealth Management Limited</t>
        </is>
      </c>
      <c r="B726" s="167" t="n">
        <v>1</v>
      </c>
      <c r="C726" s="173" t="n">
        <v>100</v>
      </c>
      <c r="D726" s="174" t="n">
        <v>1.5</v>
      </c>
      <c r="E726" s="174" t="n">
        <v>-10.1</v>
      </c>
      <c r="F726" s="174" t="n">
        <v>-20</v>
      </c>
      <c r="G726" s="174" t="n">
        <v>-29.1</v>
      </c>
      <c r="H726" s="174" t="n">
        <v>-11.4</v>
      </c>
      <c r="I726" s="174" t="n">
        <v>-21.2</v>
      </c>
      <c r="J726" s="174" t="n">
        <v>-30.2</v>
      </c>
      <c r="K726" s="175" t="inlineStr">
        <is>
          <t>3268 MEIG</t>
        </is>
      </c>
    </row>
    <row r="727">
      <c r="A727" s="17" t="inlineStr">
        <is>
          <t>WinTwin Capital Limited</t>
        </is>
      </c>
      <c r="B727" s="167" t="n">
        <v>1</v>
      </c>
      <c r="C727" s="173" t="n">
        <v>100</v>
      </c>
      <c r="D727" s="174" t="n">
        <v>1.2</v>
      </c>
      <c r="E727" s="174" t="n">
        <v>17</v>
      </c>
      <c r="F727" s="174" t="n">
        <v>-25.3</v>
      </c>
      <c r="G727" s="174" t="n">
        <v>-1.3</v>
      </c>
      <c r="H727" s="174" t="n">
        <v>15.5</v>
      </c>
      <c r="I727" s="174" t="n">
        <v>-26.2</v>
      </c>
      <c r="J727" s="174" t="n">
        <v>-2.5</v>
      </c>
      <c r="K727" s="175" t="inlineStr">
        <is>
          <t>2170 BASECARE-B</t>
        </is>
      </c>
    </row>
    <row r="728">
      <c r="A728" s="17" t="inlineStr">
        <is>
          <t>RSC Ltd</t>
        </is>
      </c>
      <c r="B728" s="167" t="n">
        <v>1</v>
      </c>
      <c r="C728" s="173" t="n">
        <v>100</v>
      </c>
      <c r="D728" s="174" t="n">
        <v>1.1</v>
      </c>
      <c r="E728" s="174" t="n">
        <v>0.7</v>
      </c>
      <c r="F728" s="174" t="n">
        <v>0.3</v>
      </c>
      <c r="G728" s="174" t="n">
        <v>21.1</v>
      </c>
      <c r="H728" s="174" t="n">
        <v>-0.4</v>
      </c>
      <c r="I728" s="174" t="n">
        <v>-0.8</v>
      </c>
      <c r="J728" s="174" t="n">
        <v>19.8</v>
      </c>
      <c r="K728" s="175" t="inlineStr">
        <is>
          <t>1828 FWD</t>
        </is>
      </c>
    </row>
    <row r="729">
      <c r="A729" s="17" t="inlineStr">
        <is>
          <t>Crimson White Investment Pte. Ltd</t>
        </is>
      </c>
      <c r="B729" s="167" t="n">
        <v>1</v>
      </c>
      <c r="C729" s="173" t="n">
        <v>100</v>
      </c>
      <c r="D729" s="174" t="n">
        <v>1.1</v>
      </c>
      <c r="E729" s="174" t="n">
        <v>0.7</v>
      </c>
      <c r="F729" s="174" t="n">
        <v>0.3</v>
      </c>
      <c r="G729" s="174" t="n">
        <v>21.1</v>
      </c>
      <c r="H729" s="174" t="n">
        <v>-0.4</v>
      </c>
      <c r="I729" s="174" t="n">
        <v>-0.8</v>
      </c>
      <c r="J729" s="174" t="n">
        <v>19.8</v>
      </c>
      <c r="K729" s="175" t="inlineStr">
        <is>
          <t>1828 FWD</t>
        </is>
      </c>
    </row>
    <row r="730">
      <c r="A730" s="17" t="inlineStr">
        <is>
          <t>Apollo Principal Holdings C, L.P</t>
        </is>
      </c>
      <c r="B730" s="167" t="n">
        <v>1</v>
      </c>
      <c r="C730" s="173" t="n">
        <v>100</v>
      </c>
      <c r="D730" s="174" t="n">
        <v>1.1</v>
      </c>
      <c r="E730" s="174" t="n">
        <v>0.7</v>
      </c>
      <c r="F730" s="174" t="n">
        <v>0.3</v>
      </c>
      <c r="G730" s="174" t="n">
        <v>21.1</v>
      </c>
      <c r="H730" s="174" t="n">
        <v>-0.4</v>
      </c>
      <c r="I730" s="174" t="n">
        <v>-0.8</v>
      </c>
      <c r="J730" s="174" t="n">
        <v>19.8</v>
      </c>
      <c r="K730" s="175" t="inlineStr">
        <is>
          <t>1828 FWD</t>
        </is>
      </c>
    </row>
    <row r="731">
      <c r="A731" s="17" t="inlineStr">
        <is>
          <t>SCB X Public Company Limited</t>
        </is>
      </c>
      <c r="B731" s="167" t="n">
        <v>1</v>
      </c>
      <c r="C731" s="173" t="n">
        <v>100</v>
      </c>
      <c r="D731" s="174" t="n">
        <v>1.1</v>
      </c>
      <c r="E731" s="174" t="n">
        <v>0.7</v>
      </c>
      <c r="F731" s="174" t="n">
        <v>0.3</v>
      </c>
      <c r="G731" s="174" t="n">
        <v>21.1</v>
      </c>
      <c r="H731" s="174" t="n">
        <v>-0.4</v>
      </c>
      <c r="I731" s="174" t="n">
        <v>-0.8</v>
      </c>
      <c r="J731" s="174" t="n">
        <v>19.8</v>
      </c>
      <c r="K731" s="175" t="inlineStr">
        <is>
          <t>1828 FWD</t>
        </is>
      </c>
    </row>
    <row r="732">
      <c r="A732" s="17" t="inlineStr">
        <is>
          <t>DGA Capital (Master) Fund I LP</t>
        </is>
      </c>
      <c r="B732" s="167" t="n">
        <v>1</v>
      </c>
      <c r="C732" s="173" t="n">
        <v>100</v>
      </c>
      <c r="D732" s="174" t="n">
        <v>1.1</v>
      </c>
      <c r="E732" s="174" t="n">
        <v>0.7</v>
      </c>
      <c r="F732" s="174" t="n">
        <v>0.3</v>
      </c>
      <c r="G732" s="174" t="n">
        <v>21.1</v>
      </c>
      <c r="H732" s="174" t="n">
        <v>-0.4</v>
      </c>
      <c r="I732" s="174" t="n">
        <v>-0.8</v>
      </c>
      <c r="J732" s="174" t="n">
        <v>19.8</v>
      </c>
      <c r="K732" s="175" t="inlineStr">
        <is>
          <t>1828 FWD</t>
        </is>
      </c>
    </row>
    <row r="733">
      <c r="A733" s="17" t="inlineStr">
        <is>
          <t>Mr. Wang Wei</t>
        </is>
      </c>
      <c r="B733" s="167" t="n">
        <v>1</v>
      </c>
      <c r="C733" s="173" t="n">
        <v>100</v>
      </c>
      <c r="D733" s="174" t="n">
        <v>1</v>
      </c>
      <c r="E733" s="174" t="n">
        <v>1.5</v>
      </c>
      <c r="F733" s="174" t="n">
        <v>23.8</v>
      </c>
      <c r="G733" s="174" t="n">
        <v>313.5</v>
      </c>
      <c r="H733" s="174" t="n">
        <v>0.5</v>
      </c>
      <c r="I733" s="174" t="n">
        <v>22.5</v>
      </c>
      <c r="J733" s="174" t="n">
        <v>309.3</v>
      </c>
      <c r="K733" s="175" t="inlineStr">
        <is>
          <t>3317 XUNCE</t>
        </is>
      </c>
    </row>
    <row r="734">
      <c r="A734" s="17" t="inlineStr">
        <is>
          <t>Chongqing Dazuhuaiyuan Construction Investment Co., L</t>
        </is>
      </c>
      <c r="B734" s="167" t="n">
        <v>1</v>
      </c>
      <c r="C734" s="173" t="n">
        <v>100</v>
      </c>
      <c r="D734" s="174" t="n">
        <v>0.9</v>
      </c>
      <c r="E734" s="174" t="n">
        <v>-1.6</v>
      </c>
      <c r="F734" s="174" t="n">
        <v>0.5</v>
      </c>
      <c r="G734" s="174" t="n">
        <v>-1.4</v>
      </c>
      <c r="H734" s="174" t="n">
        <v>-2.6</v>
      </c>
      <c r="I734" s="174" t="n">
        <v>-0.4</v>
      </c>
      <c r="J734" s="174" t="n">
        <v>-2.3</v>
      </c>
      <c r="K734" s="175" t="inlineStr">
        <is>
          <t>2451 LUYUAN GP HLDG</t>
        </is>
      </c>
    </row>
    <row r="735">
      <c r="A735" s="17" t="inlineStr">
        <is>
          <t>Phylion Battery Co., Ltd</t>
        </is>
      </c>
      <c r="B735" s="167" t="n">
        <v>1</v>
      </c>
      <c r="C735" s="173" t="n">
        <v>100</v>
      </c>
      <c r="D735" s="174" t="n">
        <v>0.9</v>
      </c>
      <c r="E735" s="174" t="n">
        <v>-1.6</v>
      </c>
      <c r="F735" s="174" t="n">
        <v>0.5</v>
      </c>
      <c r="G735" s="174" t="n">
        <v>-1.4</v>
      </c>
      <c r="H735" s="174" t="n">
        <v>-2.6</v>
      </c>
      <c r="I735" s="174" t="n">
        <v>-0.4</v>
      </c>
      <c r="J735" s="174" t="n">
        <v>-2.3</v>
      </c>
      <c r="K735" s="175" t="inlineStr">
        <is>
          <t>2451 LUYUAN GP HLDG</t>
        </is>
      </c>
    </row>
    <row r="736">
      <c r="A736" s="17" t="inlineStr">
        <is>
          <t>E-Town International Holding (Hong Kong) Co., Limited</t>
        </is>
      </c>
      <c r="B736" s="167" t="n">
        <v>1</v>
      </c>
      <c r="C736" s="173" t="n">
        <v>100</v>
      </c>
      <c r="D736" s="174" t="n">
        <v>0.9</v>
      </c>
      <c r="E736" s="174" t="n">
        <v>-2.2</v>
      </c>
      <c r="F736" s="174" t="n">
        <v>0</v>
      </c>
      <c r="G736" s="174" t="n">
        <v>143.8</v>
      </c>
      <c r="H736" s="174" t="n">
        <v>-3.1</v>
      </c>
      <c r="I736" s="174" t="n">
        <v>-0.9</v>
      </c>
      <c r="J736" s="174" t="n">
        <v>141.5</v>
      </c>
      <c r="K736" s="175" t="inlineStr">
        <is>
          <t>9880 UBTECH ROBOTICS</t>
        </is>
      </c>
    </row>
    <row r="737">
      <c r="A737" s="17" t="inlineStr">
        <is>
          <t>Chen Xiong</t>
        </is>
      </c>
      <c r="B737" s="167" t="n">
        <v>1</v>
      </c>
      <c r="C737" s="173" t="n">
        <v>100</v>
      </c>
      <c r="D737" s="174" t="n">
        <v>0.8</v>
      </c>
      <c r="E737" s="174" t="n">
        <v>0.8</v>
      </c>
      <c r="F737" s="174" t="n">
        <v>0</v>
      </c>
      <c r="G737" s="174" t="n">
        <v>0</v>
      </c>
      <c r="H737" s="174" t="n">
        <v>0</v>
      </c>
      <c r="I737" s="174" t="n">
        <v>-0.8</v>
      </c>
      <c r="J737" s="174" t="n">
        <v>-0.8</v>
      </c>
      <c r="K737" s="175" t="inlineStr">
        <is>
          <t>2260 VANOV HOLDINGS</t>
        </is>
      </c>
    </row>
    <row r="738">
      <c r="A738" s="17" t="inlineStr">
        <is>
          <t>Gong Chaohui</t>
        </is>
      </c>
      <c r="B738" s="167" t="n">
        <v>1</v>
      </c>
      <c r="C738" s="173" t="n">
        <v>100</v>
      </c>
      <c r="D738" s="174" t="n">
        <v>0.8</v>
      </c>
      <c r="E738" s="174" t="n">
        <v>0.8</v>
      </c>
      <c r="F738" s="174" t="n">
        <v>0</v>
      </c>
      <c r="G738" s="174" t="n">
        <v>0</v>
      </c>
      <c r="H738" s="174" t="n">
        <v>0</v>
      </c>
      <c r="I738" s="174" t="n">
        <v>-0.8</v>
      </c>
      <c r="J738" s="174" t="n">
        <v>-0.8</v>
      </c>
      <c r="K738" s="175" t="inlineStr">
        <is>
          <t>2260 VANOV HOLDINGS</t>
        </is>
      </c>
    </row>
    <row r="739">
      <c r="A739" s="17" t="inlineStr">
        <is>
          <t>Duke King Holdings Limited</t>
        </is>
      </c>
      <c r="B739" s="167" t="n">
        <v>1</v>
      </c>
      <c r="C739" s="173" t="n">
        <v>100</v>
      </c>
      <c r="D739" s="174" t="n">
        <v>0.8</v>
      </c>
      <c r="E739" s="174" t="n">
        <v>-0.8</v>
      </c>
      <c r="F739" s="174" t="n">
        <v>-7.7</v>
      </c>
      <c r="G739" s="174" t="n">
        <v>-4.8</v>
      </c>
      <c r="H739" s="174" t="n">
        <v>-1.6</v>
      </c>
      <c r="I739" s="174" t="n">
        <v>-8.4</v>
      </c>
      <c r="J739" s="174" t="n">
        <v>-5.6</v>
      </c>
      <c r="K739" s="175" t="inlineStr">
        <is>
          <t>9636 JF WEALTH</t>
        </is>
      </c>
    </row>
    <row r="740">
      <c r="A740" s="17" t="inlineStr">
        <is>
          <t>Garland Glory Holdings Limited</t>
        </is>
      </c>
      <c r="B740" s="167" t="n">
        <v>1</v>
      </c>
      <c r="C740" s="173" t="n">
        <v>100</v>
      </c>
      <c r="D740" s="174" t="n">
        <v>0.8</v>
      </c>
      <c r="E740" s="174" t="n">
        <v>-0.8</v>
      </c>
      <c r="F740" s="174" t="n">
        <v>-7.7</v>
      </c>
      <c r="G740" s="174" t="n">
        <v>-4.8</v>
      </c>
      <c r="H740" s="174" t="n">
        <v>-1.6</v>
      </c>
      <c r="I740" s="174" t="n">
        <v>-8.4</v>
      </c>
      <c r="J740" s="174" t="n">
        <v>-5.6</v>
      </c>
      <c r="K740" s="175" t="inlineStr">
        <is>
          <t>9636 JF WEALTH</t>
        </is>
      </c>
    </row>
    <row r="741">
      <c r="A741" s="17" t="inlineStr">
        <is>
          <t>Orchid Asia V Co-Investment, Limited</t>
        </is>
      </c>
      <c r="B741" s="167" t="n">
        <v>1</v>
      </c>
      <c r="C741" s="173" t="n">
        <v>100</v>
      </c>
      <c r="D741" s="174" t="n">
        <v>0.8</v>
      </c>
      <c r="E741" s="174" t="n">
        <v>-0.8</v>
      </c>
      <c r="F741" s="174" t="n">
        <v>-7.7</v>
      </c>
      <c r="G741" s="174" t="n">
        <v>-4.8</v>
      </c>
      <c r="H741" s="174" t="n">
        <v>-1.6</v>
      </c>
      <c r="I741" s="174" t="n">
        <v>-8.4</v>
      </c>
      <c r="J741" s="174" t="n">
        <v>-5.6</v>
      </c>
      <c r="K741" s="175" t="inlineStr">
        <is>
          <t>9636 JF WEALTH</t>
        </is>
      </c>
    </row>
    <row r="742">
      <c r="A742" s="17" t="inlineStr">
        <is>
          <t>Welight Capital L.P</t>
        </is>
      </c>
      <c r="B742" s="167" t="n">
        <v>1</v>
      </c>
      <c r="C742" s="173" t="n">
        <v>100</v>
      </c>
      <c r="D742" s="174" t="n">
        <v>0.7</v>
      </c>
      <c r="E742" s="174" t="n">
        <v>1.6</v>
      </c>
      <c r="F742" s="174" t="n">
        <v>15.5</v>
      </c>
      <c r="G742" s="174" t="n">
        <v>0</v>
      </c>
      <c r="H742" s="174" t="n">
        <v>1</v>
      </c>
      <c r="I742" s="174" t="n">
        <v>14.8</v>
      </c>
      <c r="J742" s="174" t="n">
        <v>-0.7</v>
      </c>
      <c r="K742" s="175" t="inlineStr">
        <is>
          <t>3880 MEDTIDE</t>
        </is>
      </c>
    </row>
    <row r="743">
      <c r="A743" s="17" t="inlineStr">
        <is>
          <t>Shenzhen Victory Investment Fund Management Company Limited</t>
        </is>
      </c>
      <c r="B743" s="167" t="n">
        <v>1</v>
      </c>
      <c r="C743" s="173" t="n">
        <v>100</v>
      </c>
      <c r="D743" s="174" t="n">
        <v>0.6</v>
      </c>
      <c r="E743" s="174" t="n">
        <v>-3.4</v>
      </c>
      <c r="F743" s="174" t="n">
        <v>-1.6</v>
      </c>
      <c r="G743" s="174" t="n">
        <v>-6.5</v>
      </c>
      <c r="H743" s="174" t="n">
        <v>-4</v>
      </c>
      <c r="I743" s="174" t="n">
        <v>-2.2</v>
      </c>
      <c r="J743" s="174" t="n">
        <v>-7</v>
      </c>
      <c r="K743" s="175" t="inlineStr">
        <is>
          <t>3288 HAITIAN FLAV</t>
        </is>
      </c>
    </row>
    <row r="744">
      <c r="A744" s="17" t="inlineStr">
        <is>
          <t>Charm Harvest International Limited</t>
        </is>
      </c>
      <c r="B744" s="167" t="n">
        <v>1</v>
      </c>
      <c r="C744" s="173" t="n">
        <v>100</v>
      </c>
      <c r="D744" s="174" t="n">
        <v>0.6</v>
      </c>
      <c r="E744" s="174" t="n">
        <v>-2</v>
      </c>
      <c r="F744" s="174" t="n">
        <v>-17.6</v>
      </c>
      <c r="G744" s="174" t="n">
        <v>-24.2</v>
      </c>
      <c r="H744" s="174" t="n">
        <v>-2.6</v>
      </c>
      <c r="I744" s="174" t="n">
        <v>-18.1</v>
      </c>
      <c r="J744" s="174" t="n">
        <v>-24.6</v>
      </c>
      <c r="K744" s="175" t="inlineStr">
        <is>
          <t>2493 MABWELL-B</t>
        </is>
      </c>
    </row>
    <row r="745">
      <c r="A745" s="17" t="inlineStr">
        <is>
          <t>Junshi Hong Kong Limited</t>
        </is>
      </c>
      <c r="B745" s="167" t="n">
        <v>1</v>
      </c>
      <c r="C745" s="173" t="n">
        <v>100</v>
      </c>
      <c r="D745" s="174" t="n">
        <v>0.6</v>
      </c>
      <c r="E745" s="174" t="n">
        <v>-2</v>
      </c>
      <c r="F745" s="174" t="n">
        <v>-17.6</v>
      </c>
      <c r="G745" s="174" t="n">
        <v>-24.2</v>
      </c>
      <c r="H745" s="174" t="n">
        <v>-2.6</v>
      </c>
      <c r="I745" s="174" t="n">
        <v>-18.1</v>
      </c>
      <c r="J745" s="174" t="n">
        <v>-24.6</v>
      </c>
      <c r="K745" s="175" t="inlineStr">
        <is>
          <t>2493 MABWELL-B</t>
        </is>
      </c>
    </row>
    <row r="746">
      <c r="A746" s="17" t="inlineStr">
        <is>
          <t>Golden Star International Pty Limited</t>
        </is>
      </c>
      <c r="B746" s="167" t="n">
        <v>1</v>
      </c>
      <c r="C746" s="173" t="n">
        <v>100</v>
      </c>
      <c r="D746" s="174" t="n">
        <v>0.5</v>
      </c>
      <c r="E746" s="174" t="n">
        <v>5</v>
      </c>
      <c r="F746" s="174" t="n">
        <v>-25.8</v>
      </c>
      <c r="G746" s="174" t="n">
        <v>-45.3</v>
      </c>
      <c r="H746" s="174" t="n">
        <v>4.5</v>
      </c>
      <c r="I746" s="174" t="n">
        <v>-26.2</v>
      </c>
      <c r="J746" s="174" t="n">
        <v>-45.5</v>
      </c>
      <c r="K746" s="175" t="inlineStr">
        <is>
          <t>3658 NEW HOPE SERV</t>
        </is>
      </c>
    </row>
    <row r="747">
      <c r="A747" s="17" t="inlineStr">
        <is>
          <t>Neptune Investments Holdings Limited</t>
        </is>
      </c>
      <c r="B747" s="167" t="n">
        <v>1</v>
      </c>
      <c r="C747" s="173" t="n">
        <v>100</v>
      </c>
      <c r="D747" s="174" t="n">
        <v>0.5</v>
      </c>
      <c r="E747" s="174" t="n">
        <v>5</v>
      </c>
      <c r="F747" s="174" t="n">
        <v>-25.8</v>
      </c>
      <c r="G747" s="174" t="n">
        <v>-45.3</v>
      </c>
      <c r="H747" s="174" t="n">
        <v>4.5</v>
      </c>
      <c r="I747" s="174" t="n">
        <v>-26.2</v>
      </c>
      <c r="J747" s="174" t="n">
        <v>-45.5</v>
      </c>
      <c r="K747" s="175" t="inlineStr">
        <is>
          <t>3658 NEW HOPE SERV</t>
        </is>
      </c>
    </row>
    <row r="748">
      <c r="A748" s="17" t="inlineStr">
        <is>
          <t>Peak Reinsurance Company Limited</t>
        </is>
      </c>
      <c r="B748" s="167" t="n">
        <v>1</v>
      </c>
      <c r="C748" s="173" t="n">
        <v>100</v>
      </c>
      <c r="D748" s="174" t="n">
        <v>0.5</v>
      </c>
      <c r="E748" s="174" t="n">
        <v>5</v>
      </c>
      <c r="F748" s="174" t="n">
        <v>-25.8</v>
      </c>
      <c r="G748" s="174" t="n">
        <v>-45.3</v>
      </c>
      <c r="H748" s="174" t="n">
        <v>4.5</v>
      </c>
      <c r="I748" s="174" t="n">
        <v>-26.2</v>
      </c>
      <c r="J748" s="174" t="n">
        <v>-45.5</v>
      </c>
      <c r="K748" s="175" t="inlineStr">
        <is>
          <t>3658 NEW HOPE SERV</t>
        </is>
      </c>
    </row>
    <row r="749">
      <c r="A749" s="17" t="inlineStr">
        <is>
          <t>So-Young Hong Kong Limited</t>
        </is>
      </c>
      <c r="B749" s="167" t="n">
        <v>1</v>
      </c>
      <c r="C749" s="173" t="n">
        <v>100</v>
      </c>
      <c r="D749" s="174" t="n">
        <v>0.5</v>
      </c>
      <c r="E749" s="174" t="n">
        <v>38.7</v>
      </c>
      <c r="F749" s="174" t="n">
        <v>-1.6</v>
      </c>
      <c r="G749" s="174" t="n">
        <v>1.4</v>
      </c>
      <c r="H749" s="174" t="n">
        <v>38</v>
      </c>
      <c r="I749" s="174" t="n">
        <v>-2</v>
      </c>
      <c r="J749" s="174" t="n">
        <v>0.9</v>
      </c>
      <c r="K749" s="175" t="inlineStr">
        <is>
          <t>2487 CUTIA-B</t>
        </is>
      </c>
    </row>
    <row r="750">
      <c r="A750" s="17" t="inlineStr">
        <is>
          <t>HK InnoSC</t>
        </is>
      </c>
      <c r="B750" s="167" t="n">
        <v>1</v>
      </c>
      <c r="C750" s="173" t="n">
        <v>100</v>
      </c>
      <c r="D750" s="174" t="n">
        <v>0.5</v>
      </c>
      <c r="E750" s="174" t="n">
        <v>-0</v>
      </c>
      <c r="F750" s="174" t="n">
        <v>32.7</v>
      </c>
      <c r="G750" s="174" t="n">
        <v>44.2</v>
      </c>
      <c r="H750" s="174" t="n">
        <v>-0.5</v>
      </c>
      <c r="I750" s="174" t="n">
        <v>32.1</v>
      </c>
      <c r="J750" s="174" t="n">
        <v>43.5</v>
      </c>
      <c r="K750" s="175" t="inlineStr">
        <is>
          <t>2577 INNOSCIENCE</t>
        </is>
      </c>
    </row>
    <row r="751">
      <c r="A751" s="17" t="inlineStr">
        <is>
          <t>Inno CL</t>
        </is>
      </c>
      <c r="B751" s="167" t="n">
        <v>1</v>
      </c>
      <c r="C751" s="173" t="n">
        <v>100</v>
      </c>
      <c r="D751" s="174" t="n">
        <v>0.5</v>
      </c>
      <c r="E751" s="174" t="n">
        <v>-0</v>
      </c>
      <c r="F751" s="174" t="n">
        <v>32.7</v>
      </c>
      <c r="G751" s="174" t="n">
        <v>44.2</v>
      </c>
      <c r="H751" s="174" t="n">
        <v>-0.5</v>
      </c>
      <c r="I751" s="174" t="n">
        <v>32.1</v>
      </c>
      <c r="J751" s="174" t="n">
        <v>43.5</v>
      </c>
      <c r="K751" s="175" t="inlineStr">
        <is>
          <t>2577 INNOSCIENCE</t>
        </is>
      </c>
    </row>
    <row r="752">
      <c r="A752" s="17" t="inlineStr">
        <is>
          <t>Fuqing Shengde Calorie Investment Co., Ltd</t>
        </is>
      </c>
      <c r="B752" s="167" t="n">
        <v>1</v>
      </c>
      <c r="C752" s="173" t="n">
        <v>100</v>
      </c>
      <c r="D752" s="174" t="n">
        <v>0.3</v>
      </c>
      <c r="E752" s="174" t="n">
        <v>-0.2</v>
      </c>
      <c r="F752" s="174" t="n">
        <v>9.300000000000001</v>
      </c>
      <c r="G752" s="174" t="n">
        <v>0.6</v>
      </c>
      <c r="H752" s="174" t="n">
        <v>-0.5</v>
      </c>
      <c r="I752" s="174" t="n">
        <v>9</v>
      </c>
      <c r="J752" s="174" t="n">
        <v>0.3</v>
      </c>
      <c r="K752" s="175" t="inlineStr">
        <is>
          <t>3650 KEEP</t>
        </is>
      </c>
    </row>
    <row r="753">
      <c r="A753" s="17" t="inlineStr">
        <is>
          <t>Shenzhen Fenda Technology Co., Ltd</t>
        </is>
      </c>
      <c r="B753" s="167" t="n">
        <v>1</v>
      </c>
      <c r="C753" s="173" t="n">
        <v>100</v>
      </c>
      <c r="D753" s="174" t="n">
        <v>0.3</v>
      </c>
      <c r="E753" s="174" t="n">
        <v>-0.2</v>
      </c>
      <c r="F753" s="174" t="n">
        <v>9.300000000000001</v>
      </c>
      <c r="G753" s="174" t="n">
        <v>0.6</v>
      </c>
      <c r="H753" s="174" t="n">
        <v>-0.5</v>
      </c>
      <c r="I753" s="174" t="n">
        <v>9</v>
      </c>
      <c r="J753" s="174" t="n">
        <v>0.3</v>
      </c>
      <c r="K753" s="175" t="inlineStr">
        <is>
          <t>3650 KEEP</t>
        </is>
      </c>
    </row>
    <row r="754">
      <c r="A754" s="17" t="inlineStr">
        <is>
          <t>Leyard (HongKong) Co., Limited</t>
        </is>
      </c>
      <c r="B754" s="167" t="n">
        <v>1</v>
      </c>
      <c r="C754" s="173" t="n">
        <v>100</v>
      </c>
      <c r="D754" s="174" t="n">
        <v>0.3</v>
      </c>
      <c r="E754" s="174" t="n">
        <v>-19.4</v>
      </c>
      <c r="F754" s="174" t="n">
        <v>-7.8</v>
      </c>
      <c r="G754" s="174" t="n">
        <v>-12.5</v>
      </c>
      <c r="H754" s="174" t="n">
        <v>-19.6</v>
      </c>
      <c r="I754" s="174" t="n">
        <v>-8.1</v>
      </c>
      <c r="J754" s="174" t="n">
        <v>-12.8</v>
      </c>
      <c r="K754" s="175" t="inlineStr">
        <is>
          <t>2529 HOLLWIN URBAN</t>
        </is>
      </c>
    </row>
    <row r="755">
      <c r="A755" s="17" t="inlineStr">
        <is>
          <t>Sanan International Holding Co., Limited</t>
        </is>
      </c>
      <c r="B755" s="167" t="n">
        <v>1</v>
      </c>
      <c r="C755" s="173" t="n">
        <v>100</v>
      </c>
      <c r="D755" s="174" t="n">
        <v>0.3</v>
      </c>
      <c r="E755" s="174" t="n">
        <v>-19.4</v>
      </c>
      <c r="F755" s="174" t="n">
        <v>-7.8</v>
      </c>
      <c r="G755" s="174" t="n">
        <v>-12.5</v>
      </c>
      <c r="H755" s="174" t="n">
        <v>-19.6</v>
      </c>
      <c r="I755" s="174" t="n">
        <v>-8.1</v>
      </c>
      <c r="J755" s="174" t="n">
        <v>-12.8</v>
      </c>
      <c r="K755" s="175" t="inlineStr">
        <is>
          <t>2529 HOLLWIN URBAN</t>
        </is>
      </c>
    </row>
    <row r="756">
      <c r="A756" s="17" t="inlineStr">
        <is>
          <t>Xiangzheng Capital Limited</t>
        </is>
      </c>
      <c r="B756" s="167" t="n">
        <v>1</v>
      </c>
      <c r="C756" s="173" t="n">
        <v>100</v>
      </c>
      <c r="D756" s="174" t="n">
        <v>0.3</v>
      </c>
      <c r="E756" s="174" t="n">
        <v>-19.4</v>
      </c>
      <c r="F756" s="174" t="n">
        <v>-7.8</v>
      </c>
      <c r="G756" s="174" t="n">
        <v>-12.5</v>
      </c>
      <c r="H756" s="174" t="n">
        <v>-19.6</v>
      </c>
      <c r="I756" s="174" t="n">
        <v>-8.1</v>
      </c>
      <c r="J756" s="174" t="n">
        <v>-12.8</v>
      </c>
      <c r="K756" s="175" t="inlineStr">
        <is>
          <t>2529 HOLLWIN URBAN</t>
        </is>
      </c>
    </row>
    <row r="757">
      <c r="A757" s="17" t="inlineStr">
        <is>
          <t>FUHUIDA HK</t>
        </is>
      </c>
      <c r="B757" s="167" t="n">
        <v>1</v>
      </c>
      <c r="C757" s="173" t="n">
        <v>100</v>
      </c>
      <c r="D757" s="174" t="n">
        <v>0.3</v>
      </c>
      <c r="E757" s="174" t="n">
        <v>-18.8</v>
      </c>
      <c r="F757" s="174" t="n">
        <v>-30.5</v>
      </c>
      <c r="G757" s="174" t="n">
        <v>-42.1</v>
      </c>
      <c r="H757" s="174" t="n">
        <v>-19</v>
      </c>
      <c r="I757" s="174" t="n">
        <v>-30.7</v>
      </c>
      <c r="J757" s="174" t="n">
        <v>-42.3</v>
      </c>
      <c r="K757" s="175" t="inlineStr">
        <is>
          <t>1641 HX COLDCHAIN</t>
        </is>
      </c>
    </row>
    <row r="758">
      <c r="A758" s="17" t="inlineStr">
        <is>
          <t>Huang Fusheng (黃福生)</t>
        </is>
      </c>
      <c r="B758" s="167" t="n">
        <v>1</v>
      </c>
      <c r="C758" s="173" t="n">
        <v>100</v>
      </c>
      <c r="D758" s="174" t="n">
        <v>0.3</v>
      </c>
      <c r="E758" s="174" t="n">
        <v>-18.8</v>
      </c>
      <c r="F758" s="174" t="n">
        <v>-30.5</v>
      </c>
      <c r="G758" s="174" t="n">
        <v>-42.1</v>
      </c>
      <c r="H758" s="174" t="n">
        <v>-19</v>
      </c>
      <c r="I758" s="174" t="n">
        <v>-30.7</v>
      </c>
      <c r="J758" s="174" t="n">
        <v>-42.3</v>
      </c>
      <c r="K758" s="175" t="inlineStr">
        <is>
          <t>1641 HX COLDCHAIN</t>
        </is>
      </c>
    </row>
    <row r="759">
      <c r="A759" s="17" t="inlineStr">
        <is>
          <t>Cheng Yan (成燕)</t>
        </is>
      </c>
      <c r="B759" s="167" t="n">
        <v>1</v>
      </c>
      <c r="C759" s="173" t="n">
        <v>100</v>
      </c>
      <c r="D759" s="174" t="n">
        <v>0.3</v>
      </c>
      <c r="E759" s="174" t="n">
        <v>-18.8</v>
      </c>
      <c r="F759" s="174" t="n">
        <v>-30.5</v>
      </c>
      <c r="G759" s="174" t="n">
        <v>-42.1</v>
      </c>
      <c r="H759" s="174" t="n">
        <v>-19</v>
      </c>
      <c r="I759" s="174" t="n">
        <v>-30.7</v>
      </c>
      <c r="J759" s="174" t="n">
        <v>-42.3</v>
      </c>
      <c r="K759" s="175" t="inlineStr">
        <is>
          <t>1641 HX COLDCHAIN</t>
        </is>
      </c>
    </row>
    <row r="760">
      <c r="A760" s="17" t="inlineStr">
        <is>
          <t>Luo Tiexing (羅鐵興)</t>
        </is>
      </c>
      <c r="B760" s="167" t="n">
        <v>1</v>
      </c>
      <c r="C760" s="173" t="n">
        <v>100</v>
      </c>
      <c r="D760" s="174" t="n">
        <v>0.3</v>
      </c>
      <c r="E760" s="174" t="n">
        <v>-18.8</v>
      </c>
      <c r="F760" s="174" t="n">
        <v>-30.5</v>
      </c>
      <c r="G760" s="174" t="n">
        <v>-42.1</v>
      </c>
      <c r="H760" s="174" t="n">
        <v>-19</v>
      </c>
      <c r="I760" s="174" t="n">
        <v>-30.7</v>
      </c>
      <c r="J760" s="174" t="n">
        <v>-42.3</v>
      </c>
      <c r="K760" s="175" t="inlineStr">
        <is>
          <t>1641 HX COLDCHAIN</t>
        </is>
      </c>
    </row>
    <row r="761">
      <c r="A761" s="17" t="inlineStr">
        <is>
          <t>Li Changxiao (李昌孝)</t>
        </is>
      </c>
      <c r="B761" s="167" t="n">
        <v>1</v>
      </c>
      <c r="C761" s="173" t="n">
        <v>100</v>
      </c>
      <c r="D761" s="174" t="n">
        <v>0.3</v>
      </c>
      <c r="E761" s="174" t="n">
        <v>-18.8</v>
      </c>
      <c r="F761" s="174" t="n">
        <v>-30.5</v>
      </c>
      <c r="G761" s="174" t="n">
        <v>-42.1</v>
      </c>
      <c r="H761" s="174" t="n">
        <v>-19</v>
      </c>
      <c r="I761" s="174" t="n">
        <v>-30.7</v>
      </c>
      <c r="J761" s="174" t="n">
        <v>-42.3</v>
      </c>
      <c r="K761" s="175" t="inlineStr">
        <is>
          <t>1641 HX COLDCHAIN</t>
        </is>
      </c>
    </row>
    <row r="762">
      <c r="A762" s="17" t="inlineStr">
        <is>
          <t>Kong Yu (孔昱)</t>
        </is>
      </c>
      <c r="B762" s="167" t="n">
        <v>1</v>
      </c>
      <c r="C762" s="173" t="n">
        <v>100</v>
      </c>
      <c r="D762" s="174" t="n">
        <v>0.3</v>
      </c>
      <c r="E762" s="174" t="n">
        <v>-18.8</v>
      </c>
      <c r="F762" s="174" t="n">
        <v>-30.5</v>
      </c>
      <c r="G762" s="174" t="n">
        <v>-42.1</v>
      </c>
      <c r="H762" s="174" t="n">
        <v>-19</v>
      </c>
      <c r="I762" s="174" t="n">
        <v>-30.7</v>
      </c>
      <c r="J762" s="174" t="n">
        <v>-42.3</v>
      </c>
      <c r="K762" s="175" t="inlineStr">
        <is>
          <t>1641 HX COLDCHAIN</t>
        </is>
      </c>
    </row>
    <row r="763">
      <c r="A763" s="17" t="inlineStr">
        <is>
          <t>Li Zhenbin (李振斌)</t>
        </is>
      </c>
      <c r="B763" s="167" t="n">
        <v>1</v>
      </c>
      <c r="C763" s="173" t="n">
        <v>100</v>
      </c>
      <c r="D763" s="174" t="n">
        <v>0.3</v>
      </c>
      <c r="E763" s="174" t="n">
        <v>-18.8</v>
      </c>
      <c r="F763" s="174" t="n">
        <v>-30.5</v>
      </c>
      <c r="G763" s="174" t="n">
        <v>-42.1</v>
      </c>
      <c r="H763" s="174" t="n">
        <v>-19</v>
      </c>
      <c r="I763" s="174" t="n">
        <v>-30.7</v>
      </c>
      <c r="J763" s="174" t="n">
        <v>-42.3</v>
      </c>
      <c r="K763" s="175" t="inlineStr">
        <is>
          <t>1641 HX COLDCHAIN</t>
        </is>
      </c>
    </row>
    <row r="764">
      <c r="A764" s="17" t="inlineStr">
        <is>
          <t>Li Zhenwu (李振武)</t>
        </is>
      </c>
      <c r="B764" s="167" t="n">
        <v>1</v>
      </c>
      <c r="C764" s="173" t="n">
        <v>100</v>
      </c>
      <c r="D764" s="174" t="n">
        <v>0.3</v>
      </c>
      <c r="E764" s="174" t="n">
        <v>-18.8</v>
      </c>
      <c r="F764" s="174" t="n">
        <v>-30.5</v>
      </c>
      <c r="G764" s="174" t="n">
        <v>-42.1</v>
      </c>
      <c r="H764" s="174" t="n">
        <v>-19</v>
      </c>
      <c r="I764" s="174" t="n">
        <v>-30.7</v>
      </c>
      <c r="J764" s="174" t="n">
        <v>-42.3</v>
      </c>
      <c r="K764" s="175" t="inlineStr">
        <is>
          <t>1641 HX COLDCHAIN</t>
        </is>
      </c>
    </row>
    <row r="765">
      <c r="A765" s="17" t="inlineStr">
        <is>
          <t>Li Dengyun (李登雲)</t>
        </is>
      </c>
      <c r="B765" s="167" t="n">
        <v>1</v>
      </c>
      <c r="C765" s="173" t="n">
        <v>100</v>
      </c>
      <c r="D765" s="174" t="n">
        <v>0.3</v>
      </c>
      <c r="E765" s="174" t="n">
        <v>-18.8</v>
      </c>
      <c r="F765" s="174" t="n">
        <v>-30.5</v>
      </c>
      <c r="G765" s="174" t="n">
        <v>-42.1</v>
      </c>
      <c r="H765" s="174" t="n">
        <v>-19</v>
      </c>
      <c r="I765" s="174" t="n">
        <v>-30.7</v>
      </c>
      <c r="J765" s="174" t="n">
        <v>-42.3</v>
      </c>
      <c r="K765" s="175" t="inlineStr">
        <is>
          <t>1641 HX COLDCHAIN</t>
        </is>
      </c>
    </row>
    <row r="766">
      <c r="A766" s="17" t="inlineStr">
        <is>
          <t>Zhang Ying (張穎)</t>
        </is>
      </c>
      <c r="B766" s="167" t="n">
        <v>1</v>
      </c>
      <c r="C766" s="173" t="n">
        <v>100</v>
      </c>
      <c r="D766" s="174" t="n">
        <v>0.3</v>
      </c>
      <c r="E766" s="174" t="n">
        <v>-18.8</v>
      </c>
      <c r="F766" s="174" t="n">
        <v>-30.5</v>
      </c>
      <c r="G766" s="174" t="n">
        <v>-42.1</v>
      </c>
      <c r="H766" s="174" t="n">
        <v>-19</v>
      </c>
      <c r="I766" s="174" t="n">
        <v>-30.7</v>
      </c>
      <c r="J766" s="174" t="n">
        <v>-42.3</v>
      </c>
      <c r="K766" s="175" t="inlineStr">
        <is>
          <t>1641 HX COLDCHAIN</t>
        </is>
      </c>
    </row>
    <row r="767">
      <c r="A767" s="17" t="inlineStr">
        <is>
          <t>Pioneer Top Holdings Limited</t>
        </is>
      </c>
      <c r="B767" s="167" t="n">
        <v>1</v>
      </c>
      <c r="C767" s="173" t="n">
        <v>100</v>
      </c>
      <c r="D767" s="174" t="n">
        <v>0.2</v>
      </c>
      <c r="E767" s="174" t="n">
        <v>0</v>
      </c>
      <c r="F767" s="174" t="n">
        <v>31.1</v>
      </c>
      <c r="G767" s="174" t="n">
        <v>98.5</v>
      </c>
      <c r="H767" s="174" t="n">
        <v>-0.2</v>
      </c>
      <c r="I767" s="174" t="n">
        <v>30.8</v>
      </c>
      <c r="J767" s="174" t="n">
        <v>98</v>
      </c>
      <c r="K767" s="175" t="inlineStr">
        <is>
          <t>9879 MIGAO GROUP</t>
        </is>
      </c>
    </row>
    <row r="768">
      <c r="A768" s="17" t="inlineStr">
        <is>
          <t>Shenyang Xinchang Grain Trade Co., Ltd</t>
        </is>
      </c>
      <c r="B768" s="167" t="n">
        <v>1</v>
      </c>
      <c r="C768" s="173" t="n">
        <v>100</v>
      </c>
      <c r="D768" s="174" t="n">
        <v>0.2</v>
      </c>
      <c r="E768" s="174" t="n">
        <v>0</v>
      </c>
      <c r="F768" s="174" t="n">
        <v>31.1</v>
      </c>
      <c r="G768" s="174" t="n">
        <v>98.5</v>
      </c>
      <c r="H768" s="174" t="n">
        <v>-0.2</v>
      </c>
      <c r="I768" s="174" t="n">
        <v>30.8</v>
      </c>
      <c r="J768" s="174" t="n">
        <v>98</v>
      </c>
      <c r="K768" s="175" t="inlineStr">
        <is>
          <t>9879 MIGAO GROUP</t>
        </is>
      </c>
    </row>
    <row r="769">
      <c r="A769" s="17" t="inlineStr">
        <is>
          <t>Tongzhou International</t>
        </is>
      </c>
      <c r="B769" s="167" t="n">
        <v>1</v>
      </c>
      <c r="C769" s="173" t="n">
        <v>100</v>
      </c>
      <c r="D769" s="174" t="n">
        <v>0.2</v>
      </c>
      <c r="E769" s="174" t="n">
        <v>-0.4</v>
      </c>
      <c r="F769" s="174" t="n">
        <v>-0.4</v>
      </c>
      <c r="G769" s="174" t="n">
        <v>47.6</v>
      </c>
      <c r="H769" s="174" t="n">
        <v>-0.6</v>
      </c>
      <c r="I769" s="174" t="n">
        <v>-0.6</v>
      </c>
      <c r="J769" s="174" t="n">
        <v>47.3</v>
      </c>
      <c r="K769" s="175" t="inlineStr">
        <is>
          <t>2597 XUNZHONG</t>
        </is>
      </c>
    </row>
    <row r="770">
      <c r="A770" s="17" t="inlineStr">
        <is>
          <t>China New Rich Medicine Holding Co. Limited</t>
        </is>
      </c>
      <c r="B770" s="167" t="n">
        <v>1</v>
      </c>
      <c r="C770" s="173" t="n">
        <v>100</v>
      </c>
      <c r="D770" s="174" t="n">
        <v>0.1</v>
      </c>
      <c r="E770" s="174" t="n">
        <v>28.3</v>
      </c>
      <c r="F770" s="174" t="n">
        <v>15.1</v>
      </c>
      <c r="G770" s="174" t="n">
        <v>34.2</v>
      </c>
      <c r="H770" s="174" t="n">
        <v>28.1</v>
      </c>
      <c r="I770" s="174" t="n">
        <v>14.9</v>
      </c>
      <c r="J770" s="174" t="n">
        <v>34</v>
      </c>
      <c r="K770" s="175" t="inlineStr">
        <is>
          <t>2522 RIMAG GROUP</t>
        </is>
      </c>
    </row>
    <row r="771">
      <c r="A771" s="17" t="inlineStr">
        <is>
          <t>Excellent Investment Enterprise Management (Hong Kong) Co., Limited</t>
        </is>
      </c>
      <c r="B771" s="167" t="n">
        <v>1</v>
      </c>
      <c r="C771" s="173" t="n">
        <v>100</v>
      </c>
      <c r="D771" s="174" t="n">
        <v>0.1</v>
      </c>
      <c r="E771" s="174" t="n">
        <v>28.3</v>
      </c>
      <c r="F771" s="174" t="n">
        <v>15.1</v>
      </c>
      <c r="G771" s="174" t="n">
        <v>34.2</v>
      </c>
      <c r="H771" s="174" t="n">
        <v>28.1</v>
      </c>
      <c r="I771" s="174" t="n">
        <v>14.9</v>
      </c>
      <c r="J771" s="174" t="n">
        <v>34</v>
      </c>
      <c r="K771" s="175" t="inlineStr">
        <is>
          <t>2522 RIMAG GROUP</t>
        </is>
      </c>
    </row>
    <row r="772">
      <c r="A772" s="17" t="inlineStr">
        <is>
          <t>Hunter Ventures Limited</t>
        </is>
      </c>
      <c r="B772" s="167" t="n">
        <v>1</v>
      </c>
      <c r="C772" s="173" t="n">
        <v>100</v>
      </c>
      <c r="D772" s="174" t="n">
        <v>0.1</v>
      </c>
      <c r="E772" s="174" t="n">
        <v>40.2</v>
      </c>
      <c r="F772" s="174" t="n">
        <v>129.3</v>
      </c>
      <c r="G772" s="174" t="n">
        <v>33.4</v>
      </c>
      <c r="H772" s="174" t="n">
        <v>40.1</v>
      </c>
      <c r="I772" s="174" t="n">
        <v>129.1</v>
      </c>
      <c r="J772" s="174" t="n">
        <v>33.3</v>
      </c>
      <c r="K772" s="175" t="inlineStr">
        <is>
          <t>6600 ONEROBOTICS</t>
        </is>
      </c>
    </row>
    <row r="773">
      <c r="A773" s="17" t="inlineStr">
        <is>
          <t>Li Zhichen / 李志晨</t>
        </is>
      </c>
      <c r="B773" s="167" t="n">
        <v>1</v>
      </c>
      <c r="C773" s="173" t="n">
        <v>100</v>
      </c>
      <c r="D773" s="174" t="n">
        <v>0.1</v>
      </c>
      <c r="E773" s="174" t="n">
        <v>40.2</v>
      </c>
      <c r="F773" s="174" t="n">
        <v>129.3</v>
      </c>
      <c r="G773" s="174" t="n">
        <v>33.4</v>
      </c>
      <c r="H773" s="174" t="n">
        <v>40.1</v>
      </c>
      <c r="I773" s="174" t="n">
        <v>129.1</v>
      </c>
      <c r="J773" s="174" t="n">
        <v>33.3</v>
      </c>
      <c r="K773" s="175" t="inlineStr">
        <is>
          <t>6600 ONEROBOTICS</t>
        </is>
      </c>
    </row>
    <row r="774">
      <c r="A774" s="17" t="inlineStr">
        <is>
          <t>Pan Yang / 潘陽</t>
        </is>
      </c>
      <c r="B774" s="167" t="n">
        <v>1</v>
      </c>
      <c r="C774" s="173" t="n">
        <v>100</v>
      </c>
      <c r="D774" s="174" t="n">
        <v>0.1</v>
      </c>
      <c r="E774" s="174" t="n">
        <v>40.2</v>
      </c>
      <c r="F774" s="174" t="n">
        <v>129.3</v>
      </c>
      <c r="G774" s="174" t="n">
        <v>33.4</v>
      </c>
      <c r="H774" s="174" t="n">
        <v>40.1</v>
      </c>
      <c r="I774" s="174" t="n">
        <v>129.1</v>
      </c>
      <c r="J774" s="174" t="n">
        <v>33.3</v>
      </c>
      <c r="K774" s="175" t="inlineStr">
        <is>
          <t>6600 ONEROBOTICS</t>
        </is>
      </c>
    </row>
    <row r="775">
      <c r="A775" s="17" t="inlineStr">
        <is>
          <t>Brizan Ventures V LP</t>
        </is>
      </c>
      <c r="B775" s="167" t="n">
        <v>1</v>
      </c>
      <c r="C775" s="173" t="n">
        <v>100</v>
      </c>
      <c r="D775" s="174" t="n">
        <v>0.1</v>
      </c>
      <c r="E775" s="174" t="n">
        <v>40.2</v>
      </c>
      <c r="F775" s="174" t="n">
        <v>129.3</v>
      </c>
      <c r="G775" s="174" t="n">
        <v>33.4</v>
      </c>
      <c r="H775" s="174" t="n">
        <v>40.1</v>
      </c>
      <c r="I775" s="174" t="n">
        <v>129.1</v>
      </c>
      <c r="J775" s="174" t="n">
        <v>33.3</v>
      </c>
      <c r="K775" s="175" t="inlineStr">
        <is>
          <t>6600 ONEROBOTICS</t>
        </is>
      </c>
    </row>
    <row r="776">
      <c r="A776" s="17" t="inlineStr">
        <is>
          <t>Crotona Assets Limited</t>
        </is>
      </c>
      <c r="B776" s="167" t="n">
        <v>1</v>
      </c>
      <c r="C776" s="173" t="n">
        <v>0</v>
      </c>
      <c r="D776" s="174" t="n">
        <v>0</v>
      </c>
      <c r="E776" s="174" t="n">
        <v>10</v>
      </c>
      <c r="F776" s="174" t="n">
        <v>-13.9</v>
      </c>
      <c r="G776" s="174" t="n">
        <v>-33.8</v>
      </c>
      <c r="H776" s="174" t="n">
        <v>10</v>
      </c>
      <c r="I776" s="174" t="n">
        <v>-13.9</v>
      </c>
      <c r="J776" s="174" t="n">
        <v>-33.8</v>
      </c>
      <c r="K776" s="175" t="inlineStr">
        <is>
          <t>6626 YUEXIU SERVICES</t>
        </is>
      </c>
    </row>
    <row r="777">
      <c r="A777" s="17" t="inlineStr">
        <is>
          <t>Goingup Inc Limited</t>
        </is>
      </c>
      <c r="B777" s="167" t="n">
        <v>1</v>
      </c>
      <c r="C777" s="173" t="n">
        <v>0</v>
      </c>
      <c r="D777" s="174" t="n">
        <v>0</v>
      </c>
      <c r="E777" s="174" t="n">
        <v>10</v>
      </c>
      <c r="F777" s="174" t="n">
        <v>-13.9</v>
      </c>
      <c r="G777" s="174" t="n">
        <v>-33.8</v>
      </c>
      <c r="H777" s="174" t="n">
        <v>10</v>
      </c>
      <c r="I777" s="174" t="n">
        <v>-13.9</v>
      </c>
      <c r="J777" s="174" t="n">
        <v>-33.8</v>
      </c>
      <c r="K777" s="175" t="inlineStr">
        <is>
          <t>6626 YUEXIU SERVICES</t>
        </is>
      </c>
    </row>
    <row r="778">
      <c r="A778" s="17" t="inlineStr">
        <is>
          <t>Jiang Ganjun</t>
        </is>
      </c>
      <c r="B778" s="167" t="n">
        <v>1</v>
      </c>
      <c r="C778" s="173" t="n">
        <v>0</v>
      </c>
      <c r="D778" s="174" t="n">
        <v>0</v>
      </c>
      <c r="E778" s="174" t="n">
        <v>10</v>
      </c>
      <c r="F778" s="174" t="n">
        <v>-13.9</v>
      </c>
      <c r="G778" s="174" t="n">
        <v>-33.8</v>
      </c>
      <c r="H778" s="174" t="n">
        <v>10</v>
      </c>
      <c r="I778" s="174" t="n">
        <v>-13.9</v>
      </c>
      <c r="J778" s="174" t="n">
        <v>-33.8</v>
      </c>
      <c r="K778" s="175" t="inlineStr">
        <is>
          <t>6626 YUEXIU SERVICES</t>
        </is>
      </c>
    </row>
    <row r="779">
      <c r="A779" s="17" t="inlineStr">
        <is>
          <t>Kaiser Private Equity Fund SPC-SPI</t>
        </is>
      </c>
      <c r="B779" s="167" t="n">
        <v>1</v>
      </c>
      <c r="C779" s="173" t="n">
        <v>0</v>
      </c>
      <c r="D779" s="174" t="n">
        <v>0</v>
      </c>
      <c r="E779" s="174" t="n">
        <v>10</v>
      </c>
      <c r="F779" s="174" t="n">
        <v>-13.9</v>
      </c>
      <c r="G779" s="174" t="n">
        <v>-33.8</v>
      </c>
      <c r="H779" s="174" t="n">
        <v>10</v>
      </c>
      <c r="I779" s="174" t="n">
        <v>-13.9</v>
      </c>
      <c r="J779" s="174" t="n">
        <v>-33.8</v>
      </c>
      <c r="K779" s="175" t="inlineStr">
        <is>
          <t>6626 YUEXIU SERVICES</t>
        </is>
      </c>
    </row>
    <row r="780">
      <c r="A780" s="17" t="inlineStr">
        <is>
          <t>Ke Jiansheng</t>
        </is>
      </c>
      <c r="B780" s="167" t="n">
        <v>1</v>
      </c>
      <c r="C780" s="173" t="n">
        <v>0</v>
      </c>
      <c r="D780" s="174" t="n">
        <v>0</v>
      </c>
      <c r="E780" s="174" t="n">
        <v>10</v>
      </c>
      <c r="F780" s="174" t="n">
        <v>-13.9</v>
      </c>
      <c r="G780" s="174" t="n">
        <v>-33.8</v>
      </c>
      <c r="H780" s="174" t="n">
        <v>10</v>
      </c>
      <c r="I780" s="174" t="n">
        <v>-13.9</v>
      </c>
      <c r="J780" s="174" t="n">
        <v>-33.8</v>
      </c>
      <c r="K780" s="175" t="inlineStr">
        <is>
          <t>6626 YUEXIU SERVICES</t>
        </is>
      </c>
    </row>
    <row r="781">
      <c r="A781" s="17" t="inlineStr">
        <is>
          <t>Sunfly Holding Co., Ltd</t>
        </is>
      </c>
      <c r="B781" s="167" t="n">
        <v>1</v>
      </c>
      <c r="C781" s="173" t="n">
        <v>0</v>
      </c>
      <c r="D781" s="174" t="n">
        <v>0</v>
      </c>
      <c r="E781" s="174" t="n">
        <v>10</v>
      </c>
      <c r="F781" s="174" t="n">
        <v>-13.9</v>
      </c>
      <c r="G781" s="174" t="n">
        <v>-33.8</v>
      </c>
      <c r="H781" s="174" t="n">
        <v>10</v>
      </c>
      <c r="I781" s="174" t="n">
        <v>-13.9</v>
      </c>
      <c r="J781" s="174" t="n">
        <v>-33.8</v>
      </c>
      <c r="K781" s="175" t="inlineStr">
        <is>
          <t>6626 YUEXIU SERVICES</t>
        </is>
      </c>
    </row>
    <row r="782">
      <c r="A782" s="17" t="inlineStr">
        <is>
          <t>Wealthking Investments Limited</t>
        </is>
      </c>
      <c r="B782" s="167" t="n">
        <v>1</v>
      </c>
      <c r="C782" s="173" t="n">
        <v>0</v>
      </c>
      <c r="D782" s="174" t="n">
        <v>0</v>
      </c>
      <c r="E782" s="174" t="n">
        <v>10</v>
      </c>
      <c r="F782" s="174" t="n">
        <v>-13.9</v>
      </c>
      <c r="G782" s="174" t="n">
        <v>-33.8</v>
      </c>
      <c r="H782" s="174" t="n">
        <v>10</v>
      </c>
      <c r="I782" s="174" t="n">
        <v>-13.9</v>
      </c>
      <c r="J782" s="174" t="n">
        <v>-33.8</v>
      </c>
      <c r="K782" s="175" t="inlineStr">
        <is>
          <t>6626 YUEXIU SERVICES</t>
        </is>
      </c>
    </row>
    <row r="783">
      <c r="A783" s="17" t="inlineStr">
        <is>
          <t>Hangzhou Jintou Shenghan Investment Partnership (Limited Partnership)</t>
        </is>
      </c>
      <c r="B783" s="167" t="n">
        <v>1</v>
      </c>
      <c r="C783" s="173" t="n">
        <v>0</v>
      </c>
      <c r="D783" s="174" t="n">
        <v>0</v>
      </c>
      <c r="E783" s="174" t="n">
        <v>0</v>
      </c>
      <c r="F783" s="174" t="n">
        <v>9.800000000000001</v>
      </c>
      <c r="G783" s="174" t="n">
        <v>10.1</v>
      </c>
      <c r="H783" s="174" t="n">
        <v>0</v>
      </c>
      <c r="I783" s="174" t="n">
        <v>9.800000000000001</v>
      </c>
      <c r="J783" s="174" t="n">
        <v>10.1</v>
      </c>
      <c r="K783" s="175" t="inlineStr">
        <is>
          <t>2215 DEXIN SER GROUP</t>
        </is>
      </c>
    </row>
    <row r="784">
      <c r="A784" s="17" t="inlineStr">
        <is>
          <t>Hangzhou Light Industrial Association Investment Group Co.,Ltd</t>
        </is>
      </c>
      <c r="B784" s="167" t="n">
        <v>1</v>
      </c>
      <c r="C784" s="173" t="n">
        <v>0</v>
      </c>
      <c r="D784" s="174" t="n">
        <v>0</v>
      </c>
      <c r="E784" s="174" t="n">
        <v>0</v>
      </c>
      <c r="F784" s="174" t="n">
        <v>9.800000000000001</v>
      </c>
      <c r="G784" s="174" t="n">
        <v>10.1</v>
      </c>
      <c r="H784" s="174" t="n">
        <v>0</v>
      </c>
      <c r="I784" s="174" t="n">
        <v>9.800000000000001</v>
      </c>
      <c r="J784" s="174" t="n">
        <v>10.1</v>
      </c>
      <c r="K784" s="175" t="inlineStr">
        <is>
          <t>2215 DEXIN SER GROUP</t>
        </is>
      </c>
    </row>
    <row r="785">
      <c r="A785" s="17" t="inlineStr">
        <is>
          <t>JIC TRUST CO., LTD</t>
        </is>
      </c>
      <c r="B785" s="167" t="n">
        <v>1</v>
      </c>
      <c r="C785" s="173" t="n">
        <v>0</v>
      </c>
      <c r="D785" s="174" t="n">
        <v>0</v>
      </c>
      <c r="E785" s="174" t="n">
        <v>0</v>
      </c>
      <c r="F785" s="174" t="n">
        <v>9.800000000000001</v>
      </c>
      <c r="G785" s="174" t="n">
        <v>10.1</v>
      </c>
      <c r="H785" s="174" t="n">
        <v>0</v>
      </c>
      <c r="I785" s="174" t="n">
        <v>9.800000000000001</v>
      </c>
      <c r="J785" s="174" t="n">
        <v>10.1</v>
      </c>
      <c r="K785" s="175" t="inlineStr">
        <is>
          <t>2215 DEXIN SER GROUP</t>
        </is>
      </c>
    </row>
    <row r="786">
      <c r="A786" s="17" t="inlineStr">
        <is>
          <t>Maccura Biotechnology Co., Ltd</t>
        </is>
      </c>
      <c r="B786" s="167" t="n">
        <v>1</v>
      </c>
      <c r="C786" s="173" t="n">
        <v>0</v>
      </c>
      <c r="D786" s="174" t="n">
        <v>0</v>
      </c>
      <c r="E786" s="174" t="n">
        <v>-1.1</v>
      </c>
      <c r="F786" s="174" t="n">
        <v>-1.2</v>
      </c>
      <c r="G786" s="174" t="n">
        <v>-24.2</v>
      </c>
      <c r="H786" s="174" t="n">
        <v>-1.1</v>
      </c>
      <c r="I786" s="174" t="n">
        <v>-1.2</v>
      </c>
      <c r="J786" s="174" t="n">
        <v>-24.2</v>
      </c>
      <c r="K786" s="175" t="inlineStr">
        <is>
          <t>6667 MEGA GENOMICS</t>
        </is>
      </c>
    </row>
    <row r="787">
      <c r="A787" s="17" t="inlineStr">
        <is>
          <t>Nanchang Financial Holdings Co., Ltd</t>
        </is>
      </c>
      <c r="B787" s="167" t="n">
        <v>1</v>
      </c>
      <c r="C787" s="173" t="n">
        <v>0</v>
      </c>
      <c r="D787" s="174" t="n">
        <v>0</v>
      </c>
      <c r="E787" s="174" t="n">
        <v>-1.1</v>
      </c>
      <c r="F787" s="174" t="n">
        <v>-1.2</v>
      </c>
      <c r="G787" s="174" t="n">
        <v>-24.2</v>
      </c>
      <c r="H787" s="174" t="n">
        <v>-1.1</v>
      </c>
      <c r="I787" s="174" t="n">
        <v>-1.2</v>
      </c>
      <c r="J787" s="174" t="n">
        <v>-24.2</v>
      </c>
      <c r="K787" s="175" t="inlineStr">
        <is>
          <t>6667 MEGA GENOMICS</t>
        </is>
      </c>
    </row>
    <row r="788">
      <c r="A788" s="17" t="inlineStr">
        <is>
          <t>Kangshi No.1 LP</t>
        </is>
      </c>
      <c r="B788" s="167" t="n">
        <v>1</v>
      </c>
      <c r="C788" s="173" t="n">
        <v>0</v>
      </c>
      <c r="D788" s="174" t="n">
        <v>0</v>
      </c>
      <c r="E788" s="174" t="n">
        <v>11.9</v>
      </c>
      <c r="F788" s="174" t="n">
        <v>-1.5</v>
      </c>
      <c r="G788" s="174" t="n">
        <v>-38.1</v>
      </c>
      <c r="H788" s="174" t="n">
        <v>11.9</v>
      </c>
      <c r="I788" s="174" t="n">
        <v>-1.5</v>
      </c>
      <c r="J788" s="174" t="n">
        <v>-38.1</v>
      </c>
      <c r="K788" s="175" t="inlineStr">
        <is>
          <t>2361 SINOHEALTH HLDG</t>
        </is>
      </c>
    </row>
    <row r="789">
      <c r="A789" s="17" t="inlineStr">
        <is>
          <t>Luns Family Holdings Limited</t>
        </is>
      </c>
      <c r="B789" s="167" t="n">
        <v>1</v>
      </c>
      <c r="C789" s="173" t="n">
        <v>0</v>
      </c>
      <c r="D789" s="174" t="n">
        <v>0</v>
      </c>
      <c r="E789" s="174" t="n">
        <v>11.9</v>
      </c>
      <c r="F789" s="174" t="n">
        <v>-1.5</v>
      </c>
      <c r="G789" s="174" t="n">
        <v>-38.1</v>
      </c>
      <c r="H789" s="174" t="n">
        <v>11.9</v>
      </c>
      <c r="I789" s="174" t="n">
        <v>-1.5</v>
      </c>
      <c r="J789" s="174" t="n">
        <v>-38.1</v>
      </c>
      <c r="K789" s="175" t="inlineStr">
        <is>
          <t>2361 SINOHEALTH HLDG</t>
        </is>
      </c>
    </row>
    <row r="790">
      <c r="A790" s="17" t="inlineStr">
        <is>
          <t>Zheng Jingjie</t>
        </is>
      </c>
      <c r="B790" s="167" t="n">
        <v>1</v>
      </c>
      <c r="C790" s="173" t="n">
        <v>0</v>
      </c>
      <c r="D790" s="174" t="n">
        <v>0</v>
      </c>
      <c r="E790" s="174" t="n">
        <v>11.9</v>
      </c>
      <c r="F790" s="174" t="n">
        <v>-1.5</v>
      </c>
      <c r="G790" s="174" t="n">
        <v>-38.1</v>
      </c>
      <c r="H790" s="174" t="n">
        <v>11.9</v>
      </c>
      <c r="I790" s="174" t="n">
        <v>-1.5</v>
      </c>
      <c r="J790" s="174" t="n">
        <v>-38.1</v>
      </c>
      <c r="K790" s="175" t="inlineStr">
        <is>
          <t>2361 SINOHEALTH HLDG</t>
        </is>
      </c>
    </row>
    <row r="791">
      <c r="A791" s="17" t="inlineStr">
        <is>
          <t>LG Chem, Ltd</t>
        </is>
      </c>
      <c r="B791" s="167" t="n">
        <v>1</v>
      </c>
      <c r="C791" s="173" t="n">
        <v>0</v>
      </c>
      <c r="D791" s="174" t="n">
        <v>0</v>
      </c>
      <c r="E791" s="174" t="n">
        <v>-3.8</v>
      </c>
      <c r="F791" s="174" t="n">
        <v>4.3</v>
      </c>
      <c r="G791" s="174" t="n">
        <v>-21.2</v>
      </c>
      <c r="H791" s="174" t="n">
        <v>-3.8</v>
      </c>
      <c r="I791" s="174" t="n">
        <v>4.3</v>
      </c>
      <c r="J791" s="174" t="n">
        <v>-21.2</v>
      </c>
      <c r="K791" s="175" t="inlineStr">
        <is>
          <t>9696 TIANQI LITHIUM</t>
        </is>
      </c>
    </row>
    <row r="792">
      <c r="A792" s="17" t="inlineStr">
        <is>
          <t>Shenzhen Dynanonic Company Limited</t>
        </is>
      </c>
      <c r="B792" s="167" t="n">
        <v>1</v>
      </c>
      <c r="C792" s="173" t="n">
        <v>0</v>
      </c>
      <c r="D792" s="174" t="n">
        <v>0</v>
      </c>
      <c r="E792" s="174" t="n">
        <v>-3.8</v>
      </c>
      <c r="F792" s="174" t="n">
        <v>4.3</v>
      </c>
      <c r="G792" s="174" t="n">
        <v>-21.2</v>
      </c>
      <c r="H792" s="174" t="n">
        <v>-3.8</v>
      </c>
      <c r="I792" s="174" t="n">
        <v>4.3</v>
      </c>
      <c r="J792" s="174" t="n">
        <v>-21.2</v>
      </c>
      <c r="K792" s="175" t="inlineStr">
        <is>
          <t>9696 TIANQI LITHIUM</t>
        </is>
      </c>
    </row>
    <row r="793">
      <c r="A793" s="17" t="inlineStr">
        <is>
          <t>Shaanxi Tide Automobile Air Conditioning Co., Ltd</t>
        </is>
      </c>
      <c r="B793" s="167" t="n">
        <v>1</v>
      </c>
      <c r="C793" s="173" t="n">
        <v>0</v>
      </c>
      <c r="D793" s="174" t="n">
        <v>0</v>
      </c>
      <c r="E793" s="174" t="n">
        <v>-8.9</v>
      </c>
      <c r="F793" s="174" t="n">
        <v>-31.7</v>
      </c>
      <c r="G793" s="174" t="n">
        <v>-46.1</v>
      </c>
      <c r="H793" s="174" t="n">
        <v>-8.9</v>
      </c>
      <c r="I793" s="174" t="n">
        <v>-31.7</v>
      </c>
      <c r="J793" s="174" t="n">
        <v>-46.1</v>
      </c>
      <c r="K793" s="175" t="inlineStr">
        <is>
          <t>2418 DEEWIN</t>
        </is>
      </c>
    </row>
    <row r="794">
      <c r="A794" s="17" t="inlineStr">
        <is>
          <t>AMOREPACIFIC Group</t>
        </is>
      </c>
      <c r="B794" s="167" t="n">
        <v>1</v>
      </c>
      <c r="C794" s="173" t="n">
        <v>0</v>
      </c>
      <c r="D794" s="174" t="n">
        <v>0</v>
      </c>
      <c r="E794" s="174" t="n">
        <v>8.199999999999999</v>
      </c>
      <c r="F794" s="174" t="n">
        <v>17.1</v>
      </c>
      <c r="G794" s="174" t="n">
        <v>9.300000000000001</v>
      </c>
      <c r="H794" s="174" t="n">
        <v>8.199999999999999</v>
      </c>
      <c r="I794" s="174" t="n">
        <v>17.1</v>
      </c>
      <c r="J794" s="174" t="n">
        <v>9.300000000000001</v>
      </c>
      <c r="K794" s="175" t="inlineStr">
        <is>
          <t>1880 CTG DUTY-FREE</t>
        </is>
      </c>
    </row>
    <row r="795">
      <c r="A795" s="17" t="inlineStr">
        <is>
          <t>Luzhou Laojiao Co., Ltd</t>
        </is>
      </c>
      <c r="B795" s="167" t="n">
        <v>1</v>
      </c>
      <c r="C795" s="173" t="n">
        <v>0</v>
      </c>
      <c r="D795" s="174" t="n">
        <v>0</v>
      </c>
      <c r="E795" s="174" t="n">
        <v>8.199999999999999</v>
      </c>
      <c r="F795" s="174" t="n">
        <v>17.1</v>
      </c>
      <c r="G795" s="174" t="n">
        <v>9.300000000000001</v>
      </c>
      <c r="H795" s="174" t="n">
        <v>8.199999999999999</v>
      </c>
      <c r="I795" s="174" t="n">
        <v>17.1</v>
      </c>
      <c r="J795" s="174" t="n">
        <v>9.300000000000001</v>
      </c>
      <c r="K795" s="175" t="inlineStr">
        <is>
          <t>1880 CTG DUTY-FREE</t>
        </is>
      </c>
    </row>
    <row r="796">
      <c r="A796" s="17" t="inlineStr">
        <is>
          <t>Rongshi International Holding Company Limited</t>
        </is>
      </c>
      <c r="B796" s="167" t="n">
        <v>1</v>
      </c>
      <c r="C796" s="173" t="n">
        <v>0</v>
      </c>
      <c r="D796" s="174" t="n">
        <v>0</v>
      </c>
      <c r="E796" s="174" t="n">
        <v>8.199999999999999</v>
      </c>
      <c r="F796" s="174" t="n">
        <v>17.1</v>
      </c>
      <c r="G796" s="174" t="n">
        <v>9.300000000000001</v>
      </c>
      <c r="H796" s="174" t="n">
        <v>8.199999999999999</v>
      </c>
      <c r="I796" s="174" t="n">
        <v>17.1</v>
      </c>
      <c r="J796" s="174" t="n">
        <v>9.300000000000001</v>
      </c>
      <c r="K796" s="175" t="inlineStr">
        <is>
          <t>1880 CTG DUTY-FREE</t>
        </is>
      </c>
    </row>
    <row r="797">
      <c r="A797" s="17" t="inlineStr">
        <is>
          <t>Shanghai Airport Investment Corporation Limited</t>
        </is>
      </c>
      <c r="B797" s="167" t="n">
        <v>1</v>
      </c>
      <c r="C797" s="173" t="n">
        <v>0</v>
      </c>
      <c r="D797" s="174" t="n">
        <v>0</v>
      </c>
      <c r="E797" s="174" t="n">
        <v>8.199999999999999</v>
      </c>
      <c r="F797" s="174" t="n">
        <v>17.1</v>
      </c>
      <c r="G797" s="174" t="n">
        <v>9.300000000000001</v>
      </c>
      <c r="H797" s="174" t="n">
        <v>8.199999999999999</v>
      </c>
      <c r="I797" s="174" t="n">
        <v>17.1</v>
      </c>
      <c r="J797" s="174" t="n">
        <v>9.300000000000001</v>
      </c>
      <c r="K797" s="175" t="inlineStr">
        <is>
          <t>1880 CTG DUTY-FREE</t>
        </is>
      </c>
    </row>
    <row r="798">
      <c r="A798" s="17" t="inlineStr">
        <is>
          <t>Jumpcan International Co., Ltd</t>
        </is>
      </c>
      <c r="B798" s="167" t="n">
        <v>1</v>
      </c>
      <c r="C798" s="173" t="n">
        <v>0</v>
      </c>
      <c r="D798" s="174" t="n">
        <v>0</v>
      </c>
      <c r="E798" s="174" t="n">
        <v>0.3</v>
      </c>
      <c r="F798" s="174" t="n">
        <v>-1</v>
      </c>
      <c r="G798" s="174" t="n">
        <v>0</v>
      </c>
      <c r="H798" s="174" t="n">
        <v>0.3</v>
      </c>
      <c r="I798" s="174" t="n">
        <v>-1</v>
      </c>
      <c r="J798" s="174" t="n">
        <v>0</v>
      </c>
      <c r="K798" s="175" t="inlineStr">
        <is>
          <t>9886 DINGDANG HEALTH</t>
        </is>
      </c>
    </row>
    <row r="799">
      <c r="A799" s="17" t="inlineStr">
        <is>
          <t>Changzhou Jingce New Energy Tech Co., Ltd</t>
        </is>
      </c>
      <c r="B799" s="167" t="n">
        <v>1</v>
      </c>
      <c r="C799" s="173" t="n">
        <v>0</v>
      </c>
      <c r="D799" s="174" t="n">
        <v>0</v>
      </c>
      <c r="E799" s="174" t="n">
        <v>-2.6</v>
      </c>
      <c r="F799" s="174" t="n">
        <v>-37.8</v>
      </c>
      <c r="G799" s="174" t="n">
        <v>-45.8</v>
      </c>
      <c r="H799" s="174" t="n">
        <v>-2.6</v>
      </c>
      <c r="I799" s="174" t="n">
        <v>-37.8</v>
      </c>
      <c r="J799" s="174" t="n">
        <v>-45.8</v>
      </c>
      <c r="K799" s="175" t="inlineStr">
        <is>
          <t>3931 CALB</t>
        </is>
      </c>
    </row>
    <row r="800">
      <c r="A800" s="17" t="inlineStr">
        <is>
          <t>Hans Laser Technology Co., Limited</t>
        </is>
      </c>
      <c r="B800" s="167" t="n">
        <v>1</v>
      </c>
      <c r="C800" s="173" t="n">
        <v>0</v>
      </c>
      <c r="D800" s="174" t="n">
        <v>0</v>
      </c>
      <c r="E800" s="174" t="n">
        <v>-2.6</v>
      </c>
      <c r="F800" s="174" t="n">
        <v>-37.8</v>
      </c>
      <c r="G800" s="174" t="n">
        <v>-45.8</v>
      </c>
      <c r="H800" s="174" t="n">
        <v>-2.6</v>
      </c>
      <c r="I800" s="174" t="n">
        <v>-37.8</v>
      </c>
      <c r="J800" s="174" t="n">
        <v>-45.8</v>
      </c>
      <c r="K800" s="175" t="inlineStr">
        <is>
          <t>3931 CALB</t>
        </is>
      </c>
    </row>
    <row r="801">
      <c r="A801" s="17" t="inlineStr">
        <is>
          <t>Jiangmen New Energy</t>
        </is>
      </c>
      <c r="B801" s="167" t="n">
        <v>1</v>
      </c>
      <c r="C801" s="173" t="n">
        <v>0</v>
      </c>
      <c r="D801" s="174" t="n">
        <v>0</v>
      </c>
      <c r="E801" s="174" t="n">
        <v>-2.6</v>
      </c>
      <c r="F801" s="174" t="n">
        <v>-37.8</v>
      </c>
      <c r="G801" s="174" t="n">
        <v>-45.8</v>
      </c>
      <c r="H801" s="174" t="n">
        <v>-2.6</v>
      </c>
      <c r="I801" s="174" t="n">
        <v>-37.8</v>
      </c>
      <c r="J801" s="174" t="n">
        <v>-45.8</v>
      </c>
      <c r="K801" s="175" t="inlineStr">
        <is>
          <t>3931 CALB</t>
        </is>
      </c>
    </row>
    <row r="802">
      <c r="A802" s="17" t="inlineStr">
        <is>
          <t>Lv Lizhi</t>
        </is>
      </c>
      <c r="B802" s="167" t="n">
        <v>1</v>
      </c>
      <c r="C802" s="173" t="n">
        <v>0</v>
      </c>
      <c r="D802" s="174" t="n">
        <v>0</v>
      </c>
      <c r="E802" s="174" t="n">
        <v>-2.6</v>
      </c>
      <c r="F802" s="174" t="n">
        <v>-37.8</v>
      </c>
      <c r="G802" s="174" t="n">
        <v>-45.8</v>
      </c>
      <c r="H802" s="174" t="n">
        <v>-2.6</v>
      </c>
      <c r="I802" s="174" t="n">
        <v>-37.8</v>
      </c>
      <c r="J802" s="174" t="n">
        <v>-45.8</v>
      </c>
      <c r="K802" s="175" t="inlineStr">
        <is>
          <t>3931 CALB</t>
        </is>
      </c>
    </row>
    <row r="803">
      <c r="A803" s="17" t="inlineStr">
        <is>
          <t>Tianqi Lithium HK Co., Limited</t>
        </is>
      </c>
      <c r="B803" s="167" t="n">
        <v>1</v>
      </c>
      <c r="C803" s="173" t="n">
        <v>0</v>
      </c>
      <c r="D803" s="174" t="n">
        <v>0</v>
      </c>
      <c r="E803" s="174" t="n">
        <v>-2.6</v>
      </c>
      <c r="F803" s="174" t="n">
        <v>-37.8</v>
      </c>
      <c r="G803" s="174" t="n">
        <v>-45.8</v>
      </c>
      <c r="H803" s="174" t="n">
        <v>-2.6</v>
      </c>
      <c r="I803" s="174" t="n">
        <v>-37.8</v>
      </c>
      <c r="J803" s="174" t="n">
        <v>-45.8</v>
      </c>
      <c r="K803" s="175" t="inlineStr">
        <is>
          <t>3931 CALB</t>
        </is>
      </c>
    </row>
    <row r="804">
      <c r="A804" s="17" t="inlineStr">
        <is>
          <t>Tibet Nord Technology Co., Ltd</t>
        </is>
      </c>
      <c r="B804" s="167" t="n">
        <v>1</v>
      </c>
      <c r="C804" s="173" t="n">
        <v>0</v>
      </c>
      <c r="D804" s="174" t="n">
        <v>0</v>
      </c>
      <c r="E804" s="174" t="n">
        <v>-2.6</v>
      </c>
      <c r="F804" s="174" t="n">
        <v>-37.8</v>
      </c>
      <c r="G804" s="174" t="n">
        <v>-45.8</v>
      </c>
      <c r="H804" s="174" t="n">
        <v>-2.6</v>
      </c>
      <c r="I804" s="174" t="n">
        <v>-37.8</v>
      </c>
      <c r="J804" s="174" t="n">
        <v>-45.8</v>
      </c>
      <c r="K804" s="175" t="inlineStr">
        <is>
          <t>3931 CALB</t>
        </is>
      </c>
    </row>
    <row r="805">
      <c r="A805" s="17" t="inlineStr">
        <is>
          <t>TMA International PTE. LTD</t>
        </is>
      </c>
      <c r="B805" s="167" t="n">
        <v>1</v>
      </c>
      <c r="C805" s="173" t="n">
        <v>0</v>
      </c>
      <c r="D805" s="174" t="n">
        <v>0</v>
      </c>
      <c r="E805" s="174" t="n">
        <v>-2.6</v>
      </c>
      <c r="F805" s="174" t="n">
        <v>-37.8</v>
      </c>
      <c r="G805" s="174" t="n">
        <v>-45.8</v>
      </c>
      <c r="H805" s="174" t="n">
        <v>-2.6</v>
      </c>
      <c r="I805" s="174" t="n">
        <v>-37.8</v>
      </c>
      <c r="J805" s="174" t="n">
        <v>-45.8</v>
      </c>
      <c r="K805" s="175" t="inlineStr">
        <is>
          <t>3931 CALB</t>
        </is>
      </c>
    </row>
    <row r="806">
      <c r="A806" s="17" t="inlineStr">
        <is>
          <t>Wang Sing International Resources Limited</t>
        </is>
      </c>
      <c r="B806" s="167" t="n">
        <v>1</v>
      </c>
      <c r="C806" s="173" t="n">
        <v>0</v>
      </c>
      <c r="D806" s="174" t="n">
        <v>0</v>
      </c>
      <c r="E806" s="174" t="n">
        <v>-2.6</v>
      </c>
      <c r="F806" s="174" t="n">
        <v>-37.8</v>
      </c>
      <c r="G806" s="174" t="n">
        <v>-45.8</v>
      </c>
      <c r="H806" s="174" t="n">
        <v>-2.6</v>
      </c>
      <c r="I806" s="174" t="n">
        <v>-37.8</v>
      </c>
      <c r="J806" s="174" t="n">
        <v>-45.8</v>
      </c>
      <c r="K806" s="175" t="inlineStr">
        <is>
          <t>3931 CALB</t>
        </is>
      </c>
    </row>
    <row r="807">
      <c r="A807" s="17" t="inlineStr">
        <is>
          <t>XPeng Inc</t>
        </is>
      </c>
      <c r="B807" s="167" t="n">
        <v>1</v>
      </c>
      <c r="C807" s="173" t="n">
        <v>0</v>
      </c>
      <c r="D807" s="174" t="n">
        <v>0</v>
      </c>
      <c r="E807" s="174" t="n">
        <v>-2.6</v>
      </c>
      <c r="F807" s="174" t="n">
        <v>-37.8</v>
      </c>
      <c r="G807" s="174" t="n">
        <v>-45.8</v>
      </c>
      <c r="H807" s="174" t="n">
        <v>-2.6</v>
      </c>
      <c r="I807" s="174" t="n">
        <v>-37.8</v>
      </c>
      <c r="J807" s="174" t="n">
        <v>-45.8</v>
      </c>
      <c r="K807" s="175" t="inlineStr">
        <is>
          <t>3931 CALB</t>
        </is>
      </c>
    </row>
    <row r="808">
      <c r="A808" s="17" t="inlineStr">
        <is>
          <t>Zhenshi Group (HK) Heshi Composite Materials Co., Limited</t>
        </is>
      </c>
      <c r="B808" s="167" t="n">
        <v>1</v>
      </c>
      <c r="C808" s="173" t="n">
        <v>0</v>
      </c>
      <c r="D808" s="174" t="n">
        <v>0</v>
      </c>
      <c r="E808" s="174" t="n">
        <v>-2.6</v>
      </c>
      <c r="F808" s="174" t="n">
        <v>-37.8</v>
      </c>
      <c r="G808" s="174" t="n">
        <v>-45.8</v>
      </c>
      <c r="H808" s="174" t="n">
        <v>-2.6</v>
      </c>
      <c r="I808" s="174" t="n">
        <v>-37.8</v>
      </c>
      <c r="J808" s="174" t="n">
        <v>-45.8</v>
      </c>
      <c r="K808" s="175" t="inlineStr">
        <is>
          <t>3931 CALB</t>
        </is>
      </c>
    </row>
    <row r="809">
      <c r="A809" s="17" t="inlineStr">
        <is>
          <t>GEM Hong Kong International Co., Limited</t>
        </is>
      </c>
      <c r="B809" s="167" t="n">
        <v>1</v>
      </c>
      <c r="C809" s="173" t="n">
        <v>0</v>
      </c>
      <c r="D809" s="174" t="n">
        <v>0</v>
      </c>
      <c r="E809" s="174" t="n">
        <v>-3.7</v>
      </c>
      <c r="F809" s="174" t="n">
        <v>1.1</v>
      </c>
      <c r="G809" s="174" t="n">
        <v>-19.4</v>
      </c>
      <c r="H809" s="174" t="n">
        <v>-3.7</v>
      </c>
      <c r="I809" s="174" t="n">
        <v>1.1</v>
      </c>
      <c r="J809" s="174" t="n">
        <v>-19.4</v>
      </c>
      <c r="K809" s="175" t="inlineStr">
        <is>
          <t>2245 LYGEND RESOURCE</t>
        </is>
      </c>
    </row>
    <row r="810">
      <c r="A810" s="17" t="inlineStr">
        <is>
          <t>Hubei Ronbay Battery Triangle No. 1 Equity Investment Fund Partnership</t>
        </is>
      </c>
      <c r="B810" s="167" t="n">
        <v>1</v>
      </c>
      <c r="C810" s="173" t="n">
        <v>0</v>
      </c>
      <c r="D810" s="174" t="n">
        <v>0</v>
      </c>
      <c r="E810" s="174" t="n">
        <v>-3.7</v>
      </c>
      <c r="F810" s="174" t="n">
        <v>1.1</v>
      </c>
      <c r="G810" s="174" t="n">
        <v>-19.4</v>
      </c>
      <c r="H810" s="174" t="n">
        <v>-3.7</v>
      </c>
      <c r="I810" s="174" t="n">
        <v>1.1</v>
      </c>
      <c r="J810" s="174" t="n">
        <v>-19.4</v>
      </c>
      <c r="K810" s="175" t="inlineStr">
        <is>
          <t>2245 LYGEND RESOURCE</t>
        </is>
      </c>
    </row>
    <row r="811">
      <c r="A811" s="17" t="inlineStr">
        <is>
          <t>CL Kiwi Holding Ltd</t>
        </is>
      </c>
      <c r="B811" s="167" t="n">
        <v>1</v>
      </c>
      <c r="C811" s="173" t="n">
        <v>0</v>
      </c>
      <c r="D811" s="174" t="n">
        <v>0</v>
      </c>
      <c r="E811" s="174" t="n">
        <v>0</v>
      </c>
      <c r="F811" s="174" t="n">
        <v>-2.7</v>
      </c>
      <c r="G811" s="174" t="n">
        <v>-4.3</v>
      </c>
      <c r="H811" s="174" t="n">
        <v>0</v>
      </c>
      <c r="I811" s="174" t="n">
        <v>-2.7</v>
      </c>
      <c r="J811" s="174" t="n">
        <v>-4.3</v>
      </c>
      <c r="K811" s="175" t="inlineStr">
        <is>
          <t>2407 GAUSH MEDITECH</t>
        </is>
      </c>
    </row>
    <row r="812">
      <c r="A812" s="17" t="inlineStr">
        <is>
          <t>Fu Heliang</t>
        </is>
      </c>
      <c r="B812" s="167" t="n">
        <v>1</v>
      </c>
      <c r="C812" s="173" t="n">
        <v>0</v>
      </c>
      <c r="D812" s="174" t="n">
        <v>0</v>
      </c>
      <c r="E812" s="174" t="n">
        <v>-17.2</v>
      </c>
      <c r="F812" s="174" t="n">
        <v>-22</v>
      </c>
      <c r="G812" s="174" t="n">
        <v>-2.3</v>
      </c>
      <c r="H812" s="174" t="n">
        <v>-17.2</v>
      </c>
      <c r="I812" s="174" t="n">
        <v>-22</v>
      </c>
      <c r="J812" s="174" t="n">
        <v>-2.3</v>
      </c>
      <c r="K812" s="175" t="inlineStr">
        <is>
          <t>6955 BOAN BIOTECH-B</t>
        </is>
      </c>
    </row>
    <row r="813">
      <c r="A813" s="17" t="inlineStr">
        <is>
          <t>Sino Biopharmaceutical Limited</t>
        </is>
      </c>
      <c r="B813" s="167" t="n">
        <v>1</v>
      </c>
      <c r="C813" s="173" t="n">
        <v>0</v>
      </c>
      <c r="D813" s="174" t="n">
        <v>0</v>
      </c>
      <c r="E813" s="174" t="n">
        <v>-17.2</v>
      </c>
      <c r="F813" s="174" t="n">
        <v>-22</v>
      </c>
      <c r="G813" s="174" t="n">
        <v>-2.3</v>
      </c>
      <c r="H813" s="174" t="n">
        <v>-17.2</v>
      </c>
      <c r="I813" s="174" t="n">
        <v>-22</v>
      </c>
      <c r="J813" s="174" t="n">
        <v>-2.3</v>
      </c>
      <c r="K813" s="175" t="inlineStr">
        <is>
          <t>6955 BOAN BIOTECH-B</t>
        </is>
      </c>
    </row>
    <row r="814">
      <c r="A814" s="17" t="inlineStr">
        <is>
          <t>Astonish Investment Pte. Ltd</t>
        </is>
      </c>
      <c r="B814" s="167" t="n">
        <v>1</v>
      </c>
      <c r="C814" s="173" t="n">
        <v>0</v>
      </c>
      <c r="D814" s="174" t="n">
        <v>0</v>
      </c>
      <c r="E814" s="174" t="n">
        <v>0</v>
      </c>
      <c r="F814" s="174" t="n">
        <v>8.199999999999999</v>
      </c>
      <c r="G814" s="174" t="n">
        <v>-0.5</v>
      </c>
      <c r="H814" s="174" t="n">
        <v>0</v>
      </c>
      <c r="I814" s="174" t="n">
        <v>8.199999999999999</v>
      </c>
      <c r="J814" s="174" t="n">
        <v>-0.5</v>
      </c>
      <c r="K814" s="175" t="inlineStr">
        <is>
          <t>2402 SINOHYTEC</t>
        </is>
      </c>
    </row>
    <row r="815">
      <c r="A815" s="17" t="inlineStr">
        <is>
          <t>Jiang Gang International Investment Company Limited</t>
        </is>
      </c>
      <c r="B815" s="167" t="n">
        <v>1</v>
      </c>
      <c r="C815" s="173" t="n">
        <v>0</v>
      </c>
      <c r="D815" s="174" t="n">
        <v>0</v>
      </c>
      <c r="E815" s="174" t="n">
        <v>-19.7</v>
      </c>
      <c r="F815" s="174" t="n">
        <v>-22.2</v>
      </c>
      <c r="G815" s="174" t="n">
        <v>-26.9</v>
      </c>
      <c r="H815" s="174" t="n">
        <v>-19.7</v>
      </c>
      <c r="I815" s="174" t="n">
        <v>-22.2</v>
      </c>
      <c r="J815" s="174" t="n">
        <v>-26.9</v>
      </c>
      <c r="K815" s="175" t="inlineStr">
        <is>
          <t>2481 WISE LIVING TEC</t>
        </is>
      </c>
    </row>
    <row r="816">
      <c r="A816" s="17" t="inlineStr">
        <is>
          <t>Chengdu Puhua Kaizhi Biotechnology Co., Ltd</t>
        </is>
      </c>
      <c r="B816" s="167" t="n">
        <v>1</v>
      </c>
      <c r="C816" s="173" t="n">
        <v>0</v>
      </c>
      <c r="D816" s="174" t="n">
        <v>0</v>
      </c>
      <c r="E816" s="174" t="n">
        <v>-6.2</v>
      </c>
      <c r="F816" s="174" t="n">
        <v>-40.4</v>
      </c>
      <c r="G816" s="174" t="n">
        <v>-45.2</v>
      </c>
      <c r="H816" s="174" t="n">
        <v>-6.2</v>
      </c>
      <c r="I816" s="174" t="n">
        <v>-40.4</v>
      </c>
      <c r="J816" s="174" t="n">
        <v>-45.2</v>
      </c>
      <c r="K816" s="175" t="inlineStr">
        <is>
          <t>2496 YZYBIO-B</t>
        </is>
      </c>
    </row>
    <row r="817">
      <c r="A817" s="17" t="inlineStr">
        <is>
          <t>Wuhan Optics Valley Health Industry Investment Ltd</t>
        </is>
      </c>
      <c r="B817" s="167" t="n">
        <v>1</v>
      </c>
      <c r="C817" s="173" t="n">
        <v>0</v>
      </c>
      <c r="D817" s="174" t="n">
        <v>0</v>
      </c>
      <c r="E817" s="174" t="n">
        <v>-6.2</v>
      </c>
      <c r="F817" s="174" t="n">
        <v>-40.4</v>
      </c>
      <c r="G817" s="174" t="n">
        <v>-45.2</v>
      </c>
      <c r="H817" s="174" t="n">
        <v>-6.2</v>
      </c>
      <c r="I817" s="174" t="n">
        <v>-40.4</v>
      </c>
      <c r="J817" s="174" t="n">
        <v>-45.2</v>
      </c>
      <c r="K817" s="175" t="inlineStr">
        <is>
          <t>2496 YZYBIO-B</t>
        </is>
      </c>
    </row>
    <row r="818">
      <c r="A818" s="17" t="inlineStr">
        <is>
          <t>4399 Net Limited</t>
        </is>
      </c>
      <c r="B818" s="167" t="n">
        <v>1</v>
      </c>
      <c r="C818" s="173" t="n">
        <v>0</v>
      </c>
      <c r="D818" s="174" t="n">
        <v>0</v>
      </c>
      <c r="E818" s="174" t="n">
        <v>-3.9</v>
      </c>
      <c r="F818" s="174" t="n">
        <v>-14.3</v>
      </c>
      <c r="G818" s="174" t="n">
        <v>240.4</v>
      </c>
      <c r="H818" s="174" t="n">
        <v>-3.9</v>
      </c>
      <c r="I818" s="174" t="n">
        <v>-14.3</v>
      </c>
      <c r="J818" s="174" t="n">
        <v>240.4</v>
      </c>
      <c r="K818" s="175" t="inlineStr">
        <is>
          <t>9890 ZX INC</t>
        </is>
      </c>
    </row>
    <row r="819">
      <c r="A819" s="17" t="inlineStr">
        <is>
          <t>Aofei Data International Company Limited</t>
        </is>
      </c>
      <c r="B819" s="167" t="n">
        <v>1</v>
      </c>
      <c r="C819" s="173" t="n">
        <v>0</v>
      </c>
      <c r="D819" s="174" t="n">
        <v>0</v>
      </c>
      <c r="E819" s="174" t="n">
        <v>-3.9</v>
      </c>
      <c r="F819" s="174" t="n">
        <v>-14.3</v>
      </c>
      <c r="G819" s="174" t="n">
        <v>240.4</v>
      </c>
      <c r="H819" s="174" t="n">
        <v>-3.9</v>
      </c>
      <c r="I819" s="174" t="n">
        <v>-14.3</v>
      </c>
      <c r="J819" s="174" t="n">
        <v>240.4</v>
      </c>
      <c r="K819" s="175" t="inlineStr">
        <is>
          <t>9890 ZX INC</t>
        </is>
      </c>
    </row>
    <row r="820">
      <c r="A820" s="17" t="inlineStr">
        <is>
          <t>Hong Kong Longsin Co., Limited</t>
        </is>
      </c>
      <c r="B820" s="167" t="n">
        <v>1</v>
      </c>
      <c r="C820" s="173" t="n">
        <v>0</v>
      </c>
      <c r="D820" s="174" t="n">
        <v>0</v>
      </c>
      <c r="E820" s="174" t="n">
        <v>-3.9</v>
      </c>
      <c r="F820" s="174" t="n">
        <v>-14.3</v>
      </c>
      <c r="G820" s="174" t="n">
        <v>240.4</v>
      </c>
      <c r="H820" s="174" t="n">
        <v>-3.9</v>
      </c>
      <c r="I820" s="174" t="n">
        <v>-14.3</v>
      </c>
      <c r="J820" s="174" t="n">
        <v>240.4</v>
      </c>
      <c r="K820" s="175" t="inlineStr">
        <is>
          <t>9890 ZX INC</t>
        </is>
      </c>
    </row>
    <row r="821">
      <c r="A821" s="17" t="inlineStr">
        <is>
          <t>Shangrao High-speed Industrial Investment</t>
        </is>
      </c>
      <c r="B821" s="167" t="n">
        <v>1</v>
      </c>
      <c r="C821" s="173" t="n">
        <v>0</v>
      </c>
      <c r="D821" s="174" t="n">
        <v>0</v>
      </c>
      <c r="E821" s="174" t="n">
        <v>-3.9</v>
      </c>
      <c r="F821" s="174" t="n">
        <v>-14.3</v>
      </c>
      <c r="G821" s="174" t="n">
        <v>240.4</v>
      </c>
      <c r="H821" s="174" t="n">
        <v>-3.9</v>
      </c>
      <c r="I821" s="174" t="n">
        <v>-14.3</v>
      </c>
      <c r="J821" s="174" t="n">
        <v>240.4</v>
      </c>
      <c r="K821" s="175" t="inlineStr">
        <is>
          <t>9890 ZX INC</t>
        </is>
      </c>
    </row>
    <row r="822">
      <c r="A822" s="17" t="inlineStr">
        <is>
          <t>D1 SPV Jupiter (Hong Kong) Limited</t>
        </is>
      </c>
      <c r="B822" s="167" t="n">
        <v>1</v>
      </c>
      <c r="C822" s="173" t="n">
        <v>0</v>
      </c>
      <c r="D822" s="174" t="n">
        <v>0</v>
      </c>
      <c r="E822" s="174" t="n">
        <v>3.3</v>
      </c>
      <c r="F822" s="174" t="n">
        <v>-1.2</v>
      </c>
      <c r="G822" s="174" t="n">
        <v>34</v>
      </c>
      <c r="H822" s="174" t="n">
        <v>3.3</v>
      </c>
      <c r="I822" s="174" t="n">
        <v>-1.2</v>
      </c>
      <c r="J822" s="174" t="n">
        <v>34</v>
      </c>
      <c r="K822" s="175" t="inlineStr">
        <is>
          <t>1519 J&amp;T EXPRESS-W</t>
        </is>
      </c>
    </row>
    <row r="823">
      <c r="A823" s="17" t="inlineStr">
        <is>
          <t>Dahlia Investments Pte. Ltd</t>
        </is>
      </c>
      <c r="B823" s="167" t="n">
        <v>1</v>
      </c>
      <c r="C823" s="173" t="n">
        <v>0</v>
      </c>
      <c r="D823" s="174" t="n">
        <v>0</v>
      </c>
      <c r="E823" s="174" t="n">
        <v>3.3</v>
      </c>
      <c r="F823" s="174" t="n">
        <v>-1.2</v>
      </c>
      <c r="G823" s="174" t="n">
        <v>34</v>
      </c>
      <c r="H823" s="174" t="n">
        <v>3.3</v>
      </c>
      <c r="I823" s="174" t="n">
        <v>-1.2</v>
      </c>
      <c r="J823" s="174" t="n">
        <v>34</v>
      </c>
      <c r="K823" s="175" t="inlineStr">
        <is>
          <t>1519 J&amp;T EXPRESS-W</t>
        </is>
      </c>
    </row>
    <row r="824">
      <c r="A824" s="17" t="inlineStr">
        <is>
          <t>Hidden Hill SPV VIII</t>
        </is>
      </c>
      <c r="B824" s="167" t="n">
        <v>1</v>
      </c>
      <c r="C824" s="173" t="n">
        <v>0</v>
      </c>
      <c r="D824" s="174" t="n">
        <v>0</v>
      </c>
      <c r="E824" s="174" t="n">
        <v>3.3</v>
      </c>
      <c r="F824" s="174" t="n">
        <v>-1.2</v>
      </c>
      <c r="G824" s="174" t="n">
        <v>34</v>
      </c>
      <c r="H824" s="174" t="n">
        <v>3.3</v>
      </c>
      <c r="I824" s="174" t="n">
        <v>-1.2</v>
      </c>
      <c r="J824" s="174" t="n">
        <v>34</v>
      </c>
      <c r="K824" s="175" t="inlineStr">
        <is>
          <t>1519 J&amp;T EXPRESS-W</t>
        </is>
      </c>
    </row>
    <row r="825">
      <c r="A825" s="17" t="inlineStr">
        <is>
          <t>Jallion Global Limited</t>
        </is>
      </c>
      <c r="B825" s="167" t="n">
        <v>1</v>
      </c>
      <c r="C825" s="173" t="n">
        <v>0</v>
      </c>
      <c r="D825" s="174" t="n">
        <v>0</v>
      </c>
      <c r="E825" s="174" t="n">
        <v>3.3</v>
      </c>
      <c r="F825" s="174" t="n">
        <v>-1.2</v>
      </c>
      <c r="G825" s="174" t="n">
        <v>34</v>
      </c>
      <c r="H825" s="174" t="n">
        <v>3.3</v>
      </c>
      <c r="I825" s="174" t="n">
        <v>-1.2</v>
      </c>
      <c r="J825" s="174" t="n">
        <v>34</v>
      </c>
      <c r="K825" s="175" t="inlineStr">
        <is>
          <t>1519 J&amp;T EXPRESS-W</t>
        </is>
      </c>
    </row>
    <row r="826">
      <c r="A826" s="17" t="inlineStr">
        <is>
          <t>JNRY III HOLDINGS LIMITED</t>
        </is>
      </c>
      <c r="B826" s="167" t="n">
        <v>1</v>
      </c>
      <c r="C826" s="173" t="n">
        <v>0</v>
      </c>
      <c r="D826" s="174" t="n">
        <v>0</v>
      </c>
      <c r="E826" s="174" t="n">
        <v>3.3</v>
      </c>
      <c r="F826" s="174" t="n">
        <v>-1.2</v>
      </c>
      <c r="G826" s="174" t="n">
        <v>34</v>
      </c>
      <c r="H826" s="174" t="n">
        <v>3.3</v>
      </c>
      <c r="I826" s="174" t="n">
        <v>-1.2</v>
      </c>
      <c r="J826" s="174" t="n">
        <v>34</v>
      </c>
      <c r="K826" s="175" t="inlineStr">
        <is>
          <t>1519 J&amp;T EXPRESS-W</t>
        </is>
      </c>
    </row>
    <row r="827">
      <c r="A827" s="17" t="inlineStr">
        <is>
          <t>Joyous Tempinis Limited</t>
        </is>
      </c>
      <c r="B827" s="167" t="n">
        <v>1</v>
      </c>
      <c r="C827" s="173" t="n">
        <v>0</v>
      </c>
      <c r="D827" s="174" t="n">
        <v>0</v>
      </c>
      <c r="E827" s="174" t="n">
        <v>3.3</v>
      </c>
      <c r="F827" s="174" t="n">
        <v>-1.2</v>
      </c>
      <c r="G827" s="174" t="n">
        <v>34</v>
      </c>
      <c r="H827" s="174" t="n">
        <v>3.3</v>
      </c>
      <c r="I827" s="174" t="n">
        <v>-1.2</v>
      </c>
      <c r="J827" s="174" t="n">
        <v>34</v>
      </c>
      <c r="K827" s="175" t="inlineStr">
        <is>
          <t>1519 J&amp;T EXPRESS-W</t>
        </is>
      </c>
    </row>
    <row r="828">
      <c r="A828" s="17" t="inlineStr">
        <is>
          <t>Parallel Cluster Investment Limited</t>
        </is>
      </c>
      <c r="B828" s="167" t="n">
        <v>1</v>
      </c>
      <c r="C828" s="173" t="n">
        <v>0</v>
      </c>
      <c r="D828" s="174" t="n">
        <v>0</v>
      </c>
      <c r="E828" s="174" t="n">
        <v>3.3</v>
      </c>
      <c r="F828" s="174" t="n">
        <v>-1.2</v>
      </c>
      <c r="G828" s="174" t="n">
        <v>34</v>
      </c>
      <c r="H828" s="174" t="n">
        <v>3.3</v>
      </c>
      <c r="I828" s="174" t="n">
        <v>-1.2</v>
      </c>
      <c r="J828" s="174" t="n">
        <v>34</v>
      </c>
      <c r="K828" s="175" t="inlineStr">
        <is>
          <t>1519 J&amp;T EXPRESS-W</t>
        </is>
      </c>
    </row>
    <row r="829">
      <c r="A829" s="17" t="inlineStr">
        <is>
          <t>SC GGF III Holdco, Ltd</t>
        </is>
      </c>
      <c r="B829" s="167" t="n">
        <v>1</v>
      </c>
      <c r="C829" s="173" t="n">
        <v>0</v>
      </c>
      <c r="D829" s="174" t="n">
        <v>0</v>
      </c>
      <c r="E829" s="174" t="n">
        <v>3.3</v>
      </c>
      <c r="F829" s="174" t="n">
        <v>-1.2</v>
      </c>
      <c r="G829" s="174" t="n">
        <v>34</v>
      </c>
      <c r="H829" s="174" t="n">
        <v>3.3</v>
      </c>
      <c r="I829" s="174" t="n">
        <v>-1.2</v>
      </c>
      <c r="J829" s="174" t="n">
        <v>34</v>
      </c>
      <c r="K829" s="175" t="inlineStr">
        <is>
          <t>1519 J&amp;T EXPRESS-W</t>
        </is>
      </c>
    </row>
    <row r="830">
      <c r="A830" s="17" t="inlineStr">
        <is>
          <t>COFCO Capital Special Opportunity Fund 2 SP</t>
        </is>
      </c>
      <c r="B830" s="167" t="n">
        <v>1</v>
      </c>
      <c r="C830" s="173" t="n">
        <v>0</v>
      </c>
      <c r="D830" s="174" t="n">
        <v>0</v>
      </c>
      <c r="E830" s="174" t="n">
        <v>6.5</v>
      </c>
      <c r="F830" s="174" t="n">
        <v>22.9</v>
      </c>
      <c r="G830" s="174" t="n">
        <v>42.1</v>
      </c>
      <c r="H830" s="174" t="n">
        <v>6.5</v>
      </c>
      <c r="I830" s="174" t="n">
        <v>22.9</v>
      </c>
      <c r="J830" s="174" t="n">
        <v>42.1</v>
      </c>
      <c r="K830" s="175" t="inlineStr">
        <is>
          <t>2517 GUOQUAN</t>
        </is>
      </c>
    </row>
    <row r="831">
      <c r="A831" s="17" t="inlineStr">
        <is>
          <t>Jinding Capital Management (Shenzhen) Co., Ltd</t>
        </is>
      </c>
      <c r="B831" s="167" t="n">
        <v>1</v>
      </c>
      <c r="C831" s="173" t="n">
        <v>0</v>
      </c>
      <c r="D831" s="174" t="n">
        <v>0</v>
      </c>
      <c r="E831" s="174" t="n">
        <v>6.5</v>
      </c>
      <c r="F831" s="174" t="n">
        <v>22.9</v>
      </c>
      <c r="G831" s="174" t="n">
        <v>42.1</v>
      </c>
      <c r="H831" s="174" t="n">
        <v>6.5</v>
      </c>
      <c r="I831" s="174" t="n">
        <v>22.9</v>
      </c>
      <c r="J831" s="174" t="n">
        <v>42.1</v>
      </c>
      <c r="K831" s="175" t="inlineStr">
        <is>
          <t>2517 GUOQUAN</t>
        </is>
      </c>
    </row>
    <row r="832">
      <c r="A832" s="17" t="inlineStr">
        <is>
          <t>Profit Joy (Hong Kong) Limited</t>
        </is>
      </c>
      <c r="B832" s="167" t="n">
        <v>1</v>
      </c>
      <c r="C832" s="173" t="n">
        <v>0</v>
      </c>
      <c r="D832" s="174" t="n">
        <v>0</v>
      </c>
      <c r="E832" s="174" t="n">
        <v>6.5</v>
      </c>
      <c r="F832" s="174" t="n">
        <v>22.9</v>
      </c>
      <c r="G832" s="174" t="n">
        <v>42.1</v>
      </c>
      <c r="H832" s="174" t="n">
        <v>6.5</v>
      </c>
      <c r="I832" s="174" t="n">
        <v>22.9</v>
      </c>
      <c r="J832" s="174" t="n">
        <v>42.1</v>
      </c>
      <c r="K832" s="175" t="inlineStr">
        <is>
          <t>2517 GUOQUAN</t>
        </is>
      </c>
    </row>
    <row r="833">
      <c r="A833" s="17" t="inlineStr">
        <is>
          <t>Mingyang Smart Energy Group Co., Ltd</t>
        </is>
      </c>
      <c r="B833" s="167" t="n">
        <v>1</v>
      </c>
      <c r="C833" s="173" t="n">
        <v>0</v>
      </c>
      <c r="D833" s="174" t="n">
        <v>0</v>
      </c>
      <c r="E833" s="174" t="n">
        <v>-5.5</v>
      </c>
      <c r="F833" s="174" t="n">
        <v>-17.4</v>
      </c>
      <c r="G833" s="174" t="n">
        <v>-11.5</v>
      </c>
      <c r="H833" s="174" t="n">
        <v>-5.5</v>
      </c>
      <c r="I833" s="174" t="n">
        <v>-17.4</v>
      </c>
      <c r="J833" s="174" t="n">
        <v>-11.5</v>
      </c>
      <c r="K833" s="175" t="inlineStr">
        <is>
          <t>2520 SHANXI INSTALL</t>
        </is>
      </c>
    </row>
    <row r="834">
      <c r="A834" s="17" t="inlineStr">
        <is>
          <t>WU Chen</t>
        </is>
      </c>
      <c r="B834" s="167" t="n">
        <v>1</v>
      </c>
      <c r="C834" s="173" t="n">
        <v>0</v>
      </c>
      <c r="D834" s="174" t="n">
        <v>0</v>
      </c>
      <c r="E834" s="174" t="n">
        <v>-5.2</v>
      </c>
      <c r="F834" s="174" t="n">
        <v>1</v>
      </c>
      <c r="G834" s="174" t="n">
        <v>3.1</v>
      </c>
      <c r="H834" s="174" t="n">
        <v>-5.2</v>
      </c>
      <c r="I834" s="174" t="n">
        <v>1</v>
      </c>
      <c r="J834" s="174" t="n">
        <v>3.1</v>
      </c>
      <c r="K834" s="175" t="inlineStr">
        <is>
          <t>1497 YAN PALACE</t>
        </is>
      </c>
    </row>
    <row r="835">
      <c r="A835" s="17" t="inlineStr">
        <is>
          <t>Shenzhen Nanshan Strategic Emerging Industries Investment Co., Ltd</t>
        </is>
      </c>
      <c r="B835" s="167" t="n">
        <v>1</v>
      </c>
      <c r="C835" s="173" t="n">
        <v>0</v>
      </c>
      <c r="D835" s="174" t="n">
        <v>0</v>
      </c>
      <c r="E835" s="174" t="n">
        <v>0</v>
      </c>
      <c r="F835" s="174" t="n">
        <v>-9.300000000000001</v>
      </c>
      <c r="G835" s="174" t="n">
        <v>-1.2</v>
      </c>
      <c r="H835" s="174" t="n">
        <v>0</v>
      </c>
      <c r="I835" s="174" t="n">
        <v>-9.300000000000001</v>
      </c>
      <c r="J835" s="174" t="n">
        <v>-1.2</v>
      </c>
      <c r="K835" s="175" t="inlineStr">
        <is>
          <t>2498 ROBOSENSE</t>
        </is>
      </c>
    </row>
    <row r="836">
      <c r="A836" s="17" t="inlineStr">
        <is>
          <t>Changshu Southeast Industrial Investment Co., Ltd</t>
        </is>
      </c>
      <c r="B836" s="167" t="n">
        <v>1</v>
      </c>
      <c r="C836" s="173" t="n">
        <v>0</v>
      </c>
      <c r="D836" s="174" t="n">
        <v>0</v>
      </c>
      <c r="E836" s="174" t="n">
        <v>-10.4</v>
      </c>
      <c r="F836" s="174" t="n">
        <v>-9.6</v>
      </c>
      <c r="G836" s="174" t="n">
        <v>-30.2</v>
      </c>
      <c r="H836" s="174" t="n">
        <v>-10.4</v>
      </c>
      <c r="I836" s="174" t="n">
        <v>-9.6</v>
      </c>
      <c r="J836" s="174" t="n">
        <v>-30.2</v>
      </c>
      <c r="K836" s="175" t="inlineStr">
        <is>
          <t>2507 CIRRUS</t>
        </is>
      </c>
    </row>
    <row r="837">
      <c r="A837" s="17" t="inlineStr">
        <is>
          <t>Taicang High Tech Science and Innovation Development Co</t>
        </is>
      </c>
      <c r="B837" s="167" t="n">
        <v>1</v>
      </c>
      <c r="C837" s="173" t="n">
        <v>0</v>
      </c>
      <c r="D837" s="174" t="n">
        <v>0</v>
      </c>
      <c r="E837" s="174" t="n">
        <v>-10.4</v>
      </c>
      <c r="F837" s="174" t="n">
        <v>-9.6</v>
      </c>
      <c r="G837" s="174" t="n">
        <v>-30.2</v>
      </c>
      <c r="H837" s="174" t="n">
        <v>-10.4</v>
      </c>
      <c r="I837" s="174" t="n">
        <v>-9.6</v>
      </c>
      <c r="J837" s="174" t="n">
        <v>-30.2</v>
      </c>
      <c r="K837" s="175" t="inlineStr">
        <is>
          <t>2507 CIRRUS</t>
        </is>
      </c>
    </row>
    <row r="838">
      <c r="A838" s="17" t="inlineStr">
        <is>
          <t>Norges Bank</t>
        </is>
      </c>
      <c r="B838" s="167" t="n">
        <v>1</v>
      </c>
      <c r="C838" s="173" t="n">
        <v>0</v>
      </c>
      <c r="D838" s="174" t="n">
        <v>0</v>
      </c>
      <c r="E838" s="174" t="n">
        <v>-5</v>
      </c>
      <c r="F838" s="174" t="n">
        <v>-1.3</v>
      </c>
      <c r="G838" s="174" t="n">
        <v>10.9</v>
      </c>
      <c r="H838" s="174" t="n">
        <v>-5</v>
      </c>
      <c r="I838" s="174" t="n">
        <v>-1.3</v>
      </c>
      <c r="J838" s="174" t="n">
        <v>10.9</v>
      </c>
      <c r="K838" s="175" t="inlineStr">
        <is>
          <t>6936 SF HOLDING</t>
        </is>
      </c>
    </row>
    <row r="839">
      <c r="A839" s="17" t="inlineStr">
        <is>
          <t>International Mining Company Limited</t>
        </is>
      </c>
      <c r="B839" s="167" t="n">
        <v>1</v>
      </c>
      <c r="C839" s="173" t="n">
        <v>0</v>
      </c>
      <c r="D839" s="174" t="n">
        <v>0</v>
      </c>
      <c r="E839" s="174" t="n">
        <v>2</v>
      </c>
      <c r="F839" s="174" t="n">
        <v>25.5</v>
      </c>
      <c r="G839" s="174" t="n">
        <v>110.6</v>
      </c>
      <c r="H839" s="174" t="n">
        <v>2</v>
      </c>
      <c r="I839" s="174" t="n">
        <v>25.5</v>
      </c>
      <c r="J839" s="174" t="n">
        <v>110.6</v>
      </c>
      <c r="K839" s="175" t="inlineStr">
        <is>
          <t>6693 CHIFENG GOLD</t>
        </is>
      </c>
    </row>
    <row r="840">
      <c r="A840" s="17" t="inlineStr">
        <is>
          <t>Jefferies Hong Kong Limited</t>
        </is>
      </c>
      <c r="B840" s="167" t="n">
        <v>1</v>
      </c>
      <c r="C840" s="173" t="n">
        <v>0</v>
      </c>
      <c r="D840" s="174" t="n">
        <v>0</v>
      </c>
      <c r="E840" s="174" t="n">
        <v>-16.8</v>
      </c>
      <c r="F840" s="174" t="n">
        <v>-30.8</v>
      </c>
      <c r="G840" s="174" t="n">
        <v>-31</v>
      </c>
      <c r="H840" s="174" t="n">
        <v>-16.8</v>
      </c>
      <c r="I840" s="174" t="n">
        <v>-30.8</v>
      </c>
      <c r="J840" s="174" t="n">
        <v>-31</v>
      </c>
      <c r="K840" s="175" t="inlineStr">
        <is>
          <t>2561 VISEN PHARMA-B</t>
        </is>
      </c>
    </row>
    <row r="841">
      <c r="A841" s="17" t="inlineStr">
        <is>
          <t>Cosmic Clover Limited</t>
        </is>
      </c>
      <c r="B841" s="167" t="n">
        <v>1</v>
      </c>
      <c r="C841" s="173" t="n">
        <v>0</v>
      </c>
      <c r="D841" s="174" t="n">
        <v>0</v>
      </c>
      <c r="E841" s="174" t="n">
        <v>-16.8</v>
      </c>
      <c r="F841" s="174" t="n">
        <v>-30.8</v>
      </c>
      <c r="G841" s="174" t="n">
        <v>-31</v>
      </c>
      <c r="H841" s="174" t="n">
        <v>-16.8</v>
      </c>
      <c r="I841" s="174" t="n">
        <v>-30.8</v>
      </c>
      <c r="J841" s="174" t="n">
        <v>-31</v>
      </c>
      <c r="K841" s="175" t="inlineStr">
        <is>
          <t>2561 VISEN PHARMA-B</t>
        </is>
      </c>
    </row>
    <row r="842">
      <c r="A842" s="17" t="inlineStr">
        <is>
          <t>Logos Opportunities Fund II LP</t>
        </is>
      </c>
      <c r="B842" s="167" t="n">
        <v>1</v>
      </c>
      <c r="C842" s="173" t="n">
        <v>0</v>
      </c>
      <c r="D842" s="174" t="n">
        <v>0</v>
      </c>
      <c r="E842" s="174" t="n">
        <v>-16.8</v>
      </c>
      <c r="F842" s="174" t="n">
        <v>-30.8</v>
      </c>
      <c r="G842" s="174" t="n">
        <v>-31</v>
      </c>
      <c r="H842" s="174" t="n">
        <v>-16.8</v>
      </c>
      <c r="I842" s="174" t="n">
        <v>-30.8</v>
      </c>
      <c r="J842" s="174" t="n">
        <v>-31</v>
      </c>
      <c r="K842" s="175" t="inlineStr">
        <is>
          <t>2561 VISEN PHARMA-B</t>
        </is>
      </c>
    </row>
    <row r="843">
      <c r="A843" s="17" t="inlineStr">
        <is>
          <t>Xu Shihe (許世和)</t>
        </is>
      </c>
      <c r="B843" s="167" t="n">
        <v>1</v>
      </c>
      <c r="C843" s="173" t="n">
        <v>0</v>
      </c>
      <c r="D843" s="174" t="n">
        <v>0</v>
      </c>
      <c r="E843" s="174" t="n">
        <v>-14.4</v>
      </c>
      <c r="F843" s="174" t="n">
        <v>33.6</v>
      </c>
      <c r="G843" s="174" t="n">
        <v>11.2</v>
      </c>
      <c r="H843" s="174" t="n">
        <v>-14.4</v>
      </c>
      <c r="I843" s="174" t="n">
        <v>33.6</v>
      </c>
      <c r="J843" s="174" t="n">
        <v>11.2</v>
      </c>
      <c r="K843" s="175" t="inlineStr">
        <is>
          <t>2625 JIANGSU HORIZON</t>
        </is>
      </c>
    </row>
    <row r="844">
      <c r="A844" s="17" t="inlineStr">
        <is>
          <t>Yin Qin (印勤)</t>
        </is>
      </c>
      <c r="B844" s="167" t="n">
        <v>1</v>
      </c>
      <c r="C844" s="173" t="n">
        <v>0</v>
      </c>
      <c r="D844" s="174" t="n">
        <v>0</v>
      </c>
      <c r="E844" s="174" t="n">
        <v>-14.4</v>
      </c>
      <c r="F844" s="174" t="n">
        <v>33.6</v>
      </c>
      <c r="G844" s="174" t="n">
        <v>11.2</v>
      </c>
      <c r="H844" s="174" t="n">
        <v>-14.4</v>
      </c>
      <c r="I844" s="174" t="n">
        <v>33.6</v>
      </c>
      <c r="J844" s="174" t="n">
        <v>11.2</v>
      </c>
      <c r="K844" s="175" t="inlineStr">
        <is>
          <t>2625 JIANGSU HORIZON</t>
        </is>
      </c>
    </row>
    <row r="845">
      <c r="A845" s="17" t="inlineStr">
        <is>
          <t>Hu Qinghua (胡慶華)</t>
        </is>
      </c>
      <c r="B845" s="167" t="n">
        <v>1</v>
      </c>
      <c r="C845" s="173" t="n">
        <v>0</v>
      </c>
      <c r="D845" s="174" t="n">
        <v>0</v>
      </c>
      <c r="E845" s="174" t="n">
        <v>-14.4</v>
      </c>
      <c r="F845" s="174" t="n">
        <v>33.6</v>
      </c>
      <c r="G845" s="174" t="n">
        <v>11.2</v>
      </c>
      <c r="H845" s="174" t="n">
        <v>-14.4</v>
      </c>
      <c r="I845" s="174" t="n">
        <v>33.6</v>
      </c>
      <c r="J845" s="174" t="n">
        <v>11.2</v>
      </c>
      <c r="K845" s="175" t="inlineStr">
        <is>
          <t>2625 JIANGSU HORIZON</t>
        </is>
      </c>
    </row>
    <row r="846">
      <c r="A846" s="17" t="inlineStr">
        <is>
          <t>Zhu Zheng (朱政)</t>
        </is>
      </c>
      <c r="B846" s="167" t="n">
        <v>1</v>
      </c>
      <c r="C846" s="173" t="n">
        <v>0</v>
      </c>
      <c r="D846" s="174" t="n">
        <v>0</v>
      </c>
      <c r="E846" s="174" t="n">
        <v>-14.4</v>
      </c>
      <c r="F846" s="174" t="n">
        <v>33.6</v>
      </c>
      <c r="G846" s="174" t="n">
        <v>11.2</v>
      </c>
      <c r="H846" s="174" t="n">
        <v>-14.4</v>
      </c>
      <c r="I846" s="174" t="n">
        <v>33.6</v>
      </c>
      <c r="J846" s="174" t="n">
        <v>11.2</v>
      </c>
      <c r="K846" s="175" t="inlineStr">
        <is>
          <t>2625 JIANGSU HORIZON</t>
        </is>
      </c>
    </row>
    <row r="847">
      <c r="A847" s="17" t="inlineStr">
        <is>
          <t>Zhan Mingyu (詹明玉)</t>
        </is>
      </c>
      <c r="B847" s="167" t="n">
        <v>1</v>
      </c>
      <c r="C847" s="173" t="n">
        <v>0</v>
      </c>
      <c r="D847" s="174" t="n">
        <v>0</v>
      </c>
      <c r="E847" s="174" t="n">
        <v>-14.4</v>
      </c>
      <c r="F847" s="174" t="n">
        <v>33.6</v>
      </c>
      <c r="G847" s="174" t="n">
        <v>11.2</v>
      </c>
      <c r="H847" s="174" t="n">
        <v>-14.4</v>
      </c>
      <c r="I847" s="174" t="n">
        <v>33.6</v>
      </c>
      <c r="J847" s="174" t="n">
        <v>11.2</v>
      </c>
      <c r="K847" s="175" t="inlineStr">
        <is>
          <t>2625 JIANGSU HORIZON</t>
        </is>
      </c>
    </row>
    <row r="848">
      <c r="A848" s="17" t="inlineStr">
        <is>
          <t>Jiang Xianyue (江顯月)</t>
        </is>
      </c>
      <c r="B848" s="167" t="n">
        <v>1</v>
      </c>
      <c r="C848" s="173" t="n">
        <v>0</v>
      </c>
      <c r="D848" s="174" t="n">
        <v>0</v>
      </c>
      <c r="E848" s="174" t="n">
        <v>-14.4</v>
      </c>
      <c r="F848" s="174" t="n">
        <v>33.6</v>
      </c>
      <c r="G848" s="174" t="n">
        <v>11.2</v>
      </c>
      <c r="H848" s="174" t="n">
        <v>-14.4</v>
      </c>
      <c r="I848" s="174" t="n">
        <v>33.6</v>
      </c>
      <c r="J848" s="174" t="n">
        <v>11.2</v>
      </c>
      <c r="K848" s="175" t="inlineStr">
        <is>
          <t>2625 JIANGSU HORIZON</t>
        </is>
      </c>
    </row>
    <row r="849">
      <c r="A849" s="17" t="inlineStr">
        <is>
          <t>Yao Xinhua (姚新華)</t>
        </is>
      </c>
      <c r="B849" s="167" t="n">
        <v>1</v>
      </c>
      <c r="C849" s="173" t="n">
        <v>0</v>
      </c>
      <c r="D849" s="174" t="n">
        <v>0</v>
      </c>
      <c r="E849" s="174" t="n">
        <v>-14.4</v>
      </c>
      <c r="F849" s="174" t="n">
        <v>33.6</v>
      </c>
      <c r="G849" s="174" t="n">
        <v>11.2</v>
      </c>
      <c r="H849" s="174" t="n">
        <v>-14.4</v>
      </c>
      <c r="I849" s="174" t="n">
        <v>33.6</v>
      </c>
      <c r="J849" s="174" t="n">
        <v>11.2</v>
      </c>
      <c r="K849" s="175" t="inlineStr">
        <is>
          <t>2625 JIANGSU HORIZON</t>
        </is>
      </c>
    </row>
    <row r="850">
      <c r="A850" s="17" t="inlineStr">
        <is>
          <t>Guo Xia (郭霞)</t>
        </is>
      </c>
      <c r="B850" s="167" t="n">
        <v>1</v>
      </c>
      <c r="C850" s="173" t="n">
        <v>0</v>
      </c>
      <c r="D850" s="174" t="n">
        <v>0</v>
      </c>
      <c r="E850" s="174" t="n">
        <v>-14.4</v>
      </c>
      <c r="F850" s="174" t="n">
        <v>33.6</v>
      </c>
      <c r="G850" s="174" t="n">
        <v>11.2</v>
      </c>
      <c r="H850" s="174" t="n">
        <v>-14.4</v>
      </c>
      <c r="I850" s="174" t="n">
        <v>33.6</v>
      </c>
      <c r="J850" s="174" t="n">
        <v>11.2</v>
      </c>
      <c r="K850" s="175" t="inlineStr">
        <is>
          <t>2625 JIANGSU HORIZON</t>
        </is>
      </c>
    </row>
    <row r="851">
      <c r="A851" s="17" t="inlineStr">
        <is>
          <t>Lu Shouping (陸壽萍)</t>
        </is>
      </c>
      <c r="B851" s="167" t="n">
        <v>1</v>
      </c>
      <c r="C851" s="173" t="n">
        <v>0</v>
      </c>
      <c r="D851" s="174" t="n">
        <v>0</v>
      </c>
      <c r="E851" s="174" t="n">
        <v>-14.4</v>
      </c>
      <c r="F851" s="174" t="n">
        <v>33.6</v>
      </c>
      <c r="G851" s="174" t="n">
        <v>11.2</v>
      </c>
      <c r="H851" s="174" t="n">
        <v>-14.4</v>
      </c>
      <c r="I851" s="174" t="n">
        <v>33.6</v>
      </c>
      <c r="J851" s="174" t="n">
        <v>11.2</v>
      </c>
      <c r="K851" s="175" t="inlineStr">
        <is>
          <t>2625 JIANGSU HORIZON</t>
        </is>
      </c>
    </row>
    <row r="852">
      <c r="A852" s="17" t="inlineStr">
        <is>
          <t>Kan Chuanling (闞傳玲)</t>
        </is>
      </c>
      <c r="B852" s="167" t="n">
        <v>1</v>
      </c>
      <c r="C852" s="173" t="n">
        <v>0</v>
      </c>
      <c r="D852" s="174" t="n">
        <v>0</v>
      </c>
      <c r="E852" s="174" t="n">
        <v>-14.4</v>
      </c>
      <c r="F852" s="174" t="n">
        <v>33.6</v>
      </c>
      <c r="G852" s="174" t="n">
        <v>11.2</v>
      </c>
      <c r="H852" s="174" t="n">
        <v>-14.4</v>
      </c>
      <c r="I852" s="174" t="n">
        <v>33.6</v>
      </c>
      <c r="J852" s="174" t="n">
        <v>11.2</v>
      </c>
      <c r="K852" s="175" t="inlineStr">
        <is>
          <t>2625 JIANGSU HORIZON</t>
        </is>
      </c>
    </row>
    <row r="853">
      <c r="A853" s="17" t="inlineStr">
        <is>
          <t>Huang Haiyan (黃海燕)</t>
        </is>
      </c>
      <c r="B853" s="167" t="n">
        <v>1</v>
      </c>
      <c r="C853" s="173" t="n">
        <v>0</v>
      </c>
      <c r="D853" s="174" t="n">
        <v>0</v>
      </c>
      <c r="E853" s="174" t="n">
        <v>-14.4</v>
      </c>
      <c r="F853" s="174" t="n">
        <v>33.6</v>
      </c>
      <c r="G853" s="174" t="n">
        <v>11.2</v>
      </c>
      <c r="H853" s="174" t="n">
        <v>-14.4</v>
      </c>
      <c r="I853" s="174" t="n">
        <v>33.6</v>
      </c>
      <c r="J853" s="174" t="n">
        <v>11.2</v>
      </c>
      <c r="K853" s="175" t="inlineStr">
        <is>
          <t>2625 JIANGSU HORIZON</t>
        </is>
      </c>
    </row>
    <row r="854">
      <c r="A854" s="17" t="inlineStr">
        <is>
          <t>Zhen Yizuo (殷義左)</t>
        </is>
      </c>
      <c r="B854" s="167" t="n">
        <v>1</v>
      </c>
      <c r="C854" s="173" t="n">
        <v>0</v>
      </c>
      <c r="D854" s="174" t="n">
        <v>0</v>
      </c>
      <c r="E854" s="174" t="n">
        <v>-14.4</v>
      </c>
      <c r="F854" s="174" t="n">
        <v>33.6</v>
      </c>
      <c r="G854" s="174" t="n">
        <v>11.2</v>
      </c>
      <c r="H854" s="174" t="n">
        <v>-14.4</v>
      </c>
      <c r="I854" s="174" t="n">
        <v>33.6</v>
      </c>
      <c r="J854" s="174" t="n">
        <v>11.2</v>
      </c>
      <c r="K854" s="175" t="inlineStr">
        <is>
          <t>2625 JIANGSU HORIZON</t>
        </is>
      </c>
    </row>
    <row r="855">
      <c r="A855" s="17" t="inlineStr">
        <is>
          <t>Shen Zhigen (沈志艮)</t>
        </is>
      </c>
      <c r="B855" s="167" t="n">
        <v>1</v>
      </c>
      <c r="C855" s="173" t="n">
        <v>0</v>
      </c>
      <c r="D855" s="174" t="n">
        <v>0</v>
      </c>
      <c r="E855" s="174" t="n">
        <v>-14.4</v>
      </c>
      <c r="F855" s="174" t="n">
        <v>33.6</v>
      </c>
      <c r="G855" s="174" t="n">
        <v>11.2</v>
      </c>
      <c r="H855" s="174" t="n">
        <v>-14.4</v>
      </c>
      <c r="I855" s="174" t="n">
        <v>33.6</v>
      </c>
      <c r="J855" s="174" t="n">
        <v>11.2</v>
      </c>
      <c r="K855" s="175" t="inlineStr">
        <is>
          <t>2625 JIANGSU HORIZON</t>
        </is>
      </c>
    </row>
    <row r="856">
      <c r="A856" s="17" t="inlineStr">
        <is>
          <t>Xia Zhonglin (夏忠林)</t>
        </is>
      </c>
      <c r="B856" s="167" t="n">
        <v>1</v>
      </c>
      <c r="C856" s="173" t="n">
        <v>0</v>
      </c>
      <c r="D856" s="174" t="n">
        <v>0</v>
      </c>
      <c r="E856" s="174" t="n">
        <v>-14.4</v>
      </c>
      <c r="F856" s="174" t="n">
        <v>33.6</v>
      </c>
      <c r="G856" s="174" t="n">
        <v>11.2</v>
      </c>
      <c r="H856" s="174" t="n">
        <v>-14.4</v>
      </c>
      <c r="I856" s="174" t="n">
        <v>33.6</v>
      </c>
      <c r="J856" s="174" t="n">
        <v>11.2</v>
      </c>
      <c r="K856" s="175" t="inlineStr">
        <is>
          <t>2625 JIANGSU HORIZON</t>
        </is>
      </c>
    </row>
    <row r="857">
      <c r="A857" s="17" t="inlineStr">
        <is>
          <t>Lin Yuan</t>
        </is>
      </c>
      <c r="B857" s="167" t="n">
        <v>1</v>
      </c>
      <c r="C857" s="173" t="n">
        <v>0</v>
      </c>
      <c r="D857" s="174" t="n">
        <v>0</v>
      </c>
      <c r="E857" s="174" t="n">
        <v>-12.2</v>
      </c>
      <c r="F857" s="174" t="n">
        <v>-11.9</v>
      </c>
      <c r="G857" s="174" t="n">
        <v>-26.2</v>
      </c>
      <c r="H857" s="174" t="n">
        <v>-12.2</v>
      </c>
      <c r="I857" s="174" t="n">
        <v>-11.9</v>
      </c>
      <c r="J857" s="174" t="n">
        <v>-26.2</v>
      </c>
      <c r="K857" s="175" t="inlineStr">
        <is>
          <t>9927 SERES</t>
        </is>
      </c>
    </row>
    <row r="858">
      <c r="A858" s="17" t="inlineStr">
        <is>
          <t>Sanhua (Hong Kong)</t>
        </is>
      </c>
      <c r="B858" s="167" t="n">
        <v>1</v>
      </c>
      <c r="C858" s="173" t="n">
        <v>0</v>
      </c>
      <c r="D858" s="174" t="n">
        <v>0</v>
      </c>
      <c r="E858" s="174" t="n">
        <v>-12.2</v>
      </c>
      <c r="F858" s="174" t="n">
        <v>-11.9</v>
      </c>
      <c r="G858" s="174" t="n">
        <v>-26.2</v>
      </c>
      <c r="H858" s="174" t="n">
        <v>-12.2</v>
      </c>
      <c r="I858" s="174" t="n">
        <v>-11.9</v>
      </c>
      <c r="J858" s="174" t="n">
        <v>-26.2</v>
      </c>
      <c r="K858" s="175" t="inlineStr">
        <is>
          <t>9927 SERES</t>
        </is>
      </c>
    </row>
    <row r="859">
      <c r="A859" s="17" t="inlineStr">
        <is>
          <t>Zhink International</t>
        </is>
      </c>
      <c r="B859" s="167" t="n">
        <v>1</v>
      </c>
      <c r="C859" s="173" t="n">
        <v>0</v>
      </c>
      <c r="D859" s="174" t="n">
        <v>0</v>
      </c>
      <c r="E859" s="174" t="n">
        <v>-12.2</v>
      </c>
      <c r="F859" s="174" t="n">
        <v>-11.9</v>
      </c>
      <c r="G859" s="174" t="n">
        <v>-26.2</v>
      </c>
      <c r="H859" s="174" t="n">
        <v>-12.2</v>
      </c>
      <c r="I859" s="174" t="n">
        <v>-11.9</v>
      </c>
      <c r="J859" s="174" t="n">
        <v>-26.2</v>
      </c>
      <c r="K859" s="175" t="inlineStr">
        <is>
          <t>9927 SERES</t>
        </is>
      </c>
    </row>
    <row r="860">
      <c r="A860" s="17" t="inlineStr">
        <is>
          <t>Honour Goal Investments</t>
        </is>
      </c>
      <c r="B860" s="167" t="n">
        <v>1</v>
      </c>
      <c r="C860" s="173" t="n">
        <v>0</v>
      </c>
      <c r="D860" s="174" t="n">
        <v>0</v>
      </c>
      <c r="E860" s="174" t="n">
        <v>-12.2</v>
      </c>
      <c r="F860" s="174" t="n">
        <v>-11.9</v>
      </c>
      <c r="G860" s="174" t="n">
        <v>-26.2</v>
      </c>
      <c r="H860" s="174" t="n">
        <v>-12.2</v>
      </c>
      <c r="I860" s="174" t="n">
        <v>-11.9</v>
      </c>
      <c r="J860" s="174" t="n">
        <v>-26.2</v>
      </c>
      <c r="K860" s="175" t="inlineStr">
        <is>
          <t>9927 SERES</t>
        </is>
      </c>
    </row>
    <row r="861">
      <c r="A861" s="17" t="inlineStr">
        <is>
          <t>Hichain Logistics</t>
        </is>
      </c>
      <c r="B861" s="167" t="n">
        <v>1</v>
      </c>
      <c r="C861" s="173" t="n">
        <v>0</v>
      </c>
      <c r="D861" s="174" t="n">
        <v>0</v>
      </c>
      <c r="E861" s="174" t="n">
        <v>-12.2</v>
      </c>
      <c r="F861" s="174" t="n">
        <v>-11.9</v>
      </c>
      <c r="G861" s="174" t="n">
        <v>-26.2</v>
      </c>
      <c r="H861" s="174" t="n">
        <v>-12.2</v>
      </c>
      <c r="I861" s="174" t="n">
        <v>-11.9</v>
      </c>
      <c r="J861" s="174" t="n">
        <v>-26.2</v>
      </c>
      <c r="K861" s="175" t="inlineStr">
        <is>
          <t>9927 SERES</t>
        </is>
      </c>
    </row>
    <row r="862">
      <c r="A862" s="17" t="inlineStr">
        <is>
          <t>China Meidong</t>
        </is>
      </c>
      <c r="B862" s="167" t="n">
        <v>1</v>
      </c>
      <c r="C862" s="173" t="n">
        <v>0</v>
      </c>
      <c r="D862" s="174" t="n">
        <v>0</v>
      </c>
      <c r="E862" s="174" t="n">
        <v>-12.2</v>
      </c>
      <c r="F862" s="174" t="n">
        <v>-11.9</v>
      </c>
      <c r="G862" s="174" t="n">
        <v>-26.2</v>
      </c>
      <c r="H862" s="174" t="n">
        <v>-12.2</v>
      </c>
      <c r="I862" s="174" t="n">
        <v>-11.9</v>
      </c>
      <c r="J862" s="174" t="n">
        <v>-26.2</v>
      </c>
      <c r="K862" s="175" t="inlineStr">
        <is>
          <t>9927 SERES</t>
        </is>
      </c>
    </row>
    <row r="863">
      <c r="A863" s="17" t="inlineStr">
        <is>
          <t>CoreView</t>
        </is>
      </c>
      <c r="B863" s="167" t="n">
        <v>1</v>
      </c>
      <c r="C863" s="173" t="n">
        <v>0</v>
      </c>
      <c r="D863" s="174" t="n">
        <v>0</v>
      </c>
      <c r="E863" s="174" t="n">
        <v>-1.3</v>
      </c>
      <c r="F863" s="174" t="n">
        <v>-3.4</v>
      </c>
      <c r="G863" s="174" t="n">
        <v>-8.4</v>
      </c>
      <c r="H863" s="174" t="n">
        <v>-1.3</v>
      </c>
      <c r="I863" s="174" t="n">
        <v>-3.4</v>
      </c>
      <c r="J863" s="174" t="n">
        <v>-8.4</v>
      </c>
      <c r="K863" s="175" t="inlineStr">
        <is>
          <t>7618 JD INDUSTRIALS</t>
        </is>
      </c>
    </row>
    <row r="864">
      <c r="A864" s="17" t="inlineStr">
        <is>
          <t>Jupiter Global Master Fund Ltd.</t>
        </is>
      </c>
      <c r="B864" s="167" t="n">
        <v>1</v>
      </c>
      <c r="C864" s="173" t="n">
        <v>0</v>
      </c>
      <c r="D864" s="174" t="n">
        <v>0</v>
      </c>
      <c r="E864" s="174" t="n">
        <v>20.2</v>
      </c>
      <c r="F864" s="174" t="n">
        <v>-11.2</v>
      </c>
      <c r="G864" s="174" t="n">
        <v>-28</v>
      </c>
      <c r="H864" s="174" t="n">
        <v>20.2</v>
      </c>
      <c r="I864" s="174" t="n">
        <v>-11.2</v>
      </c>
      <c r="J864" s="174" t="n">
        <v>-28</v>
      </c>
      <c r="K864" s="175" t="inlineStr">
        <is>
          <t>0600 AXERA</t>
        </is>
      </c>
    </row>
    <row r="865">
      <c r="A865" s="17" t="inlineStr">
        <is>
          <t>NonaVerse (Hong Kong) Limited</t>
        </is>
      </c>
      <c r="B865" s="167" t="n">
        <v>1</v>
      </c>
      <c r="C865" s="173" t="n">
        <v>0</v>
      </c>
      <c r="D865" s="174" t="n">
        <v>0</v>
      </c>
      <c r="E865" s="174" t="n">
        <v>20.2</v>
      </c>
      <c r="F865" s="174" t="n">
        <v>-11.2</v>
      </c>
      <c r="G865" s="174" t="n">
        <v>-28</v>
      </c>
      <c r="H865" s="174" t="n">
        <v>20.2</v>
      </c>
      <c r="I865" s="174" t="n">
        <v>-11.2</v>
      </c>
      <c r="J865" s="174" t="n">
        <v>-28</v>
      </c>
      <c r="K865" s="175" t="inlineStr">
        <is>
          <t>0600 AXERA</t>
        </is>
      </c>
    </row>
    <row r="866">
      <c r="A866" s="17" t="inlineStr">
        <is>
          <t>Xin Ma Apparel International Limited</t>
        </is>
      </c>
      <c r="B866" s="167" t="n">
        <v>1</v>
      </c>
      <c r="C866" s="173" t="n">
        <v>0</v>
      </c>
      <c r="D866" s="174" t="n">
        <v>0</v>
      </c>
      <c r="E866" s="174" t="n">
        <v>20.2</v>
      </c>
      <c r="F866" s="174" t="n">
        <v>-11.2</v>
      </c>
      <c r="G866" s="174" t="n">
        <v>-28</v>
      </c>
      <c r="H866" s="174" t="n">
        <v>20.2</v>
      </c>
      <c r="I866" s="174" t="n">
        <v>-11.2</v>
      </c>
      <c r="J866" s="174" t="n">
        <v>-28</v>
      </c>
      <c r="K866" s="175" t="inlineStr">
        <is>
          <t>0600 AXERA</t>
        </is>
      </c>
    </row>
    <row r="867">
      <c r="A867" s="17" t="inlineStr">
        <is>
          <t>Desay SV Automotive Singapore Pte. Ltd</t>
        </is>
      </c>
      <c r="B867" s="167" t="n">
        <v>1</v>
      </c>
      <c r="C867" s="173" t="n">
        <v>0</v>
      </c>
      <c r="D867" s="174" t="n">
        <v>0</v>
      </c>
      <c r="E867" s="174" t="n">
        <v>20.2</v>
      </c>
      <c r="F867" s="174" t="n">
        <v>-11.2</v>
      </c>
      <c r="G867" s="174" t="n">
        <v>-28</v>
      </c>
      <c r="H867" s="174" t="n">
        <v>20.2</v>
      </c>
      <c r="I867" s="174" t="n">
        <v>-11.2</v>
      </c>
      <c r="J867" s="174" t="n">
        <v>-28</v>
      </c>
      <c r="K867" s="175" t="inlineStr">
        <is>
          <t>0600 AXERA</t>
        </is>
      </c>
    </row>
    <row r="868">
      <c r="A868" s="17" t="inlineStr">
        <is>
          <t>Offshore SP3</t>
        </is>
      </c>
      <c r="B868" s="167" t="n">
        <v>1</v>
      </c>
      <c r="C868" s="173" t="n">
        <v>0</v>
      </c>
      <c r="D868" s="174" t="n">
        <v>0</v>
      </c>
      <c r="E868" s="174" t="n">
        <v>0.6</v>
      </c>
      <c r="F868" s="174" t="n">
        <v>-9</v>
      </c>
      <c r="G868" s="174" t="n">
        <v>15.5</v>
      </c>
      <c r="H868" s="174" t="n">
        <v>0.6</v>
      </c>
      <c r="I868" s="174" t="n">
        <v>-9</v>
      </c>
      <c r="J868" s="174" t="n">
        <v>15.5</v>
      </c>
      <c r="K868" s="175" t="inlineStr">
        <is>
          <t>0470 WUXI LEAD</t>
        </is>
      </c>
    </row>
    <row r="869">
      <c r="A869" s="17" t="inlineStr">
        <is>
          <t>Marshall Wace Asia Limited</t>
        </is>
      </c>
      <c r="B869" s="167" t="n">
        <v>1</v>
      </c>
      <c r="C869" s="173" t="n">
        <v>0</v>
      </c>
      <c r="D869" s="174" t="n">
        <v>0</v>
      </c>
      <c r="E869" s="174" t="n">
        <v>-3.7</v>
      </c>
      <c r="F869" s="174" t="n">
        <v>-30.7</v>
      </c>
      <c r="G869" s="174" t="n">
        <v>-57</v>
      </c>
      <c r="H869" s="174" t="n">
        <v>-3.7</v>
      </c>
      <c r="I869" s="174" t="n">
        <v>-30.7</v>
      </c>
      <c r="J869" s="174" t="n">
        <v>-57</v>
      </c>
      <c r="K869" s="175" t="inlineStr">
        <is>
          <t>1081 DAJIN</t>
        </is>
      </c>
    </row>
    <row r="870">
      <c r="A870" s="17" t="inlineStr">
        <is>
          <t>GigaDevice Semiconductor (HK) Limited</t>
        </is>
      </c>
      <c r="B870" s="167" t="n">
        <v>1</v>
      </c>
      <c r="C870" s="173" t="n">
        <v>0</v>
      </c>
      <c r="D870" s="174" t="n">
        <v>0</v>
      </c>
      <c r="E870" s="174" t="n">
        <v>0.3</v>
      </c>
      <c r="F870" s="174" t="n">
        <v>-10.1</v>
      </c>
      <c r="G870" s="174" t="n"/>
      <c r="H870" s="174" t="n">
        <v>0.3</v>
      </c>
      <c r="I870" s="174" t="n">
        <v>-10.1</v>
      </c>
      <c r="J870" s="174" t="n"/>
      <c r="K870" s="175" t="inlineStr">
        <is>
          <t>6880 MOMENTA-W</t>
        </is>
      </c>
    </row>
    <row r="871">
      <c r="A871" s="17" t="inlineStr">
        <is>
          <t>Templeton Asset Management Ltd</t>
        </is>
      </c>
      <c r="B871" s="167" t="n">
        <v>1</v>
      </c>
      <c r="C871" s="173" t="n">
        <v>0</v>
      </c>
      <c r="D871" s="174" t="n">
        <v>0</v>
      </c>
      <c r="E871" s="174" t="n">
        <v>0.3</v>
      </c>
      <c r="F871" s="174" t="n">
        <v>-10.1</v>
      </c>
      <c r="G871" s="174" t="n"/>
      <c r="H871" s="174" t="n">
        <v>0.3</v>
      </c>
      <c r="I871" s="174" t="n">
        <v>-10.1</v>
      </c>
      <c r="J871" s="174" t="n"/>
      <c r="K871" s="175" t="inlineStr">
        <is>
          <t>6880 MOMENTA-W</t>
        </is>
      </c>
    </row>
    <row r="872">
      <c r="A872" s="17" t="inlineStr">
        <is>
          <t>Goertek (HongKong) Co., Limited</t>
        </is>
      </c>
      <c r="B872" s="167" t="n">
        <v>1</v>
      </c>
      <c r="C872" s="173" t="n">
        <v>0</v>
      </c>
      <c r="D872" s="174" t="n">
        <v>0</v>
      </c>
      <c r="E872" s="174" t="n">
        <v>-9.699999999999999</v>
      </c>
      <c r="F872" s="174" t="n">
        <v>-0.1</v>
      </c>
      <c r="G872" s="174" t="n"/>
      <c r="H872" s="174" t="n">
        <v>-9.699999999999999</v>
      </c>
      <c r="I872" s="174" t="n">
        <v>-0.1</v>
      </c>
      <c r="J872" s="174" t="n"/>
      <c r="K872" s="175" t="inlineStr">
        <is>
          <t>2249 NEXCHIP</t>
        </is>
      </c>
    </row>
    <row r="873">
      <c r="A873" s="17" t="inlineStr">
        <is>
          <t>Puxin Technology Limited</t>
        </is>
      </c>
      <c r="B873" s="167" t="n">
        <v>1</v>
      </c>
      <c r="C873" s="173" t="n">
        <v>0</v>
      </c>
      <c r="D873" s="174" t="n">
        <v>0</v>
      </c>
      <c r="E873" s="174" t="n">
        <v>-9.699999999999999</v>
      </c>
      <c r="F873" s="174" t="n">
        <v>-0.1</v>
      </c>
      <c r="G873" s="174" t="n"/>
      <c r="H873" s="174" t="n">
        <v>-9.699999999999999</v>
      </c>
      <c r="I873" s="174" t="n">
        <v>-0.1</v>
      </c>
      <c r="J873" s="174" t="n"/>
      <c r="K873" s="175" t="inlineStr">
        <is>
          <t>2249 NEXCHIP</t>
        </is>
      </c>
    </row>
    <row r="874">
      <c r="A874" s="17" t="inlineStr">
        <is>
          <t>Smartsens Technology (HK) Co., Limited</t>
        </is>
      </c>
      <c r="B874" s="167" t="n">
        <v>1</v>
      </c>
      <c r="C874" s="173" t="n">
        <v>0</v>
      </c>
      <c r="D874" s="174" t="n">
        <v>0</v>
      </c>
      <c r="E874" s="174" t="n">
        <v>-9.699999999999999</v>
      </c>
      <c r="F874" s="174" t="n">
        <v>-0.1</v>
      </c>
      <c r="G874" s="174" t="n"/>
      <c r="H874" s="174" t="n">
        <v>-9.699999999999999</v>
      </c>
      <c r="I874" s="174" t="n">
        <v>-0.1</v>
      </c>
      <c r="J874" s="174" t="n"/>
      <c r="K874" s="175" t="inlineStr">
        <is>
          <t>2249 NEXCHIP</t>
        </is>
      </c>
    </row>
    <row r="875">
      <c r="A875" s="17" t="inlineStr">
        <is>
          <t>Agora, Inc</t>
        </is>
      </c>
      <c r="B875" s="167" t="n">
        <v>1</v>
      </c>
      <c r="C875" s="173" t="n">
        <v>0</v>
      </c>
      <c r="D875" s="174" t="n">
        <v>-0.1</v>
      </c>
      <c r="E875" s="174" t="n">
        <v>2.7</v>
      </c>
      <c r="F875" s="174" t="n">
        <v>-19.1</v>
      </c>
      <c r="G875" s="174" t="n">
        <v>-22.3</v>
      </c>
      <c r="H875" s="174" t="n">
        <v>2.8</v>
      </c>
      <c r="I875" s="174" t="n">
        <v>-19</v>
      </c>
      <c r="J875" s="174" t="n">
        <v>-22.2</v>
      </c>
      <c r="K875" s="175" t="inlineStr">
        <is>
          <t>2167 TI CLOUD</t>
        </is>
      </c>
    </row>
    <row r="876">
      <c r="A876" s="17" t="inlineStr">
        <is>
          <t>Platinum Investment Management Limited</t>
        </is>
      </c>
      <c r="B876" s="167" t="n">
        <v>1</v>
      </c>
      <c r="C876" s="173" t="n">
        <v>0</v>
      </c>
      <c r="D876" s="174" t="n">
        <v>-0.1</v>
      </c>
      <c r="E876" s="174" t="n">
        <v>2.7</v>
      </c>
      <c r="F876" s="174" t="n">
        <v>-19.1</v>
      </c>
      <c r="G876" s="174" t="n">
        <v>-22.3</v>
      </c>
      <c r="H876" s="174" t="n">
        <v>2.8</v>
      </c>
      <c r="I876" s="174" t="n">
        <v>-19</v>
      </c>
      <c r="J876" s="174" t="n">
        <v>-22.2</v>
      </c>
      <c r="K876" s="175" t="inlineStr">
        <is>
          <t>2167 TI CLOUD</t>
        </is>
      </c>
    </row>
    <row r="877">
      <c r="A877" s="17" t="inlineStr">
        <is>
          <t>Chiyu International Capital Limited</t>
        </is>
      </c>
      <c r="B877" s="167" t="n">
        <v>1</v>
      </c>
      <c r="C877" s="173" t="n">
        <v>0</v>
      </c>
      <c r="D877" s="174" t="n">
        <v>-0.1</v>
      </c>
      <c r="E877" s="174" t="n">
        <v>-0.1</v>
      </c>
      <c r="F877" s="174" t="n">
        <v>-27.3</v>
      </c>
      <c r="G877" s="174" t="n">
        <v>-29.1</v>
      </c>
      <c r="H877" s="174" t="n">
        <v>0</v>
      </c>
      <c r="I877" s="174" t="n">
        <v>-27.2</v>
      </c>
      <c r="J877" s="174" t="n">
        <v>-29</v>
      </c>
      <c r="K877" s="175" t="inlineStr">
        <is>
          <t>2152 SUXIN SERVICES</t>
        </is>
      </c>
    </row>
    <row r="878">
      <c r="A878" s="17" t="inlineStr">
        <is>
          <t>Capital VIII</t>
        </is>
      </c>
      <c r="B878" s="167" t="n">
        <v>1</v>
      </c>
      <c r="C878" s="173" t="n">
        <v>0</v>
      </c>
      <c r="D878" s="174" t="n">
        <v>-0.1</v>
      </c>
      <c r="E878" s="174" t="n">
        <v>11.6</v>
      </c>
      <c r="F878" s="174" t="n">
        <v>26.5</v>
      </c>
      <c r="G878" s="174" t="n">
        <v>70.3</v>
      </c>
      <c r="H878" s="174" t="n">
        <v>11.8</v>
      </c>
      <c r="I878" s="174" t="n">
        <v>26.7</v>
      </c>
      <c r="J878" s="174" t="n">
        <v>70.59999999999999</v>
      </c>
      <c r="K878" s="175" t="inlineStr">
        <is>
          <t>2050 SANHUA</t>
        </is>
      </c>
    </row>
    <row r="879">
      <c r="A879" s="17" t="inlineStr">
        <is>
          <t>Guizhou New Industrialization Fund</t>
        </is>
      </c>
      <c r="B879" s="167" t="n">
        <v>1</v>
      </c>
      <c r="C879" s="173" t="n">
        <v>0</v>
      </c>
      <c r="D879" s="174" t="n">
        <v>-0.1</v>
      </c>
      <c r="E879" s="174" t="n">
        <v>-10.9</v>
      </c>
      <c r="F879" s="174" t="n">
        <v>-22.6</v>
      </c>
      <c r="G879" s="174" t="n">
        <v>2.5</v>
      </c>
      <c r="H879" s="174" t="n">
        <v>-10.8</v>
      </c>
      <c r="I879" s="174" t="n">
        <v>-22.6</v>
      </c>
      <c r="J879" s="174" t="n">
        <v>2.6</v>
      </c>
      <c r="K879" s="175" t="inlineStr">
        <is>
          <t>2579 CNGR</t>
        </is>
      </c>
    </row>
    <row r="880">
      <c r="A880" s="17" t="inlineStr">
        <is>
          <t>Baoda Investment</t>
        </is>
      </c>
      <c r="B880" s="167" t="n">
        <v>1</v>
      </c>
      <c r="C880" s="173" t="n">
        <v>0</v>
      </c>
      <c r="D880" s="174" t="n">
        <v>-0.1</v>
      </c>
      <c r="E880" s="174" t="n">
        <v>-10.9</v>
      </c>
      <c r="F880" s="174" t="n">
        <v>-22.6</v>
      </c>
      <c r="G880" s="174" t="n">
        <v>2.5</v>
      </c>
      <c r="H880" s="174" t="n">
        <v>-10.8</v>
      </c>
      <c r="I880" s="174" t="n">
        <v>-22.6</v>
      </c>
      <c r="J880" s="174" t="n">
        <v>2.6</v>
      </c>
      <c r="K880" s="175" t="inlineStr">
        <is>
          <t>2579 CNGR</t>
        </is>
      </c>
    </row>
    <row r="881">
      <c r="A881" s="17" t="inlineStr">
        <is>
          <t>Gaoyi Asset Management</t>
        </is>
      </c>
      <c r="B881" s="167" t="n">
        <v>1</v>
      </c>
      <c r="C881" s="173" t="n">
        <v>0</v>
      </c>
      <c r="D881" s="174" t="n">
        <v>-0.1</v>
      </c>
      <c r="E881" s="174" t="n">
        <v>-10.9</v>
      </c>
      <c r="F881" s="174" t="n">
        <v>-22.6</v>
      </c>
      <c r="G881" s="174" t="n">
        <v>2.5</v>
      </c>
      <c r="H881" s="174" t="n">
        <v>-10.8</v>
      </c>
      <c r="I881" s="174" t="n">
        <v>-22.6</v>
      </c>
      <c r="J881" s="174" t="n">
        <v>2.6</v>
      </c>
      <c r="K881" s="175" t="inlineStr">
        <is>
          <t>2579 CNGR</t>
        </is>
      </c>
    </row>
    <row r="882">
      <c r="A882" s="17" t="inlineStr">
        <is>
          <t>North Rock</t>
        </is>
      </c>
      <c r="B882" s="167" t="n">
        <v>1</v>
      </c>
      <c r="C882" s="173" t="n">
        <v>0</v>
      </c>
      <c r="D882" s="174" t="n">
        <v>-0.1</v>
      </c>
      <c r="E882" s="174" t="n">
        <v>-10.9</v>
      </c>
      <c r="F882" s="174" t="n">
        <v>-22.6</v>
      </c>
      <c r="G882" s="174" t="n">
        <v>2.5</v>
      </c>
      <c r="H882" s="174" t="n">
        <v>-10.8</v>
      </c>
      <c r="I882" s="174" t="n">
        <v>-22.6</v>
      </c>
      <c r="J882" s="174" t="n">
        <v>2.6</v>
      </c>
      <c r="K882" s="175" t="inlineStr">
        <is>
          <t>2579 CNGR</t>
        </is>
      </c>
    </row>
    <row r="883">
      <c r="A883" s="17" t="inlineStr">
        <is>
          <t>Hunan Xingxiang Industry Fund</t>
        </is>
      </c>
      <c r="B883" s="167" t="n">
        <v>1</v>
      </c>
      <c r="C883" s="173" t="n">
        <v>0</v>
      </c>
      <c r="D883" s="174" t="n">
        <v>-0.1</v>
      </c>
      <c r="E883" s="174" t="n">
        <v>-10.9</v>
      </c>
      <c r="F883" s="174" t="n">
        <v>-22.6</v>
      </c>
      <c r="G883" s="174" t="n">
        <v>2.5</v>
      </c>
      <c r="H883" s="174" t="n">
        <v>-10.8</v>
      </c>
      <c r="I883" s="174" t="n">
        <v>-22.6</v>
      </c>
      <c r="J883" s="174" t="n">
        <v>2.6</v>
      </c>
      <c r="K883" s="175" t="inlineStr">
        <is>
          <t>2579 CNGR</t>
        </is>
      </c>
    </row>
    <row r="884">
      <c r="A884" s="17" t="inlineStr">
        <is>
          <t>Space Z PTE. LTD</t>
        </is>
      </c>
      <c r="B884" s="167" t="n">
        <v>1</v>
      </c>
      <c r="C884" s="173" t="n">
        <v>0</v>
      </c>
      <c r="D884" s="174" t="n">
        <v>-0.1</v>
      </c>
      <c r="E884" s="174" t="n">
        <v>-14.2</v>
      </c>
      <c r="F884" s="174" t="n">
        <v>7.3</v>
      </c>
      <c r="G884" s="174" t="n">
        <v>-29.3</v>
      </c>
      <c r="H884" s="174" t="n">
        <v>-14.1</v>
      </c>
      <c r="I884" s="174" t="n">
        <v>7.5</v>
      </c>
      <c r="J884" s="174" t="n">
        <v>-29.2</v>
      </c>
      <c r="K884" s="175" t="inlineStr">
        <is>
          <t>3887 HASHKEY HLDGS</t>
        </is>
      </c>
    </row>
    <row r="885">
      <c r="A885" s="17" t="inlineStr">
        <is>
          <t>Epoch Vantage Limited</t>
        </is>
      </c>
      <c r="B885" s="167" t="n">
        <v>1</v>
      </c>
      <c r="C885" s="173" t="n">
        <v>0</v>
      </c>
      <c r="D885" s="174" t="n">
        <v>-0.1</v>
      </c>
      <c r="E885" s="174" t="n">
        <v>-14.2</v>
      </c>
      <c r="F885" s="174" t="n">
        <v>7.3</v>
      </c>
      <c r="G885" s="174" t="n">
        <v>-29.3</v>
      </c>
      <c r="H885" s="174" t="n">
        <v>-14.1</v>
      </c>
      <c r="I885" s="174" t="n">
        <v>7.5</v>
      </c>
      <c r="J885" s="174" t="n">
        <v>-29.2</v>
      </c>
      <c r="K885" s="175" t="inlineStr">
        <is>
          <t>3887 HASHKEY HLDGS</t>
        </is>
      </c>
    </row>
    <row r="886">
      <c r="A886" s="17" t="inlineStr">
        <is>
          <t>XChainX Limited</t>
        </is>
      </c>
      <c r="B886" s="167" t="n">
        <v>1</v>
      </c>
      <c r="C886" s="173" t="n">
        <v>0</v>
      </c>
      <c r="D886" s="174" t="n">
        <v>-0.1</v>
      </c>
      <c r="E886" s="174" t="n">
        <v>-14.2</v>
      </c>
      <c r="F886" s="174" t="n">
        <v>7.3</v>
      </c>
      <c r="G886" s="174" t="n">
        <v>-29.3</v>
      </c>
      <c r="H886" s="174" t="n">
        <v>-14.1</v>
      </c>
      <c r="I886" s="174" t="n">
        <v>7.5</v>
      </c>
      <c r="J886" s="174" t="n">
        <v>-29.2</v>
      </c>
      <c r="K886" s="175" t="inlineStr">
        <is>
          <t>3887 HASHKEY HLDGS</t>
        </is>
      </c>
    </row>
    <row r="887">
      <c r="A887" s="17" t="inlineStr">
        <is>
          <t>TDR Investment Inc</t>
        </is>
      </c>
      <c r="B887" s="167" t="n">
        <v>1</v>
      </c>
      <c r="C887" s="173" t="n">
        <v>0</v>
      </c>
      <c r="D887" s="174" t="n">
        <v>-0.1</v>
      </c>
      <c r="E887" s="174" t="n">
        <v>-14.2</v>
      </c>
      <c r="F887" s="174" t="n">
        <v>7.3</v>
      </c>
      <c r="G887" s="174" t="n">
        <v>-29.3</v>
      </c>
      <c r="H887" s="174" t="n">
        <v>-14.1</v>
      </c>
      <c r="I887" s="174" t="n">
        <v>7.5</v>
      </c>
      <c r="J887" s="174" t="n">
        <v>-29.2</v>
      </c>
      <c r="K887" s="175" t="inlineStr">
        <is>
          <t>3887 HASHKEY HLDGS</t>
        </is>
      </c>
    </row>
    <row r="888">
      <c r="A888" s="17" t="inlineStr">
        <is>
          <t>Tomars Limited</t>
        </is>
      </c>
      <c r="B888" s="167" t="n">
        <v>1</v>
      </c>
      <c r="C888" s="173" t="n">
        <v>0</v>
      </c>
      <c r="D888" s="174" t="n">
        <v>-0.1</v>
      </c>
      <c r="E888" s="174" t="n">
        <v>-14.2</v>
      </c>
      <c r="F888" s="174" t="n">
        <v>7.3</v>
      </c>
      <c r="G888" s="174" t="n">
        <v>-29.3</v>
      </c>
      <c r="H888" s="174" t="n">
        <v>-14.1</v>
      </c>
      <c r="I888" s="174" t="n">
        <v>7.5</v>
      </c>
      <c r="J888" s="174" t="n">
        <v>-29.2</v>
      </c>
      <c r="K888" s="175" t="inlineStr">
        <is>
          <t>3887 HASHKEY HLDGS</t>
        </is>
      </c>
    </row>
    <row r="889">
      <c r="A889" s="17" t="inlineStr">
        <is>
          <t>Glodon (Hongkong) Software Limited</t>
        </is>
      </c>
      <c r="B889" s="167" t="n">
        <v>1</v>
      </c>
      <c r="C889" s="173" t="n">
        <v>0</v>
      </c>
      <c r="D889" s="174" t="n">
        <v>-0.2</v>
      </c>
      <c r="E889" s="174" t="n">
        <v>-9.300000000000001</v>
      </c>
      <c r="F889" s="174" t="n">
        <v>-31.3</v>
      </c>
      <c r="G889" s="174" t="n">
        <v>-42.6</v>
      </c>
      <c r="H889" s="174" t="n">
        <v>-9.1</v>
      </c>
      <c r="I889" s="174" t="n">
        <v>-31.1</v>
      </c>
      <c r="J889" s="174" t="n">
        <v>-42.5</v>
      </c>
      <c r="K889" s="175" t="inlineStr">
        <is>
          <t>2210 BEIJING JIAYE</t>
        </is>
      </c>
    </row>
    <row r="890">
      <c r="A890" s="17" t="inlineStr">
        <is>
          <t>Xinhuanet Co., Ltd</t>
        </is>
      </c>
      <c r="B890" s="167" t="n">
        <v>1</v>
      </c>
      <c r="C890" s="173" t="n">
        <v>0</v>
      </c>
      <c r="D890" s="174" t="n">
        <v>-0.2</v>
      </c>
      <c r="E890" s="174" t="n">
        <v>-0.4</v>
      </c>
      <c r="F890" s="174" t="n">
        <v>-1</v>
      </c>
      <c r="G890" s="174" t="n">
        <v>-0.4</v>
      </c>
      <c r="H890" s="174" t="n">
        <v>-0.2</v>
      </c>
      <c r="I890" s="174" t="n">
        <v>-0.8</v>
      </c>
      <c r="J890" s="174" t="n">
        <v>-0.2</v>
      </c>
      <c r="K890" s="175" t="inlineStr">
        <is>
          <t>2172 MICROPORT NEURO</t>
        </is>
      </c>
    </row>
    <row r="891">
      <c r="A891" s="17" t="inlineStr">
        <is>
          <t>Epsomite Gem Investments Ltd</t>
        </is>
      </c>
      <c r="B891" s="167" t="n">
        <v>1</v>
      </c>
      <c r="C891" s="173" t="n">
        <v>0</v>
      </c>
      <c r="D891" s="174" t="n">
        <v>-0.5</v>
      </c>
      <c r="E891" s="174" t="n">
        <v>-6.9</v>
      </c>
      <c r="F891" s="174" t="n">
        <v>-13</v>
      </c>
      <c r="G891" s="174" t="n">
        <v>-31.9</v>
      </c>
      <c r="H891" s="174" t="n">
        <v>-6.5</v>
      </c>
      <c r="I891" s="174" t="n">
        <v>-12.6</v>
      </c>
      <c r="J891" s="174" t="n">
        <v>-31.6</v>
      </c>
      <c r="K891" s="175" t="inlineStr">
        <is>
          <t>2256 ABBISKO-B</t>
        </is>
      </c>
    </row>
    <row r="892">
      <c r="A892" s="17" t="inlineStr">
        <is>
          <t>Proterra Asia Food Fund 3 VCC</t>
        </is>
      </c>
      <c r="B892" s="167" t="n">
        <v>1</v>
      </c>
      <c r="C892" s="173" t="n">
        <v>0</v>
      </c>
      <c r="D892" s="174" t="n">
        <v>-0.5</v>
      </c>
      <c r="E892" s="174" t="n">
        <v>-5.8</v>
      </c>
      <c r="F892" s="174" t="n">
        <v>-23</v>
      </c>
      <c r="G892" s="174" t="n">
        <v>-47.8</v>
      </c>
      <c r="H892" s="174" t="n">
        <v>-5.3</v>
      </c>
      <c r="I892" s="174" t="n">
        <v>-22.6</v>
      </c>
      <c r="J892" s="174" t="n">
        <v>-47.6</v>
      </c>
      <c r="K892" s="175" t="inlineStr">
        <is>
          <t>2425 AUSTASIA GROUP</t>
        </is>
      </c>
    </row>
    <row r="893">
      <c r="A893" s="17" t="inlineStr">
        <is>
          <t>Well Alliance Investment Holdings Limited</t>
        </is>
      </c>
      <c r="B893" s="167" t="n">
        <v>1</v>
      </c>
      <c r="C893" s="173" t="n">
        <v>0</v>
      </c>
      <c r="D893" s="174" t="n">
        <v>-0.5</v>
      </c>
      <c r="E893" s="174" t="n">
        <v>-5.8</v>
      </c>
      <c r="F893" s="174" t="n">
        <v>-23</v>
      </c>
      <c r="G893" s="174" t="n">
        <v>-47.8</v>
      </c>
      <c r="H893" s="174" t="n">
        <v>-5.3</v>
      </c>
      <c r="I893" s="174" t="n">
        <v>-22.6</v>
      </c>
      <c r="J893" s="174" t="n">
        <v>-47.6</v>
      </c>
      <c r="K893" s="175" t="inlineStr">
        <is>
          <t>2425 AUSTASIA GROUP</t>
        </is>
      </c>
    </row>
    <row r="894">
      <c r="A894" s="17" t="inlineStr">
        <is>
          <t>Admiralty Harbour Growth Opportunities SPC SP1</t>
        </is>
      </c>
      <c r="B894" s="167" t="n">
        <v>1</v>
      </c>
      <c r="C894" s="173" t="n">
        <v>0</v>
      </c>
      <c r="D894" s="174" t="n">
        <v>-1</v>
      </c>
      <c r="E894" s="174" t="n"/>
      <c r="F894" s="174" t="n"/>
      <c r="G894" s="174" t="n"/>
      <c r="H894" s="174" t="n"/>
      <c r="I894" s="174" t="n"/>
      <c r="J894" s="174" t="n"/>
      <c r="K894" s="175" t="inlineStr">
        <is>
          <t>9976 LONGSYS</t>
        </is>
      </c>
    </row>
    <row r="895">
      <c r="A895" s="17" t="inlineStr">
        <is>
          <t>CQTech Limited</t>
        </is>
      </c>
      <c r="B895" s="167" t="n">
        <v>1</v>
      </c>
      <c r="C895" s="173" t="n">
        <v>0</v>
      </c>
      <c r="D895" s="174" t="n">
        <v>-1</v>
      </c>
      <c r="E895" s="174" t="n"/>
      <c r="F895" s="174" t="n"/>
      <c r="G895" s="174" t="n"/>
      <c r="H895" s="174" t="n"/>
      <c r="I895" s="174" t="n"/>
      <c r="J895" s="174" t="n"/>
      <c r="K895" s="175" t="inlineStr">
        <is>
          <t>9976 LONGSYS</t>
        </is>
      </c>
    </row>
    <row r="896">
      <c r="A896" s="17" t="inlineStr">
        <is>
          <t>HOSIN Global (HK) Electronics Co., Limited</t>
        </is>
      </c>
      <c r="B896" s="167" t="n">
        <v>1</v>
      </c>
      <c r="C896" s="173" t="n">
        <v>0</v>
      </c>
      <c r="D896" s="174" t="n">
        <v>-1</v>
      </c>
      <c r="E896" s="174" t="n"/>
      <c r="F896" s="174" t="n"/>
      <c r="G896" s="174" t="n"/>
      <c r="H896" s="174" t="n"/>
      <c r="I896" s="174" t="n"/>
      <c r="J896" s="174" t="n"/>
      <c r="K896" s="175" t="inlineStr">
        <is>
          <t>9976 LONGSYS</t>
        </is>
      </c>
    </row>
    <row r="897">
      <c r="A897" s="17" t="inlineStr">
        <is>
          <t>Ju Yuen (Hong Kong) International Limited</t>
        </is>
      </c>
      <c r="B897" s="167" t="n">
        <v>1</v>
      </c>
      <c r="C897" s="173" t="n">
        <v>0</v>
      </c>
      <c r="D897" s="174" t="n">
        <v>-1</v>
      </c>
      <c r="E897" s="174" t="n"/>
      <c r="F897" s="174" t="n"/>
      <c r="G897" s="174" t="n"/>
      <c r="H897" s="174" t="n"/>
      <c r="I897" s="174" t="n"/>
      <c r="J897" s="174" t="n"/>
      <c r="K897" s="175" t="inlineStr">
        <is>
          <t>9976 LONGSYS</t>
        </is>
      </c>
    </row>
    <row r="898">
      <c r="A898" s="17" t="inlineStr">
        <is>
          <t>SDMC Technology (Hong Kong) Limited</t>
        </is>
      </c>
      <c r="B898" s="167" t="n">
        <v>1</v>
      </c>
      <c r="C898" s="173" t="n">
        <v>0</v>
      </c>
      <c r="D898" s="174" t="n">
        <v>-1</v>
      </c>
      <c r="E898" s="174" t="n"/>
      <c r="F898" s="174" t="n"/>
      <c r="G898" s="174" t="n"/>
      <c r="H898" s="174" t="n"/>
      <c r="I898" s="174" t="n"/>
      <c r="J898" s="174" t="n"/>
      <c r="K898" s="175" t="inlineStr">
        <is>
          <t>9976 LONGSYS</t>
        </is>
      </c>
    </row>
    <row r="899">
      <c r="A899" s="17" t="inlineStr">
        <is>
          <t>Transsion International Limited</t>
        </is>
      </c>
      <c r="B899" s="167" t="n">
        <v>1</v>
      </c>
      <c r="C899" s="173" t="n">
        <v>0</v>
      </c>
      <c r="D899" s="174" t="n">
        <v>-1</v>
      </c>
      <c r="E899" s="174" t="n"/>
      <c r="F899" s="174" t="n"/>
      <c r="G899" s="174" t="n"/>
      <c r="H899" s="174" t="n"/>
      <c r="I899" s="174" t="n"/>
      <c r="J899" s="174" t="n"/>
      <c r="K899" s="175" t="inlineStr">
        <is>
          <t>9976 LONGSYS</t>
        </is>
      </c>
    </row>
    <row r="900">
      <c r="A900" s="17" t="inlineStr">
        <is>
          <t>YuFeng Financial Group Limited</t>
        </is>
      </c>
      <c r="B900" s="167" t="n">
        <v>1</v>
      </c>
      <c r="C900" s="173" t="n">
        <v>0</v>
      </c>
      <c r="D900" s="174" t="n">
        <v>-1</v>
      </c>
      <c r="E900" s="174" t="n"/>
      <c r="F900" s="174" t="n"/>
      <c r="G900" s="174" t="n"/>
      <c r="H900" s="174" t="n"/>
      <c r="I900" s="174" t="n"/>
      <c r="J900" s="174" t="n"/>
      <c r="K900" s="175" t="inlineStr">
        <is>
          <t>9976 LONGSYS</t>
        </is>
      </c>
    </row>
    <row r="901">
      <c r="A901" s="17" t="inlineStr">
        <is>
          <t>58.com Holdings Inc</t>
        </is>
      </c>
      <c r="B901" s="167" t="n">
        <v>1</v>
      </c>
      <c r="C901" s="173" t="n">
        <v>0</v>
      </c>
      <c r="D901" s="174" t="n">
        <v>-1.1</v>
      </c>
      <c r="E901" s="174" t="n">
        <v>-1.1</v>
      </c>
      <c r="F901" s="174" t="n">
        <v>-3</v>
      </c>
      <c r="G901" s="174" t="n">
        <v>-0.8</v>
      </c>
      <c r="H901" s="174" t="n">
        <v>0</v>
      </c>
      <c r="I901" s="174" t="n">
        <v>-1.9</v>
      </c>
      <c r="J901" s="174" t="n">
        <v>0.3</v>
      </c>
      <c r="K901" s="175" t="inlineStr">
        <is>
          <t>2205 KANGQIAO SER</t>
        </is>
      </c>
    </row>
    <row r="902">
      <c r="A902" s="17" t="inlineStr">
        <is>
          <t>Autobio Group Co., Ltd</t>
        </is>
      </c>
      <c r="B902" s="167" t="n">
        <v>1</v>
      </c>
      <c r="C902" s="173" t="n">
        <v>0</v>
      </c>
      <c r="D902" s="174" t="n">
        <v>-1.1</v>
      </c>
      <c r="E902" s="174" t="n">
        <v>-1.1</v>
      </c>
      <c r="F902" s="174" t="n">
        <v>-3</v>
      </c>
      <c r="G902" s="174" t="n">
        <v>-0.8</v>
      </c>
      <c r="H902" s="174" t="n">
        <v>0</v>
      </c>
      <c r="I902" s="174" t="n">
        <v>-1.9</v>
      </c>
      <c r="J902" s="174" t="n">
        <v>0.3</v>
      </c>
      <c r="K902" s="175" t="inlineStr">
        <is>
          <t>2205 KANGQIAO SER</t>
        </is>
      </c>
    </row>
    <row r="903">
      <c r="A903" s="17" t="inlineStr">
        <is>
          <t>Mr. Dai Junan</t>
        </is>
      </c>
      <c r="B903" s="167" t="n">
        <v>1</v>
      </c>
      <c r="C903" s="173" t="n">
        <v>0</v>
      </c>
      <c r="D903" s="174" t="n">
        <v>-1.1</v>
      </c>
      <c r="E903" s="174" t="n">
        <v>-6.7</v>
      </c>
      <c r="F903" s="174" t="n">
        <v>-16.1</v>
      </c>
      <c r="G903" s="174" t="n">
        <v>-17.7</v>
      </c>
      <c r="H903" s="174" t="n">
        <v>-5.7</v>
      </c>
      <c r="I903" s="174" t="n">
        <v>-15.2</v>
      </c>
      <c r="J903" s="174" t="n">
        <v>-16.8</v>
      </c>
      <c r="K903" s="175" t="inlineStr">
        <is>
          <t>1187 COFOE MEDICAL</t>
        </is>
      </c>
    </row>
    <row r="904">
      <c r="A904" s="17" t="inlineStr">
        <is>
          <t>Mr. Huang Xuelin</t>
        </is>
      </c>
      <c r="B904" s="167" t="n">
        <v>1</v>
      </c>
      <c r="C904" s="173" t="n">
        <v>0</v>
      </c>
      <c r="D904" s="174" t="n">
        <v>-1.1</v>
      </c>
      <c r="E904" s="174" t="n">
        <v>-6.7</v>
      </c>
      <c r="F904" s="174" t="n">
        <v>-16.1</v>
      </c>
      <c r="G904" s="174" t="n">
        <v>-17.7</v>
      </c>
      <c r="H904" s="174" t="n">
        <v>-5.7</v>
      </c>
      <c r="I904" s="174" t="n">
        <v>-15.2</v>
      </c>
      <c r="J904" s="174" t="n">
        <v>-16.8</v>
      </c>
      <c r="K904" s="175" t="inlineStr">
        <is>
          <t>1187 COFOE MEDICAL</t>
        </is>
      </c>
    </row>
    <row r="905">
      <c r="A905" s="17" t="inlineStr">
        <is>
          <t>Ms. Lu Qinchao</t>
        </is>
      </c>
      <c r="B905" s="167" t="n">
        <v>1</v>
      </c>
      <c r="C905" s="173" t="n">
        <v>0</v>
      </c>
      <c r="D905" s="174" t="n">
        <v>-1.1</v>
      </c>
      <c r="E905" s="174" t="n">
        <v>-6.7</v>
      </c>
      <c r="F905" s="174" t="n">
        <v>-16.1</v>
      </c>
      <c r="G905" s="174" t="n">
        <v>-17.7</v>
      </c>
      <c r="H905" s="174" t="n">
        <v>-5.7</v>
      </c>
      <c r="I905" s="174" t="n">
        <v>-15.2</v>
      </c>
      <c r="J905" s="174" t="n">
        <v>-16.8</v>
      </c>
      <c r="K905" s="175" t="inlineStr">
        <is>
          <t>1187 COFOE MEDICAL</t>
        </is>
      </c>
    </row>
    <row r="906">
      <c r="A906" s="17" t="inlineStr">
        <is>
          <t>ODI TRUST LIMITED</t>
        </is>
      </c>
      <c r="B906" s="167" t="n">
        <v>1</v>
      </c>
      <c r="C906" s="173" t="n">
        <v>0</v>
      </c>
      <c r="D906" s="174" t="n">
        <v>-1.1</v>
      </c>
      <c r="E906" s="174" t="n">
        <v>-6.7</v>
      </c>
      <c r="F906" s="174" t="n">
        <v>-16.1</v>
      </c>
      <c r="G906" s="174" t="n">
        <v>-17.7</v>
      </c>
      <c r="H906" s="174" t="n">
        <v>-5.7</v>
      </c>
      <c r="I906" s="174" t="n">
        <v>-15.2</v>
      </c>
      <c r="J906" s="174" t="n">
        <v>-16.8</v>
      </c>
      <c r="K906" s="175" t="inlineStr">
        <is>
          <t>1187 COFOE MEDICAL</t>
        </is>
      </c>
    </row>
    <row r="907">
      <c r="A907" s="17" t="inlineStr">
        <is>
          <t>Sinohealth Technology Holdings Limited</t>
        </is>
      </c>
      <c r="B907" s="167" t="n">
        <v>1</v>
      </c>
      <c r="C907" s="173" t="n">
        <v>0</v>
      </c>
      <c r="D907" s="174" t="n">
        <v>-1.1</v>
      </c>
      <c r="E907" s="174" t="n">
        <v>-6.7</v>
      </c>
      <c r="F907" s="174" t="n">
        <v>-16.1</v>
      </c>
      <c r="G907" s="174" t="n">
        <v>-17.7</v>
      </c>
      <c r="H907" s="174" t="n">
        <v>-5.7</v>
      </c>
      <c r="I907" s="174" t="n">
        <v>-15.2</v>
      </c>
      <c r="J907" s="174" t="n">
        <v>-16.8</v>
      </c>
      <c r="K907" s="175" t="inlineStr">
        <is>
          <t>1187 COFOE MEDICAL</t>
        </is>
      </c>
    </row>
    <row r="908">
      <c r="A908" s="17" t="inlineStr">
        <is>
          <t>Dynamic Holding Co., Ltd</t>
        </is>
      </c>
      <c r="B908" s="167" t="n">
        <v>1</v>
      </c>
      <c r="C908" s="173" t="n">
        <v>0</v>
      </c>
      <c r="D908" s="174" t="n">
        <v>-1.8</v>
      </c>
      <c r="E908" s="174" t="n">
        <v>9.9</v>
      </c>
      <c r="F908" s="174" t="n">
        <v>2.6</v>
      </c>
      <c r="G908" s="174" t="n"/>
      <c r="H908" s="174" t="n">
        <v>11.9</v>
      </c>
      <c r="I908" s="174" t="n">
        <v>4.5</v>
      </c>
      <c r="J908" s="174" t="n"/>
      <c r="K908" s="175" t="inlineStr">
        <is>
          <t>1377 DTECH</t>
        </is>
      </c>
    </row>
    <row r="909">
      <c r="A909" s="17" t="inlineStr">
        <is>
          <t>IFUND SPC– Vision IX SP</t>
        </is>
      </c>
      <c r="B909" s="167" t="n">
        <v>1</v>
      </c>
      <c r="C909" s="173" t="n">
        <v>0</v>
      </c>
      <c r="D909" s="174" t="n">
        <v>-1.8</v>
      </c>
      <c r="E909" s="174" t="n">
        <v>9.9</v>
      </c>
      <c r="F909" s="174" t="n">
        <v>2.6</v>
      </c>
      <c r="G909" s="174" t="n"/>
      <c r="H909" s="174" t="n">
        <v>11.9</v>
      </c>
      <c r="I909" s="174" t="n">
        <v>4.5</v>
      </c>
      <c r="J909" s="174" t="n"/>
      <c r="K909" s="175" t="inlineStr">
        <is>
          <t>1377 DTECH</t>
        </is>
      </c>
    </row>
    <row r="910">
      <c r="A910" s="17" t="inlineStr">
        <is>
          <t>Crane Movement</t>
        </is>
      </c>
      <c r="B910" s="167" t="n">
        <v>1</v>
      </c>
      <c r="C910" s="173" t="n">
        <v>0</v>
      </c>
      <c r="D910" s="174" t="n">
        <v>-1.9</v>
      </c>
      <c r="E910" s="174" t="n">
        <v>0</v>
      </c>
      <c r="F910" s="174" t="n">
        <v>7.7</v>
      </c>
      <c r="G910" s="174" t="n">
        <v>3.4</v>
      </c>
      <c r="H910" s="174" t="n">
        <v>1.9</v>
      </c>
      <c r="I910" s="174" t="n">
        <v>9.800000000000001</v>
      </c>
      <c r="J910" s="174" t="n">
        <v>5.4</v>
      </c>
      <c r="K910" s="175" t="inlineStr">
        <is>
          <t>2510 TS LINES</t>
        </is>
      </c>
    </row>
    <row r="911">
      <c r="A911" s="17" t="inlineStr">
        <is>
          <t>HUNG Chi-Li</t>
        </is>
      </c>
      <c r="B911" s="167" t="n">
        <v>1</v>
      </c>
      <c r="C911" s="173" t="n">
        <v>0</v>
      </c>
      <c r="D911" s="174" t="n">
        <v>-1.9</v>
      </c>
      <c r="E911" s="174" t="n">
        <v>0</v>
      </c>
      <c r="F911" s="174" t="n">
        <v>7.7</v>
      </c>
      <c r="G911" s="174" t="n">
        <v>3.4</v>
      </c>
      <c r="H911" s="174" t="n">
        <v>1.9</v>
      </c>
      <c r="I911" s="174" t="n">
        <v>9.800000000000001</v>
      </c>
      <c r="J911" s="174" t="n">
        <v>5.4</v>
      </c>
      <c r="K911" s="175" t="inlineStr">
        <is>
          <t>2510 TS LINES</t>
        </is>
      </c>
    </row>
    <row r="912">
      <c r="A912" s="17" t="inlineStr">
        <is>
          <t>Indigo Rainbow Limited</t>
        </is>
      </c>
      <c r="B912" s="167" t="n">
        <v>1</v>
      </c>
      <c r="C912" s="173" t="n">
        <v>0</v>
      </c>
      <c r="D912" s="174" t="n">
        <v>-1.9</v>
      </c>
      <c r="E912" s="174" t="n">
        <v>0</v>
      </c>
      <c r="F912" s="174" t="n">
        <v>7.7</v>
      </c>
      <c r="G912" s="174" t="n">
        <v>3.4</v>
      </c>
      <c r="H912" s="174" t="n">
        <v>1.9</v>
      </c>
      <c r="I912" s="174" t="n">
        <v>9.800000000000001</v>
      </c>
      <c r="J912" s="174" t="n">
        <v>5.4</v>
      </c>
      <c r="K912" s="175" t="inlineStr">
        <is>
          <t>2510 TS LINES</t>
        </is>
      </c>
    </row>
    <row r="913">
      <c r="A913" s="17" t="inlineStr">
        <is>
          <t>Metro Shine Group Limited</t>
        </is>
      </c>
      <c r="B913" s="167" t="n">
        <v>1</v>
      </c>
      <c r="C913" s="173" t="n">
        <v>0</v>
      </c>
      <c r="D913" s="174" t="n">
        <v>-1.9</v>
      </c>
      <c r="E913" s="174" t="n">
        <v>0</v>
      </c>
      <c r="F913" s="174" t="n">
        <v>7.7</v>
      </c>
      <c r="G913" s="174" t="n">
        <v>3.4</v>
      </c>
      <c r="H913" s="174" t="n">
        <v>1.9</v>
      </c>
      <c r="I913" s="174" t="n">
        <v>9.800000000000001</v>
      </c>
      <c r="J913" s="174" t="n">
        <v>5.4</v>
      </c>
      <c r="K913" s="175" t="inlineStr">
        <is>
          <t>2510 TS LINES</t>
        </is>
      </c>
    </row>
    <row r="914">
      <c r="A914" s="17" t="inlineStr">
        <is>
          <t>WANG Yi-Fen</t>
        </is>
      </c>
      <c r="B914" s="167" t="n">
        <v>1</v>
      </c>
      <c r="C914" s="173" t="n">
        <v>0</v>
      </c>
      <c r="D914" s="174" t="n">
        <v>-1.9</v>
      </c>
      <c r="E914" s="174" t="n">
        <v>0</v>
      </c>
      <c r="F914" s="174" t="n">
        <v>7.7</v>
      </c>
      <c r="G914" s="174" t="n">
        <v>3.4</v>
      </c>
      <c r="H914" s="174" t="n">
        <v>1.9</v>
      </c>
      <c r="I914" s="174" t="n">
        <v>9.800000000000001</v>
      </c>
      <c r="J914" s="174" t="n">
        <v>5.4</v>
      </c>
      <c r="K914" s="175" t="inlineStr">
        <is>
          <t>2510 TS LINES</t>
        </is>
      </c>
    </row>
    <row r="915">
      <c r="A915" s="17" t="inlineStr">
        <is>
          <t>Worldwide Logistics Holding HK Limited</t>
        </is>
      </c>
      <c r="B915" s="167" t="n">
        <v>1</v>
      </c>
      <c r="C915" s="173" t="n">
        <v>0</v>
      </c>
      <c r="D915" s="174" t="n">
        <v>-1.9</v>
      </c>
      <c r="E915" s="174" t="n">
        <v>0</v>
      </c>
      <c r="F915" s="174" t="n">
        <v>7.7</v>
      </c>
      <c r="G915" s="174" t="n">
        <v>3.4</v>
      </c>
      <c r="H915" s="174" t="n">
        <v>1.9</v>
      </c>
      <c r="I915" s="174" t="n">
        <v>9.800000000000001</v>
      </c>
      <c r="J915" s="174" t="n">
        <v>5.4</v>
      </c>
      <c r="K915" s="175" t="inlineStr">
        <is>
          <t>2510 TS LINES</t>
        </is>
      </c>
    </row>
    <row r="916">
      <c r="A916" s="17" t="inlineStr">
        <is>
          <t>BCC Asia Aggregator, L.P</t>
        </is>
      </c>
      <c r="B916" s="167" t="n">
        <v>1</v>
      </c>
      <c r="C916" s="173" t="n">
        <v>0</v>
      </c>
      <c r="D916" s="174" t="n">
        <v>-2</v>
      </c>
      <c r="E916" s="174" t="n">
        <v>17.4</v>
      </c>
      <c r="F916" s="174" t="n">
        <v>6.1</v>
      </c>
      <c r="G916" s="174" t="n"/>
      <c r="H916" s="174" t="n">
        <v>19.9</v>
      </c>
      <c r="I916" s="174" t="n">
        <v>8.300000000000001</v>
      </c>
      <c r="J916" s="174" t="n"/>
      <c r="K916" s="175" t="inlineStr">
        <is>
          <t>3308 ZJ INNOLIGHT</t>
        </is>
      </c>
    </row>
    <row r="917">
      <c r="A917" s="17" t="inlineStr">
        <is>
          <t>Chow Tai Fook Enterprises Limited</t>
        </is>
      </c>
      <c r="B917" s="167" t="n">
        <v>1</v>
      </c>
      <c r="C917" s="173" t="n">
        <v>0</v>
      </c>
      <c r="D917" s="174" t="n">
        <v>-2</v>
      </c>
      <c r="E917" s="174" t="n">
        <v>17.4</v>
      </c>
      <c r="F917" s="174" t="n">
        <v>6.1</v>
      </c>
      <c r="G917" s="174" t="n"/>
      <c r="H917" s="174" t="n">
        <v>19.9</v>
      </c>
      <c r="I917" s="174" t="n">
        <v>8.300000000000001</v>
      </c>
      <c r="J917" s="174" t="n"/>
      <c r="K917" s="175" t="inlineStr">
        <is>
          <t>3308 ZJ INNOLIGHT</t>
        </is>
      </c>
    </row>
    <row r="918">
      <c r="A918" s="17" t="inlineStr">
        <is>
          <t>IDG Capital Project Fund Rhododendron L.P</t>
        </is>
      </c>
      <c r="B918" s="167" t="n">
        <v>1</v>
      </c>
      <c r="C918" s="173" t="n">
        <v>0</v>
      </c>
      <c r="D918" s="174" t="n">
        <v>-2</v>
      </c>
      <c r="E918" s="174" t="n">
        <v>17.4</v>
      </c>
      <c r="F918" s="174" t="n">
        <v>6.1</v>
      </c>
      <c r="G918" s="174" t="n"/>
      <c r="H918" s="174" t="n">
        <v>19.9</v>
      </c>
      <c r="I918" s="174" t="n">
        <v>8.300000000000001</v>
      </c>
      <c r="J918" s="174" t="n"/>
      <c r="K918" s="175" t="inlineStr">
        <is>
          <t>3308 ZJ INNOLIGHT</t>
        </is>
      </c>
    </row>
    <row r="919">
      <c r="A919" s="17" t="inlineStr">
        <is>
          <t>XINGTAI HOLDING COMPANY (HONG KONG) LIMITED</t>
        </is>
      </c>
      <c r="B919" s="167" t="n">
        <v>1</v>
      </c>
      <c r="C919" s="173" t="n">
        <v>0</v>
      </c>
      <c r="D919" s="174" t="n">
        <v>-2.1</v>
      </c>
      <c r="E919" s="174" t="n">
        <v>-1.4</v>
      </c>
      <c r="F919" s="174" t="n">
        <v>-4.5</v>
      </c>
      <c r="G919" s="174" t="n">
        <v>-6.9</v>
      </c>
      <c r="H919" s="174" t="n">
        <v>0.7</v>
      </c>
      <c r="I919" s="174" t="n">
        <v>-2.5</v>
      </c>
      <c r="J919" s="174" t="n">
        <v>-4.9</v>
      </c>
      <c r="K919" s="175" t="inlineStr">
        <is>
          <t>2482 LOGORY</t>
        </is>
      </c>
    </row>
    <row r="920">
      <c r="A920" s="17" t="inlineStr">
        <is>
          <t>NetEase, Inc</t>
        </is>
      </c>
      <c r="B920" s="167" t="n">
        <v>1</v>
      </c>
      <c r="C920" s="173" t="n">
        <v>0</v>
      </c>
      <c r="D920" s="174" t="n">
        <v>-2.5</v>
      </c>
      <c r="E920" s="174" t="n">
        <v>-2.7</v>
      </c>
      <c r="F920" s="174" t="n">
        <v>-27</v>
      </c>
      <c r="G920" s="174" t="n">
        <v>-55.1</v>
      </c>
      <c r="H920" s="174" t="n">
        <v>-0.2</v>
      </c>
      <c r="I920" s="174" t="n">
        <v>-25.2</v>
      </c>
      <c r="J920" s="174" t="n">
        <v>-54</v>
      </c>
      <c r="K920" s="175" t="inlineStr">
        <is>
          <t>9899 CLOUD VILLAGE</t>
        </is>
      </c>
    </row>
    <row r="921">
      <c r="A921" s="17" t="inlineStr">
        <is>
          <t>Orbis Investment Management Limited</t>
        </is>
      </c>
      <c r="B921" s="167" t="n">
        <v>1</v>
      </c>
      <c r="C921" s="173" t="n">
        <v>0</v>
      </c>
      <c r="D921" s="174" t="n">
        <v>-2.5</v>
      </c>
      <c r="E921" s="174" t="n">
        <v>-2.7</v>
      </c>
      <c r="F921" s="174" t="n">
        <v>-27</v>
      </c>
      <c r="G921" s="174" t="n">
        <v>-55.1</v>
      </c>
      <c r="H921" s="174" t="n">
        <v>-0.2</v>
      </c>
      <c r="I921" s="174" t="n">
        <v>-25.2</v>
      </c>
      <c r="J921" s="174" t="n">
        <v>-54</v>
      </c>
      <c r="K921" s="175" t="inlineStr">
        <is>
          <t>9899 CLOUD VILLAGE</t>
        </is>
      </c>
    </row>
    <row r="922">
      <c r="A922" s="17" t="inlineStr">
        <is>
          <t>Sony Music Entertainment</t>
        </is>
      </c>
      <c r="B922" s="167" t="n">
        <v>1</v>
      </c>
      <c r="C922" s="173" t="n">
        <v>0</v>
      </c>
      <c r="D922" s="174" t="n">
        <v>-2.5</v>
      </c>
      <c r="E922" s="174" t="n">
        <v>-2.7</v>
      </c>
      <c r="F922" s="174" t="n">
        <v>-27</v>
      </c>
      <c r="G922" s="174" t="n">
        <v>-55.1</v>
      </c>
      <c r="H922" s="174" t="n">
        <v>-0.2</v>
      </c>
      <c r="I922" s="174" t="n">
        <v>-25.2</v>
      </c>
      <c r="J922" s="174" t="n">
        <v>-54</v>
      </c>
      <c r="K922" s="175" t="inlineStr">
        <is>
          <t>9899 CLOUD VILLAGE</t>
        </is>
      </c>
    </row>
    <row r="923">
      <c r="A923" s="17" t="inlineStr">
        <is>
          <t>Oceanpine Capital Management Limited</t>
        </is>
      </c>
      <c r="B923" s="167" t="n">
        <v>1</v>
      </c>
      <c r="C923" s="173" t="n">
        <v>0</v>
      </c>
      <c r="D923" s="174" t="n">
        <v>-3</v>
      </c>
      <c r="E923" s="174" t="n">
        <v>-22.6</v>
      </c>
      <c r="F923" s="174" t="n">
        <v>-16.9</v>
      </c>
      <c r="G923" s="174" t="n">
        <v>-17.8</v>
      </c>
      <c r="H923" s="174" t="n">
        <v>-20.2</v>
      </c>
      <c r="I923" s="174" t="n">
        <v>-14.3</v>
      </c>
      <c r="J923" s="174" t="n">
        <v>-15.3</v>
      </c>
      <c r="K923" s="175" t="inlineStr">
        <is>
          <t>2197 CLOVER BIO-B</t>
        </is>
      </c>
    </row>
    <row r="924">
      <c r="A924" s="17" t="inlineStr">
        <is>
          <t>Rock Springs Capital Master Fund LP</t>
        </is>
      </c>
      <c r="B924" s="167" t="n">
        <v>1</v>
      </c>
      <c r="C924" s="173" t="n">
        <v>0</v>
      </c>
      <c r="D924" s="174" t="n">
        <v>-3</v>
      </c>
      <c r="E924" s="174" t="n">
        <v>-22.6</v>
      </c>
      <c r="F924" s="174" t="n">
        <v>-16.9</v>
      </c>
      <c r="G924" s="174" t="n">
        <v>-17.8</v>
      </c>
      <c r="H924" s="174" t="n">
        <v>-20.2</v>
      </c>
      <c r="I924" s="174" t="n">
        <v>-14.3</v>
      </c>
      <c r="J924" s="174" t="n">
        <v>-15.3</v>
      </c>
      <c r="K924" s="175" t="inlineStr">
        <is>
          <t>2197 CLOVER BIO-B</t>
        </is>
      </c>
    </row>
    <row r="925">
      <c r="A925" s="17" t="inlineStr">
        <is>
          <t>Toroa Master Fund</t>
        </is>
      </c>
      <c r="B925" s="167" t="n">
        <v>1</v>
      </c>
      <c r="C925" s="173" t="n">
        <v>0</v>
      </c>
      <c r="D925" s="174" t="n">
        <v>-3</v>
      </c>
      <c r="E925" s="174" t="n">
        <v>-22.6</v>
      </c>
      <c r="F925" s="174" t="n">
        <v>-16.9</v>
      </c>
      <c r="G925" s="174" t="n">
        <v>-17.8</v>
      </c>
      <c r="H925" s="174" t="n">
        <v>-20.2</v>
      </c>
      <c r="I925" s="174" t="n">
        <v>-14.3</v>
      </c>
      <c r="J925" s="174" t="n">
        <v>-15.3</v>
      </c>
      <c r="K925" s="175" t="inlineStr">
        <is>
          <t>2197 CLOVER BIO-B</t>
        </is>
      </c>
    </row>
    <row r="926">
      <c r="A926" s="17" t="inlineStr">
        <is>
          <t>Orinno Investment</t>
        </is>
      </c>
      <c r="B926" s="167" t="n">
        <v>1</v>
      </c>
      <c r="C926" s="173" t="n">
        <v>0</v>
      </c>
      <c r="D926" s="174" t="n">
        <v>-3</v>
      </c>
      <c r="E926" s="174" t="n">
        <v>8</v>
      </c>
      <c r="F926" s="174" t="n">
        <v>2.6</v>
      </c>
      <c r="G926" s="174" t="n">
        <v>-36.1</v>
      </c>
      <c r="H926" s="174" t="n">
        <v>11.3</v>
      </c>
      <c r="I926" s="174" t="n">
        <v>5.9</v>
      </c>
      <c r="J926" s="174" t="n">
        <v>-34.1</v>
      </c>
      <c r="K926" s="175" t="inlineStr">
        <is>
          <t>2416 EDIANYUN</t>
        </is>
      </c>
    </row>
    <row r="927">
      <c r="A927" s="17" t="inlineStr">
        <is>
          <t>Guangzhou Automobile Industry Group Co., Ltd</t>
        </is>
      </c>
      <c r="B927" s="167" t="n">
        <v>1</v>
      </c>
      <c r="C927" s="173" t="n">
        <v>0</v>
      </c>
      <c r="D927" s="174" t="n">
        <v>-3.1</v>
      </c>
      <c r="E927" s="174" t="n">
        <v>-20.6</v>
      </c>
      <c r="F927" s="174" t="n">
        <v>-16.6</v>
      </c>
      <c r="G927" s="174" t="n">
        <v>-34.6</v>
      </c>
      <c r="H927" s="174" t="n">
        <v>-18</v>
      </c>
      <c r="I927" s="174" t="n">
        <v>-13.9</v>
      </c>
      <c r="J927" s="174" t="n">
        <v>-32.5</v>
      </c>
      <c r="K927" s="175" t="inlineStr">
        <is>
          <t>9680 CHENQI TECH</t>
        </is>
      </c>
    </row>
    <row r="928">
      <c r="A928" s="17" t="inlineStr">
        <is>
          <t>Voyager Group Inc</t>
        </is>
      </c>
      <c r="B928" s="167" t="n">
        <v>1</v>
      </c>
      <c r="C928" s="173" t="n">
        <v>0</v>
      </c>
      <c r="D928" s="174" t="n">
        <v>-3.1</v>
      </c>
      <c r="E928" s="174" t="n">
        <v>-20.6</v>
      </c>
      <c r="F928" s="174" t="n">
        <v>-16.6</v>
      </c>
      <c r="G928" s="174" t="n">
        <v>-34.6</v>
      </c>
      <c r="H928" s="174" t="n">
        <v>-18</v>
      </c>
      <c r="I928" s="174" t="n">
        <v>-13.9</v>
      </c>
      <c r="J928" s="174" t="n">
        <v>-32.5</v>
      </c>
      <c r="K928" s="175" t="inlineStr">
        <is>
          <t>9680 CHENQI TECH</t>
        </is>
      </c>
    </row>
    <row r="929">
      <c r="A929" s="17" t="inlineStr">
        <is>
          <t>WeRide Inc</t>
        </is>
      </c>
      <c r="B929" s="167" t="n">
        <v>1</v>
      </c>
      <c r="C929" s="173" t="n">
        <v>0</v>
      </c>
      <c r="D929" s="174" t="n">
        <v>-3.1</v>
      </c>
      <c r="E929" s="174" t="n">
        <v>-20.6</v>
      </c>
      <c r="F929" s="174" t="n">
        <v>-16.6</v>
      </c>
      <c r="G929" s="174" t="n">
        <v>-34.6</v>
      </c>
      <c r="H929" s="174" t="n">
        <v>-18</v>
      </c>
      <c r="I929" s="174" t="n">
        <v>-13.9</v>
      </c>
      <c r="J929" s="174" t="n">
        <v>-32.5</v>
      </c>
      <c r="K929" s="175" t="inlineStr">
        <is>
          <t>9680 CHENQI TECH</t>
        </is>
      </c>
    </row>
    <row r="930">
      <c r="A930" s="17" t="inlineStr">
        <is>
          <t>Nanjing Jingkai Juzhi Investment L.P</t>
        </is>
      </c>
      <c r="B930" s="167" t="n">
        <v>1</v>
      </c>
      <c r="C930" s="173" t="n">
        <v>0</v>
      </c>
      <c r="D930" s="174" t="n">
        <v>-3.2</v>
      </c>
      <c r="E930" s="174" t="n">
        <v>1.3</v>
      </c>
      <c r="F930" s="174" t="n">
        <v>-5.3</v>
      </c>
      <c r="G930" s="174" t="n">
        <v>-69.7</v>
      </c>
      <c r="H930" s="174" t="n">
        <v>4.6</v>
      </c>
      <c r="I930" s="174" t="n">
        <v>-2.2</v>
      </c>
      <c r="J930" s="174" t="n">
        <v>-68.8</v>
      </c>
      <c r="K930" s="175" t="inlineStr">
        <is>
          <t>2438 MOBVOI</t>
        </is>
      </c>
    </row>
    <row r="931">
      <c r="A931" s="17" t="inlineStr">
        <is>
          <t>TradeGo FinTech Limited</t>
        </is>
      </c>
      <c r="B931" s="167" t="n">
        <v>1</v>
      </c>
      <c r="C931" s="173" t="n">
        <v>0</v>
      </c>
      <c r="D931" s="174" t="n">
        <v>-4.1</v>
      </c>
      <c r="E931" s="174" t="n">
        <v>3.6</v>
      </c>
      <c r="F931" s="174" t="n">
        <v>48</v>
      </c>
      <c r="G931" s="174" t="n">
        <v>89.59999999999999</v>
      </c>
      <c r="H931" s="174" t="n">
        <v>8</v>
      </c>
      <c r="I931" s="174" t="n">
        <v>54.2</v>
      </c>
      <c r="J931" s="174" t="n">
        <v>97.59999999999999</v>
      </c>
      <c r="K931" s="175" t="inlineStr">
        <is>
          <t>6610 FLOWING CLOUD</t>
        </is>
      </c>
    </row>
    <row r="932">
      <c r="A932" s="17" t="inlineStr">
        <is>
          <t>Hield International</t>
        </is>
      </c>
      <c r="B932" s="167" t="n">
        <v>1</v>
      </c>
      <c r="C932" s="173" t="n">
        <v>0</v>
      </c>
      <c r="D932" s="174" t="n">
        <v>-4.3</v>
      </c>
      <c r="E932" s="174" t="n">
        <v>-2.5</v>
      </c>
      <c r="F932" s="174" t="n">
        <v>20.8</v>
      </c>
      <c r="G932" s="174" t="n">
        <v>8.6</v>
      </c>
      <c r="H932" s="174" t="n">
        <v>1.9</v>
      </c>
      <c r="I932" s="174" t="n">
        <v>26.2</v>
      </c>
      <c r="J932" s="174" t="n">
        <v>13.5</v>
      </c>
      <c r="K932" s="175" t="inlineStr">
        <is>
          <t>2676 NOVOSENSE</t>
        </is>
      </c>
    </row>
    <row r="933">
      <c r="A933" s="17" t="inlineStr">
        <is>
          <t>Oriza Naxin</t>
        </is>
      </c>
      <c r="B933" s="167" t="n">
        <v>1</v>
      </c>
      <c r="C933" s="173" t="n">
        <v>0</v>
      </c>
      <c r="D933" s="174" t="n">
        <v>-4.3</v>
      </c>
      <c r="E933" s="174" t="n">
        <v>-2.5</v>
      </c>
      <c r="F933" s="174" t="n">
        <v>20.8</v>
      </c>
      <c r="G933" s="174" t="n">
        <v>8.6</v>
      </c>
      <c r="H933" s="174" t="n">
        <v>1.9</v>
      </c>
      <c r="I933" s="174" t="n">
        <v>26.2</v>
      </c>
      <c r="J933" s="174" t="n">
        <v>13.5</v>
      </c>
      <c r="K933" s="175" t="inlineStr">
        <is>
          <t>2676 NOVOSENSE</t>
        </is>
      </c>
    </row>
    <row r="934">
      <c r="A934" s="17" t="inlineStr">
        <is>
          <t>BYTEDANCE (HK) LIMITED</t>
        </is>
      </c>
      <c r="B934" s="167" t="n">
        <v>1</v>
      </c>
      <c r="C934" s="173" t="n">
        <v>0</v>
      </c>
      <c r="D934" s="174" t="n">
        <v>-4.5</v>
      </c>
      <c r="E934" s="174" t="n">
        <v>-1.9</v>
      </c>
      <c r="F934" s="174" t="n">
        <v>-19.4</v>
      </c>
      <c r="G934" s="174" t="n">
        <v>-13.6</v>
      </c>
      <c r="H934" s="174" t="n">
        <v>2.7</v>
      </c>
      <c r="I934" s="174" t="n">
        <v>-15.6</v>
      </c>
      <c r="J934" s="174" t="n">
        <v>-9.5</v>
      </c>
      <c r="K934" s="175" t="inlineStr">
        <is>
          <t>1948 UJU HOLDING</t>
        </is>
      </c>
    </row>
    <row r="935">
      <c r="A935" s="17" t="inlineStr">
        <is>
          <t>I-China Holdings Limited</t>
        </is>
      </c>
      <c r="B935" s="167" t="n">
        <v>1</v>
      </c>
      <c r="C935" s="173" t="n">
        <v>0</v>
      </c>
      <c r="D935" s="174" t="n">
        <v>-4.6</v>
      </c>
      <c r="E935" s="174" t="n">
        <v>-4.5</v>
      </c>
      <c r="F935" s="174" t="n">
        <v>-21.3</v>
      </c>
      <c r="G935" s="174" t="n">
        <v>-61.9</v>
      </c>
      <c r="H935" s="174" t="n">
        <v>0.2</v>
      </c>
      <c r="I935" s="174" t="n">
        <v>-17.5</v>
      </c>
      <c r="J935" s="174" t="n">
        <v>-60</v>
      </c>
      <c r="K935" s="175" t="inlineStr">
        <is>
          <t>6633 QINGCI GAMES</t>
        </is>
      </c>
    </row>
    <row r="936">
      <c r="A936" s="17" t="inlineStr">
        <is>
          <t>Qookka Entertainment Limited</t>
        </is>
      </c>
      <c r="B936" s="167" t="n">
        <v>1</v>
      </c>
      <c r="C936" s="173" t="n">
        <v>0</v>
      </c>
      <c r="D936" s="174" t="n">
        <v>-4.6</v>
      </c>
      <c r="E936" s="174" t="n">
        <v>-4.5</v>
      </c>
      <c r="F936" s="174" t="n">
        <v>-21.3</v>
      </c>
      <c r="G936" s="174" t="n">
        <v>-61.9</v>
      </c>
      <c r="H936" s="174" t="n">
        <v>0.2</v>
      </c>
      <c r="I936" s="174" t="n">
        <v>-17.5</v>
      </c>
      <c r="J936" s="174" t="n">
        <v>-60</v>
      </c>
      <c r="K936" s="175" t="inlineStr">
        <is>
          <t>6633 QINGCI GAMES</t>
        </is>
      </c>
    </row>
    <row r="937">
      <c r="A937" s="17" t="inlineStr">
        <is>
          <t>Starwin International A LPF</t>
        </is>
      </c>
      <c r="B937" s="167" t="n">
        <v>1</v>
      </c>
      <c r="C937" s="173" t="n">
        <v>0</v>
      </c>
      <c r="D937" s="174" t="n">
        <v>-4.6</v>
      </c>
      <c r="E937" s="174" t="n">
        <v>22.3</v>
      </c>
      <c r="F937" s="174" t="n">
        <v>68.7</v>
      </c>
      <c r="G937" s="174" t="n">
        <v>-0.8</v>
      </c>
      <c r="H937" s="174" t="n">
        <v>28.3</v>
      </c>
      <c r="I937" s="174" t="n">
        <v>76.90000000000001</v>
      </c>
      <c r="J937" s="174" t="n">
        <v>4</v>
      </c>
      <c r="K937" s="175" t="inlineStr">
        <is>
          <t>1511 UISEE TECH</t>
        </is>
      </c>
    </row>
    <row r="938">
      <c r="A938" s="17" t="inlineStr">
        <is>
          <t>Xiongan Autonomous Driving Limited</t>
        </is>
      </c>
      <c r="B938" s="167" t="n">
        <v>1</v>
      </c>
      <c r="C938" s="173" t="n">
        <v>0</v>
      </c>
      <c r="D938" s="174" t="n">
        <v>-4.6</v>
      </c>
      <c r="E938" s="174" t="n">
        <v>22.3</v>
      </c>
      <c r="F938" s="174" t="n">
        <v>68.7</v>
      </c>
      <c r="G938" s="174" t="n">
        <v>-0.8</v>
      </c>
      <c r="H938" s="174" t="n">
        <v>28.3</v>
      </c>
      <c r="I938" s="174" t="n">
        <v>76.90000000000001</v>
      </c>
      <c r="J938" s="174" t="n">
        <v>4</v>
      </c>
      <c r="K938" s="175" t="inlineStr">
        <is>
          <t>1511 UISEE TECH</t>
        </is>
      </c>
    </row>
    <row r="939">
      <c r="A939" s="17" t="inlineStr">
        <is>
          <t>GRANITE ASIA IX VCC</t>
        </is>
      </c>
      <c r="B939" s="167" t="n">
        <v>1</v>
      </c>
      <c r="C939" s="173" t="n">
        <v>0</v>
      </c>
      <c r="D939" s="174" t="n">
        <v>-4.6</v>
      </c>
      <c r="E939" s="174" t="n">
        <v>-5.1</v>
      </c>
      <c r="F939" s="174" t="n">
        <v>-37.2</v>
      </c>
      <c r="G939" s="174" t="n"/>
      <c r="H939" s="174" t="n">
        <v>-0.5</v>
      </c>
      <c r="I939" s="174" t="n">
        <v>-34.2</v>
      </c>
      <c r="J939" s="174" t="n"/>
      <c r="K939" s="175" t="inlineStr">
        <is>
          <t>1688 LINGYI ITECH</t>
        </is>
      </c>
    </row>
    <row r="940">
      <c r="A940" s="17" t="inlineStr">
        <is>
          <t>Honor Information Technology Limited</t>
        </is>
      </c>
      <c r="B940" s="167" t="n">
        <v>1</v>
      </c>
      <c r="C940" s="173" t="n">
        <v>0</v>
      </c>
      <c r="D940" s="174" t="n">
        <v>-4.6</v>
      </c>
      <c r="E940" s="174" t="n">
        <v>-5.1</v>
      </c>
      <c r="F940" s="174" t="n">
        <v>-37.2</v>
      </c>
      <c r="G940" s="174" t="n"/>
      <c r="H940" s="174" t="n">
        <v>-0.5</v>
      </c>
      <c r="I940" s="174" t="n">
        <v>-34.2</v>
      </c>
      <c r="J940" s="174" t="n"/>
      <c r="K940" s="175" t="inlineStr">
        <is>
          <t>1688 LINGYI ITECH</t>
        </is>
      </c>
    </row>
    <row r="941">
      <c r="A941" s="17" t="inlineStr">
        <is>
          <t>Kaide Global Investment Ltd</t>
        </is>
      </c>
      <c r="B941" s="167" t="n">
        <v>1</v>
      </c>
      <c r="C941" s="173" t="n">
        <v>0</v>
      </c>
      <c r="D941" s="174" t="n">
        <v>-4.6</v>
      </c>
      <c r="E941" s="174" t="n">
        <v>-5.1</v>
      </c>
      <c r="F941" s="174" t="n">
        <v>-37.2</v>
      </c>
      <c r="G941" s="174" t="n"/>
      <c r="H941" s="174" t="n">
        <v>-0.5</v>
      </c>
      <c r="I941" s="174" t="n">
        <v>-34.2</v>
      </c>
      <c r="J941" s="174" t="n"/>
      <c r="K941" s="175" t="inlineStr">
        <is>
          <t>1688 LINGYI ITECH</t>
        </is>
      </c>
    </row>
    <row r="942">
      <c r="A942" s="17" t="inlineStr">
        <is>
          <t>Qube Master Fund Ltd</t>
        </is>
      </c>
      <c r="B942" s="167" t="n">
        <v>1</v>
      </c>
      <c r="C942" s="173" t="n">
        <v>0</v>
      </c>
      <c r="D942" s="174" t="n">
        <v>-4.6</v>
      </c>
      <c r="E942" s="174" t="n">
        <v>-5.1</v>
      </c>
      <c r="F942" s="174" t="n">
        <v>-37.2</v>
      </c>
      <c r="G942" s="174" t="n"/>
      <c r="H942" s="174" t="n">
        <v>-0.5</v>
      </c>
      <c r="I942" s="174" t="n">
        <v>-34.2</v>
      </c>
      <c r="J942" s="174" t="n"/>
      <c r="K942" s="175" t="inlineStr">
        <is>
          <t>1688 LINGYI ITECH</t>
        </is>
      </c>
    </row>
    <row r="943">
      <c r="A943" s="17" t="inlineStr">
        <is>
          <t>Ti-Capital (HK) Pioneer Fund III</t>
        </is>
      </c>
      <c r="B943" s="167" t="n">
        <v>1</v>
      </c>
      <c r="C943" s="173" t="n">
        <v>0</v>
      </c>
      <c r="D943" s="174" t="n">
        <v>-4.6</v>
      </c>
      <c r="E943" s="174" t="n">
        <v>-5.1</v>
      </c>
      <c r="F943" s="174" t="n">
        <v>-37.2</v>
      </c>
      <c r="G943" s="174" t="n"/>
      <c r="H943" s="174" t="n">
        <v>-0.5</v>
      </c>
      <c r="I943" s="174" t="n">
        <v>-34.2</v>
      </c>
      <c r="J943" s="174" t="n"/>
      <c r="K943" s="175" t="inlineStr">
        <is>
          <t>1688 LINGYI ITECH</t>
        </is>
      </c>
    </row>
    <row r="944">
      <c r="A944" s="17" t="inlineStr">
        <is>
          <t>Hosen Capital</t>
        </is>
      </c>
      <c r="B944" s="167" t="n">
        <v>1</v>
      </c>
      <c r="C944" s="173" t="n">
        <v>0</v>
      </c>
      <c r="D944" s="174" t="n">
        <v>-5</v>
      </c>
      <c r="E944" s="174" t="n">
        <v>0.1</v>
      </c>
      <c r="F944" s="174" t="n">
        <v>0</v>
      </c>
      <c r="G944" s="174" t="n">
        <v>-2.6</v>
      </c>
      <c r="H944" s="174" t="n">
        <v>5.3</v>
      </c>
      <c r="I944" s="174" t="n">
        <v>5.3</v>
      </c>
      <c r="J944" s="174" t="n">
        <v>2.5</v>
      </c>
      <c r="K944" s="175" t="inlineStr">
        <is>
          <t>2648 ANJOY FOOD</t>
        </is>
      </c>
    </row>
    <row r="945">
      <c r="A945" s="17" t="inlineStr">
        <is>
          <t>FCP Domains</t>
        </is>
      </c>
      <c r="B945" s="167" t="n">
        <v>1</v>
      </c>
      <c r="C945" s="173" t="n">
        <v>0</v>
      </c>
      <c r="D945" s="174" t="n">
        <v>-5</v>
      </c>
      <c r="E945" s="174" t="n">
        <v>0.1</v>
      </c>
      <c r="F945" s="174" t="n">
        <v>0</v>
      </c>
      <c r="G945" s="174" t="n">
        <v>-2.6</v>
      </c>
      <c r="H945" s="174" t="n">
        <v>5.3</v>
      </c>
      <c r="I945" s="174" t="n">
        <v>5.3</v>
      </c>
      <c r="J945" s="174" t="n">
        <v>2.5</v>
      </c>
      <c r="K945" s="175" t="inlineStr">
        <is>
          <t>2648 ANJOY FOOD</t>
        </is>
      </c>
    </row>
    <row r="946">
      <c r="A946" s="17" t="inlineStr">
        <is>
          <t>NonaV erse</t>
        </is>
      </c>
      <c r="B946" s="167" t="n">
        <v>1</v>
      </c>
      <c r="C946" s="173" t="n">
        <v>0</v>
      </c>
      <c r="D946" s="174" t="n">
        <v>-5</v>
      </c>
      <c r="E946" s="174" t="n">
        <v>0.1</v>
      </c>
      <c r="F946" s="174" t="n">
        <v>0</v>
      </c>
      <c r="G946" s="174" t="n">
        <v>-2.6</v>
      </c>
      <c r="H946" s="174" t="n">
        <v>5.3</v>
      </c>
      <c r="I946" s="174" t="n">
        <v>5.3</v>
      </c>
      <c r="J946" s="174" t="n">
        <v>2.5</v>
      </c>
      <c r="K946" s="175" t="inlineStr">
        <is>
          <t>2648 ANJOY FOOD</t>
        </is>
      </c>
    </row>
    <row r="947">
      <c r="A947" s="17" t="inlineStr">
        <is>
          <t>Media Global Management Limited</t>
        </is>
      </c>
      <c r="B947" s="167" t="n">
        <v>1</v>
      </c>
      <c r="C947" s="173" t="n">
        <v>0</v>
      </c>
      <c r="D947" s="174" t="n">
        <v>-5.1</v>
      </c>
      <c r="E947" s="174" t="n">
        <v>-12.1</v>
      </c>
      <c r="F947" s="174" t="n">
        <v>-0.6</v>
      </c>
      <c r="G947" s="174" t="n">
        <v>8</v>
      </c>
      <c r="H947" s="174" t="n">
        <v>-7.4</v>
      </c>
      <c r="I947" s="174" t="n">
        <v>4.8</v>
      </c>
      <c r="J947" s="174" t="n">
        <v>13.8</v>
      </c>
      <c r="K947" s="175" t="inlineStr">
        <is>
          <t>9985 WEILONG</t>
        </is>
      </c>
    </row>
    <row r="948">
      <c r="A948" s="17" t="inlineStr">
        <is>
          <t>Prospect Bridge Value L.P</t>
        </is>
      </c>
      <c r="B948" s="167" t="n">
        <v>1</v>
      </c>
      <c r="C948" s="173" t="n">
        <v>0</v>
      </c>
      <c r="D948" s="174" t="n">
        <v>-5.1</v>
      </c>
      <c r="E948" s="174" t="n">
        <v>-12.1</v>
      </c>
      <c r="F948" s="174" t="n">
        <v>-0.6</v>
      </c>
      <c r="G948" s="174" t="n">
        <v>8</v>
      </c>
      <c r="H948" s="174" t="n">
        <v>-7.4</v>
      </c>
      <c r="I948" s="174" t="n">
        <v>4.8</v>
      </c>
      <c r="J948" s="174" t="n">
        <v>13.8</v>
      </c>
      <c r="K948" s="175" t="inlineStr">
        <is>
          <t>9985 WEILONG</t>
        </is>
      </c>
    </row>
    <row r="949">
      <c r="A949" s="17" t="inlineStr">
        <is>
          <t>Eastland</t>
        </is>
      </c>
      <c r="B949" s="167" t="n">
        <v>1</v>
      </c>
      <c r="C949" s="173" t="n">
        <v>0</v>
      </c>
      <c r="D949" s="174" t="n">
        <v>-5.3</v>
      </c>
      <c r="E949" s="174" t="n">
        <v>-3</v>
      </c>
      <c r="F949" s="174" t="n">
        <v>-7.9</v>
      </c>
      <c r="G949" s="174" t="n">
        <v>-6.3</v>
      </c>
      <c r="H949" s="174" t="n">
        <v>2.4</v>
      </c>
      <c r="I949" s="174" t="n">
        <v>-2.8</v>
      </c>
      <c r="J949" s="174" t="n">
        <v>-1.1</v>
      </c>
      <c r="K949" s="175" t="inlineStr">
        <is>
          <t>2385 READBOY</t>
        </is>
      </c>
    </row>
    <row r="950">
      <c r="A950" s="17" t="inlineStr">
        <is>
          <t>Gui Chunfang</t>
        </is>
      </c>
      <c r="B950" s="167" t="n">
        <v>1</v>
      </c>
      <c r="C950" s="173" t="n">
        <v>0</v>
      </c>
      <c r="D950" s="174" t="n">
        <v>-5.3</v>
      </c>
      <c r="E950" s="174" t="n">
        <v>-3</v>
      </c>
      <c r="F950" s="174" t="n">
        <v>-7.9</v>
      </c>
      <c r="G950" s="174" t="n">
        <v>-6.3</v>
      </c>
      <c r="H950" s="174" t="n">
        <v>2.4</v>
      </c>
      <c r="I950" s="174" t="n">
        <v>-2.8</v>
      </c>
      <c r="J950" s="174" t="n">
        <v>-1.1</v>
      </c>
      <c r="K950" s="175" t="inlineStr">
        <is>
          <t>2385 READBOY</t>
        </is>
      </c>
    </row>
    <row r="951">
      <c r="A951" s="17" t="inlineStr">
        <is>
          <t>Jin Tao</t>
        </is>
      </c>
      <c r="B951" s="167" t="n">
        <v>1</v>
      </c>
      <c r="C951" s="173" t="n">
        <v>0</v>
      </c>
      <c r="D951" s="174" t="n">
        <v>-5.3</v>
      </c>
      <c r="E951" s="174" t="n">
        <v>-3</v>
      </c>
      <c r="F951" s="174" t="n">
        <v>-7.9</v>
      </c>
      <c r="G951" s="174" t="n">
        <v>-6.3</v>
      </c>
      <c r="H951" s="174" t="n">
        <v>2.4</v>
      </c>
      <c r="I951" s="174" t="n">
        <v>-2.8</v>
      </c>
      <c r="J951" s="174" t="n">
        <v>-1.1</v>
      </c>
      <c r="K951" s="175" t="inlineStr">
        <is>
          <t>2385 READBOY</t>
        </is>
      </c>
    </row>
    <row r="952">
      <c r="A952" s="17" t="inlineStr">
        <is>
          <t>Tower Lead</t>
        </is>
      </c>
      <c r="B952" s="167" t="n">
        <v>1</v>
      </c>
      <c r="C952" s="173" t="n">
        <v>0</v>
      </c>
      <c r="D952" s="174" t="n">
        <v>-5.3</v>
      </c>
      <c r="E952" s="174" t="n">
        <v>-3</v>
      </c>
      <c r="F952" s="174" t="n">
        <v>-7.9</v>
      </c>
      <c r="G952" s="174" t="n">
        <v>-6.3</v>
      </c>
      <c r="H952" s="174" t="n">
        <v>2.4</v>
      </c>
      <c r="I952" s="174" t="n">
        <v>-2.8</v>
      </c>
      <c r="J952" s="174" t="n">
        <v>-1.1</v>
      </c>
      <c r="K952" s="175" t="inlineStr">
        <is>
          <t>2385 READBOY</t>
        </is>
      </c>
    </row>
    <row r="953">
      <c r="A953" s="17" t="inlineStr">
        <is>
          <t>Yang Xiaojie</t>
        </is>
      </c>
      <c r="B953" s="167" t="n">
        <v>1</v>
      </c>
      <c r="C953" s="173" t="n">
        <v>0</v>
      </c>
      <c r="D953" s="174" t="n">
        <v>-5.3</v>
      </c>
      <c r="E953" s="174" t="n">
        <v>-3</v>
      </c>
      <c r="F953" s="174" t="n">
        <v>-7.9</v>
      </c>
      <c r="G953" s="174" t="n">
        <v>-6.3</v>
      </c>
      <c r="H953" s="174" t="n">
        <v>2.4</v>
      </c>
      <c r="I953" s="174" t="n">
        <v>-2.8</v>
      </c>
      <c r="J953" s="174" t="n">
        <v>-1.1</v>
      </c>
      <c r="K953" s="175" t="inlineStr">
        <is>
          <t>2385 READBOY</t>
        </is>
      </c>
    </row>
    <row r="954">
      <c r="A954" s="17" t="inlineStr">
        <is>
          <t>Zheng Changping</t>
        </is>
      </c>
      <c r="B954" s="167" t="n">
        <v>1</v>
      </c>
      <c r="C954" s="173" t="n">
        <v>0</v>
      </c>
      <c r="D954" s="174" t="n">
        <v>-5.3</v>
      </c>
      <c r="E954" s="174" t="n">
        <v>-3</v>
      </c>
      <c r="F954" s="174" t="n">
        <v>-7.9</v>
      </c>
      <c r="G954" s="174" t="n">
        <v>-6.3</v>
      </c>
      <c r="H954" s="174" t="n">
        <v>2.4</v>
      </c>
      <c r="I954" s="174" t="n">
        <v>-2.8</v>
      </c>
      <c r="J954" s="174" t="n">
        <v>-1.1</v>
      </c>
      <c r="K954" s="175" t="inlineStr">
        <is>
          <t>2385 READBOY</t>
        </is>
      </c>
    </row>
    <row r="955">
      <c r="A955" s="17" t="inlineStr">
        <is>
          <t>Abax Asian Structured Private Credit Fund III, LP</t>
        </is>
      </c>
      <c r="B955" s="167" t="n">
        <v>1</v>
      </c>
      <c r="C955" s="173" t="n">
        <v>0</v>
      </c>
      <c r="D955" s="174" t="n">
        <v>-5.6</v>
      </c>
      <c r="E955" s="174" t="n">
        <v>-1.5</v>
      </c>
      <c r="F955" s="174" t="n">
        <v>-20.5</v>
      </c>
      <c r="G955" s="174" t="n">
        <v>-19.6</v>
      </c>
      <c r="H955" s="174" t="n">
        <v>4.3</v>
      </c>
      <c r="I955" s="174" t="n">
        <v>-15.8</v>
      </c>
      <c r="J955" s="174" t="n">
        <v>-14.8</v>
      </c>
      <c r="K955" s="175" t="inlineStr">
        <is>
          <t>6639 ARRAIL GROUP</t>
        </is>
      </c>
    </row>
    <row r="956">
      <c r="A956" s="17" t="inlineStr">
        <is>
          <t>Hony Goldstream Special Opportunity Fund I</t>
        </is>
      </c>
      <c r="B956" s="167" t="n">
        <v>1</v>
      </c>
      <c r="C956" s="173" t="n">
        <v>0</v>
      </c>
      <c r="D956" s="174" t="n">
        <v>-6</v>
      </c>
      <c r="E956" s="174" t="n">
        <v>-11.2</v>
      </c>
      <c r="F956" s="174" t="n">
        <v>-28</v>
      </c>
      <c r="G956" s="174" t="n">
        <v>-50.2</v>
      </c>
      <c r="H956" s="174" t="n">
        <v>-5.6</v>
      </c>
      <c r="I956" s="174" t="n">
        <v>-23.4</v>
      </c>
      <c r="J956" s="174" t="n">
        <v>-47.1</v>
      </c>
      <c r="K956" s="175" t="inlineStr">
        <is>
          <t>9600 NEWLINK TECH</t>
        </is>
      </c>
    </row>
    <row r="957">
      <c r="A957" s="17" t="inlineStr">
        <is>
          <t>Mr. Qi</t>
        </is>
      </c>
      <c r="B957" s="167" t="n">
        <v>1</v>
      </c>
      <c r="C957" s="173" t="n">
        <v>0</v>
      </c>
      <c r="D957" s="174" t="n">
        <v>-6.4</v>
      </c>
      <c r="E957" s="174" t="n">
        <v>-2.1</v>
      </c>
      <c r="F957" s="174" t="n">
        <v>45.1</v>
      </c>
      <c r="G957" s="174" t="n">
        <v>157</v>
      </c>
      <c r="H957" s="174" t="n">
        <v>4.6</v>
      </c>
      <c r="I957" s="174" t="n">
        <v>55.1</v>
      </c>
      <c r="J957" s="174" t="n">
        <v>174.7</v>
      </c>
      <c r="K957" s="175" t="inlineStr">
        <is>
          <t>1364 GUMING</t>
        </is>
      </c>
    </row>
    <row r="958">
      <c r="A958" s="17" t="inlineStr">
        <is>
          <t>Mr. Ruan</t>
        </is>
      </c>
      <c r="B958" s="167" t="n">
        <v>1</v>
      </c>
      <c r="C958" s="173" t="n">
        <v>0</v>
      </c>
      <c r="D958" s="174" t="n">
        <v>-6.4</v>
      </c>
      <c r="E958" s="174" t="n">
        <v>-2.1</v>
      </c>
      <c r="F958" s="174" t="n">
        <v>45.1</v>
      </c>
      <c r="G958" s="174" t="n">
        <v>157</v>
      </c>
      <c r="H958" s="174" t="n">
        <v>4.6</v>
      </c>
      <c r="I958" s="174" t="n">
        <v>55.1</v>
      </c>
      <c r="J958" s="174" t="n">
        <v>174.7</v>
      </c>
      <c r="K958" s="175" t="inlineStr">
        <is>
          <t>1364 GUMING</t>
        </is>
      </c>
    </row>
    <row r="959">
      <c r="A959" s="17" t="inlineStr">
        <is>
          <t>Intera Mining Investment Limited</t>
        </is>
      </c>
      <c r="B959" s="167" t="n">
        <v>1</v>
      </c>
      <c r="C959" s="173" t="n">
        <v>0</v>
      </c>
      <c r="D959" s="174" t="n">
        <v>-6.5</v>
      </c>
      <c r="E959" s="174" t="n">
        <v>-2.3</v>
      </c>
      <c r="F959" s="174" t="n">
        <v>-0.4</v>
      </c>
      <c r="G959" s="174" t="n"/>
      <c r="H959" s="174" t="n">
        <v>4.6</v>
      </c>
      <c r="I959" s="174" t="n">
        <v>6.6</v>
      </c>
      <c r="J959" s="174" t="n"/>
      <c r="K959" s="175" t="inlineStr">
        <is>
          <t>6228 MERDEKAGOLD-DRS</t>
        </is>
      </c>
    </row>
    <row r="960">
      <c r="A960" s="17" t="inlineStr">
        <is>
          <t>Mercuria Holdings (Singapore) Pte. Ltd</t>
        </is>
      </c>
      <c r="B960" s="167" t="n">
        <v>1</v>
      </c>
      <c r="C960" s="173" t="n">
        <v>0</v>
      </c>
      <c r="D960" s="174" t="n">
        <v>-6.5</v>
      </c>
      <c r="E960" s="174" t="n">
        <v>-2.3</v>
      </c>
      <c r="F960" s="174" t="n">
        <v>-0.4</v>
      </c>
      <c r="G960" s="174" t="n"/>
      <c r="H960" s="174" t="n">
        <v>4.6</v>
      </c>
      <c r="I960" s="174" t="n">
        <v>6.6</v>
      </c>
      <c r="J960" s="174" t="n"/>
      <c r="K960" s="175" t="inlineStr">
        <is>
          <t>6228 MERDEKAGOLD-DRS</t>
        </is>
      </c>
    </row>
    <row r="961">
      <c r="A961" s="17" t="inlineStr">
        <is>
          <t>Trafigura Group Pte. Ltd</t>
        </is>
      </c>
      <c r="B961" s="167" t="n">
        <v>1</v>
      </c>
      <c r="C961" s="173" t="n">
        <v>0</v>
      </c>
      <c r="D961" s="174" t="n">
        <v>-6.5</v>
      </c>
      <c r="E961" s="174" t="n">
        <v>-2.3</v>
      </c>
      <c r="F961" s="174" t="n">
        <v>-0.4</v>
      </c>
      <c r="G961" s="174" t="n"/>
      <c r="H961" s="174" t="n">
        <v>4.6</v>
      </c>
      <c r="I961" s="174" t="n">
        <v>6.6</v>
      </c>
      <c r="J961" s="174" t="n"/>
      <c r="K961" s="175" t="inlineStr">
        <is>
          <t>6228 MERDEKAGOLD-DRS</t>
        </is>
      </c>
    </row>
    <row r="962">
      <c r="A962" s="17" t="inlineStr">
        <is>
          <t>Wanguo Gold Group Limited</t>
        </is>
      </c>
      <c r="B962" s="167" t="n">
        <v>1</v>
      </c>
      <c r="C962" s="173" t="n">
        <v>0</v>
      </c>
      <c r="D962" s="174" t="n">
        <v>-6.5</v>
      </c>
      <c r="E962" s="174" t="n">
        <v>-2.3</v>
      </c>
      <c r="F962" s="174" t="n">
        <v>-0.4</v>
      </c>
      <c r="G962" s="174" t="n"/>
      <c r="H962" s="174" t="n">
        <v>4.6</v>
      </c>
      <c r="I962" s="174" t="n">
        <v>6.6</v>
      </c>
      <c r="J962" s="174" t="n"/>
      <c r="K962" s="175" t="inlineStr">
        <is>
          <t>6228 MERDEKAGOLD-DRS</t>
        </is>
      </c>
    </row>
    <row r="963">
      <c r="A963" s="17" t="inlineStr">
        <is>
          <t>Sanofi Foreign Participations B.V</t>
        </is>
      </c>
      <c r="B963" s="167" t="n">
        <v>1</v>
      </c>
      <c r="C963" s="173" t="n">
        <v>0</v>
      </c>
      <c r="D963" s="174" t="n">
        <v>-7.5</v>
      </c>
      <c r="E963" s="174" t="n">
        <v>-9.800000000000001</v>
      </c>
      <c r="F963" s="174" t="n">
        <v>-33.8</v>
      </c>
      <c r="G963" s="174" t="n">
        <v>-54.4</v>
      </c>
      <c r="H963" s="174" t="n">
        <v>-2.5</v>
      </c>
      <c r="I963" s="174" t="n">
        <v>-28.4</v>
      </c>
      <c r="J963" s="174" t="n">
        <v>-50.7</v>
      </c>
      <c r="K963" s="175" t="inlineStr">
        <is>
          <t>9955 CLOUDR</t>
        </is>
      </c>
    </row>
    <row r="964">
      <c r="A964" s="17" t="inlineStr">
        <is>
          <t>Tasly International Capital Limited</t>
        </is>
      </c>
      <c r="B964" s="167" t="n">
        <v>1</v>
      </c>
      <c r="C964" s="173" t="n">
        <v>0</v>
      </c>
      <c r="D964" s="174" t="n">
        <v>-7.5</v>
      </c>
      <c r="E964" s="174" t="n">
        <v>-9.800000000000001</v>
      </c>
      <c r="F964" s="174" t="n">
        <v>-33.8</v>
      </c>
      <c r="G964" s="174" t="n">
        <v>-54.4</v>
      </c>
      <c r="H964" s="174" t="n">
        <v>-2.5</v>
      </c>
      <c r="I964" s="174" t="n">
        <v>-28.4</v>
      </c>
      <c r="J964" s="174" t="n">
        <v>-50.7</v>
      </c>
      <c r="K964" s="175" t="inlineStr">
        <is>
          <t>9955 CLOUDR</t>
        </is>
      </c>
    </row>
    <row r="965">
      <c r="A965" s="17" t="inlineStr">
        <is>
          <t>DNCA Finance</t>
        </is>
      </c>
      <c r="B965" s="167" t="n">
        <v>1</v>
      </c>
      <c r="C965" s="173" t="n">
        <v>0</v>
      </c>
      <c r="D965" s="174" t="n">
        <v>-7.6</v>
      </c>
      <c r="E965" s="174" t="n">
        <v>-18</v>
      </c>
      <c r="F965" s="174" t="n">
        <v>-20.8</v>
      </c>
      <c r="G965" s="174" t="n">
        <v>-45.3</v>
      </c>
      <c r="H965" s="174" t="n">
        <v>-11.3</v>
      </c>
      <c r="I965" s="174" t="n">
        <v>-14.3</v>
      </c>
      <c r="J965" s="174" t="n">
        <v>-40.8</v>
      </c>
      <c r="K965" s="175" t="inlineStr">
        <is>
          <t>9960 KINDSTAR GLOBAL</t>
        </is>
      </c>
    </row>
    <row r="966">
      <c r="A966" s="17" t="inlineStr">
        <is>
          <t>Hangzhou High-tech Venture Capital Co., Ltd</t>
        </is>
      </c>
      <c r="B966" s="167" t="n">
        <v>1</v>
      </c>
      <c r="C966" s="173" t="n">
        <v>0</v>
      </c>
      <c r="D966" s="174" t="n">
        <v>-7.6</v>
      </c>
      <c r="E966" s="174" t="n">
        <v>-4.8</v>
      </c>
      <c r="F966" s="174" t="n">
        <v>-5.5</v>
      </c>
      <c r="G966" s="174" t="n">
        <v>-7</v>
      </c>
      <c r="H966" s="174" t="n">
        <v>3.1</v>
      </c>
      <c r="I966" s="174" t="n">
        <v>2.3</v>
      </c>
      <c r="J966" s="174" t="n">
        <v>0.6</v>
      </c>
      <c r="K966" s="175" t="inlineStr">
        <is>
          <t>2598 LIANLIAN</t>
        </is>
      </c>
    </row>
    <row r="967">
      <c r="A967" s="17" t="inlineStr">
        <is>
          <t>Zhongding Capital Fund VIII</t>
        </is>
      </c>
      <c r="B967" s="167" t="n">
        <v>1</v>
      </c>
      <c r="C967" s="173" t="n">
        <v>0</v>
      </c>
      <c r="D967" s="174" t="n">
        <v>-8</v>
      </c>
      <c r="E967" s="174" t="n">
        <v>-20.4</v>
      </c>
      <c r="F967" s="174" t="n">
        <v>-20.8</v>
      </c>
      <c r="G967" s="174" t="n">
        <v>-22.9</v>
      </c>
      <c r="H967" s="174" t="n">
        <v>-13.5</v>
      </c>
      <c r="I967" s="174" t="n">
        <v>-13.9</v>
      </c>
      <c r="J967" s="174" t="n">
        <v>-16.1</v>
      </c>
      <c r="K967" s="175" t="inlineStr">
        <is>
          <t>0699 JOYSON ELEC</t>
        </is>
      </c>
    </row>
    <row r="968">
      <c r="A968" s="17" t="inlineStr">
        <is>
          <t>Vandi (CCB International)</t>
        </is>
      </c>
      <c r="B968" s="167" t="n">
        <v>1</v>
      </c>
      <c r="C968" s="173" t="n">
        <v>0</v>
      </c>
      <c r="D968" s="174" t="n">
        <v>-8</v>
      </c>
      <c r="E968" s="174" t="n">
        <v>-20.4</v>
      </c>
      <c r="F968" s="174" t="n">
        <v>-20.8</v>
      </c>
      <c r="G968" s="174" t="n">
        <v>-22.9</v>
      </c>
      <c r="H968" s="174" t="n">
        <v>-13.5</v>
      </c>
      <c r="I968" s="174" t="n">
        <v>-13.9</v>
      </c>
      <c r="J968" s="174" t="n">
        <v>-16.1</v>
      </c>
      <c r="K968" s="175" t="inlineStr">
        <is>
          <t>0699 JOYSON ELEC</t>
        </is>
      </c>
    </row>
    <row r="969">
      <c r="A969" s="17" t="inlineStr">
        <is>
          <t>Fidelidade (Fosun)</t>
        </is>
      </c>
      <c r="B969" s="167" t="n">
        <v>1</v>
      </c>
      <c r="C969" s="173" t="n">
        <v>0</v>
      </c>
      <c r="D969" s="174" t="n">
        <v>-8</v>
      </c>
      <c r="E969" s="174" t="n">
        <v>-20.4</v>
      </c>
      <c r="F969" s="174" t="n">
        <v>-20.8</v>
      </c>
      <c r="G969" s="174" t="n">
        <v>-22.9</v>
      </c>
      <c r="H969" s="174" t="n">
        <v>-13.5</v>
      </c>
      <c r="I969" s="174" t="n">
        <v>-13.9</v>
      </c>
      <c r="J969" s="174" t="n">
        <v>-16.1</v>
      </c>
      <c r="K969" s="175" t="inlineStr">
        <is>
          <t>0699 JOYSON ELEC</t>
        </is>
      </c>
    </row>
    <row r="970">
      <c r="A970" s="17" t="inlineStr">
        <is>
          <t>Yanlord Investment Limited</t>
        </is>
      </c>
      <c r="B970" s="167" t="n">
        <v>1</v>
      </c>
      <c r="C970" s="173" t="n">
        <v>0</v>
      </c>
      <c r="D970" s="174" t="n">
        <v>-8.699999999999999</v>
      </c>
      <c r="E970" s="174" t="n">
        <v>5.8</v>
      </c>
      <c r="F970" s="174" t="n">
        <v>-13.9</v>
      </c>
      <c r="G970" s="174" t="n">
        <v>-13.3</v>
      </c>
      <c r="H970" s="174" t="n">
        <v>15.8</v>
      </c>
      <c r="I970" s="174" t="n">
        <v>-5.7</v>
      </c>
      <c r="J970" s="174" t="n">
        <v>-5.1</v>
      </c>
      <c r="K970" s="175" t="inlineStr">
        <is>
          <t>2153 TAT HONG EQUIP</t>
        </is>
      </c>
    </row>
    <row r="971">
      <c r="A971" s="17" t="inlineStr">
        <is>
          <t>Hello Inc</t>
        </is>
      </c>
      <c r="B971" s="167" t="n">
        <v>1</v>
      </c>
      <c r="C971" s="173" t="n">
        <v>0</v>
      </c>
      <c r="D971" s="174" t="n">
        <v>-9.300000000000001</v>
      </c>
      <c r="E971" s="174" t="n">
        <v>-6.9</v>
      </c>
      <c r="F971" s="174" t="n">
        <v>-19.9</v>
      </c>
      <c r="G971" s="174" t="n">
        <v>-52</v>
      </c>
      <c r="H971" s="174" t="n">
        <v>2.6</v>
      </c>
      <c r="I971" s="174" t="n">
        <v>-11.7</v>
      </c>
      <c r="J971" s="174" t="n">
        <v>-47.1</v>
      </c>
      <c r="K971" s="175" t="inlineStr">
        <is>
          <t>9699 SF INTRA-CITY</t>
        </is>
      </c>
    </row>
    <row r="972">
      <c r="A972" s="17" t="inlineStr">
        <is>
          <t>Taobao China Holding Limited</t>
        </is>
      </c>
      <c r="B972" s="167" t="n">
        <v>1</v>
      </c>
      <c r="C972" s="173" t="n">
        <v>0</v>
      </c>
      <c r="D972" s="174" t="n">
        <v>-9.300000000000001</v>
      </c>
      <c r="E972" s="174" t="n">
        <v>-6.9</v>
      </c>
      <c r="F972" s="174" t="n">
        <v>-19.9</v>
      </c>
      <c r="G972" s="174" t="n">
        <v>-52</v>
      </c>
      <c r="H972" s="174" t="n">
        <v>2.6</v>
      </c>
      <c r="I972" s="174" t="n">
        <v>-11.7</v>
      </c>
      <c r="J972" s="174" t="n">
        <v>-47.1</v>
      </c>
      <c r="K972" s="175" t="inlineStr">
        <is>
          <t>9699 SF INTRA-CITY</t>
        </is>
      </c>
    </row>
    <row r="973">
      <c r="A973" s="17" t="inlineStr">
        <is>
          <t>Qindao Gantong</t>
        </is>
      </c>
      <c r="B973" s="167" t="n">
        <v>1</v>
      </c>
      <c r="C973" s="173" t="n">
        <v>0</v>
      </c>
      <c r="D973" s="174" t="n">
        <v>-11.7</v>
      </c>
      <c r="E973" s="174" t="n">
        <v>-10.2</v>
      </c>
      <c r="F973" s="174" t="n">
        <v>-27.9</v>
      </c>
      <c r="G973" s="174" t="n">
        <v>-24.9</v>
      </c>
      <c r="H973" s="174" t="n">
        <v>1.7</v>
      </c>
      <c r="I973" s="174" t="n">
        <v>-18.3</v>
      </c>
      <c r="J973" s="174" t="n">
        <v>-14.9</v>
      </c>
      <c r="K973" s="175" t="inlineStr">
        <is>
          <t>0638 FIBOCOM</t>
        </is>
      </c>
    </row>
    <row r="974">
      <c r="A974" s="17" t="inlineStr">
        <is>
          <t>Genimous Investment</t>
        </is>
      </c>
      <c r="B974" s="167" t="n">
        <v>1</v>
      </c>
      <c r="C974" s="173" t="n">
        <v>0</v>
      </c>
      <c r="D974" s="174" t="n">
        <v>-11.7</v>
      </c>
      <c r="E974" s="174" t="n">
        <v>-10.2</v>
      </c>
      <c r="F974" s="174" t="n">
        <v>-27.9</v>
      </c>
      <c r="G974" s="174" t="n">
        <v>-24.9</v>
      </c>
      <c r="H974" s="174" t="n">
        <v>1.7</v>
      </c>
      <c r="I974" s="174" t="n">
        <v>-18.3</v>
      </c>
      <c r="J974" s="174" t="n">
        <v>-14.9</v>
      </c>
      <c r="K974" s="175" t="inlineStr">
        <is>
          <t>0638 FIBOCOM</t>
        </is>
      </c>
    </row>
    <row r="975">
      <c r="A975" s="17" t="inlineStr">
        <is>
          <t>Mr. Zhang Xiaolei</t>
        </is>
      </c>
      <c r="B975" s="167" t="n">
        <v>1</v>
      </c>
      <c r="C975" s="173" t="n">
        <v>0</v>
      </c>
      <c r="D975" s="174" t="n">
        <v>-11.7</v>
      </c>
      <c r="E975" s="174" t="n">
        <v>-10.2</v>
      </c>
      <c r="F975" s="174" t="n">
        <v>-27.9</v>
      </c>
      <c r="G975" s="174" t="n">
        <v>-24.9</v>
      </c>
      <c r="H975" s="174" t="n">
        <v>1.7</v>
      </c>
      <c r="I975" s="174" t="n">
        <v>-18.3</v>
      </c>
      <c r="J975" s="174" t="n">
        <v>-14.9</v>
      </c>
      <c r="K975" s="175" t="inlineStr">
        <is>
          <t>0638 FIBOCOM</t>
        </is>
      </c>
    </row>
    <row r="976">
      <c r="A976" s="17" t="inlineStr">
        <is>
          <t>GTINV</t>
        </is>
      </c>
      <c r="B976" s="167" t="n">
        <v>1</v>
      </c>
      <c r="C976" s="173" t="n">
        <v>0</v>
      </c>
      <c r="D976" s="174" t="n">
        <v>-11.7</v>
      </c>
      <c r="E976" s="174" t="n">
        <v>-10.2</v>
      </c>
      <c r="F976" s="174" t="n">
        <v>-27.9</v>
      </c>
      <c r="G976" s="174" t="n">
        <v>-24.9</v>
      </c>
      <c r="H976" s="174" t="n">
        <v>1.7</v>
      </c>
      <c r="I976" s="174" t="n">
        <v>-18.3</v>
      </c>
      <c r="J976" s="174" t="n">
        <v>-14.9</v>
      </c>
      <c r="K976" s="175" t="inlineStr">
        <is>
          <t>0638 FIBOCOM</t>
        </is>
      </c>
    </row>
    <row r="977">
      <c r="A977" s="17" t="inlineStr">
        <is>
          <t>Shunjie Investment</t>
        </is>
      </c>
      <c r="B977" s="167" t="n">
        <v>1</v>
      </c>
      <c r="C977" s="173" t="n">
        <v>0</v>
      </c>
      <c r="D977" s="174" t="n">
        <v>-11.9</v>
      </c>
      <c r="E977" s="174" t="n">
        <v>-18.5</v>
      </c>
      <c r="F977" s="174" t="n">
        <v>-16.1</v>
      </c>
      <c r="G977" s="174" t="n">
        <v>-31.8</v>
      </c>
      <c r="H977" s="174" t="n">
        <v>-7.5</v>
      </c>
      <c r="I977" s="174" t="n">
        <v>-4.8</v>
      </c>
      <c r="J977" s="174" t="n">
        <v>-22.6</v>
      </c>
      <c r="K977" s="175" t="inlineStr">
        <is>
          <t>2619 XJ ELECTRICS</t>
        </is>
      </c>
    </row>
    <row r="978">
      <c r="A978" s="17" t="inlineStr">
        <is>
          <t>Xinghuang Holdings</t>
        </is>
      </c>
      <c r="B978" s="167" t="n">
        <v>1</v>
      </c>
      <c r="C978" s="173" t="n">
        <v>0</v>
      </c>
      <c r="D978" s="174" t="n">
        <v>-11.9</v>
      </c>
      <c r="E978" s="174" t="n">
        <v>-18.5</v>
      </c>
      <c r="F978" s="174" t="n">
        <v>-16.1</v>
      </c>
      <c r="G978" s="174" t="n">
        <v>-31.8</v>
      </c>
      <c r="H978" s="174" t="n">
        <v>-7.5</v>
      </c>
      <c r="I978" s="174" t="n">
        <v>-4.8</v>
      </c>
      <c r="J978" s="174" t="n">
        <v>-22.6</v>
      </c>
      <c r="K978" s="175" t="inlineStr">
        <is>
          <t>2619 XJ ELECTRICS</t>
        </is>
      </c>
    </row>
    <row r="979">
      <c r="A979" s="17" t="inlineStr">
        <is>
          <t>Yunxing Technology</t>
        </is>
      </c>
      <c r="B979" s="167" t="n">
        <v>1</v>
      </c>
      <c r="C979" s="173" t="n">
        <v>0</v>
      </c>
      <c r="D979" s="174" t="n">
        <v>-11.9</v>
      </c>
      <c r="E979" s="174" t="n">
        <v>-18.5</v>
      </c>
      <c r="F979" s="174" t="n">
        <v>-16.1</v>
      </c>
      <c r="G979" s="174" t="n">
        <v>-31.8</v>
      </c>
      <c r="H979" s="174" t="n">
        <v>-7.5</v>
      </c>
      <c r="I979" s="174" t="n">
        <v>-4.8</v>
      </c>
      <c r="J979" s="174" t="n">
        <v>-22.6</v>
      </c>
      <c r="K979" s="175" t="inlineStr">
        <is>
          <t>2619 XJ ELECTRICS</t>
        </is>
      </c>
    </row>
    <row r="980">
      <c r="A980" s="17" t="inlineStr">
        <is>
          <t>Lucky Advent Limited</t>
        </is>
      </c>
      <c r="B980" s="167" t="n">
        <v>1</v>
      </c>
      <c r="C980" s="173" t="n">
        <v>0</v>
      </c>
      <c r="D980" s="174" t="n">
        <v>-12</v>
      </c>
      <c r="E980" s="174" t="n">
        <v>-9</v>
      </c>
      <c r="F980" s="174" t="n">
        <v>-23.7</v>
      </c>
      <c r="G980" s="174" t="n">
        <v>-38.3</v>
      </c>
      <c r="H980" s="174" t="n">
        <v>3.4</v>
      </c>
      <c r="I980" s="174" t="n">
        <v>-13.3</v>
      </c>
      <c r="J980" s="174" t="n">
        <v>-29.9</v>
      </c>
      <c r="K980" s="175" t="inlineStr">
        <is>
          <t>9982 CENTRALCHINA MT</t>
        </is>
      </c>
    </row>
    <row r="981">
      <c r="A981" s="17" t="inlineStr">
        <is>
          <t>Action Chain</t>
        </is>
      </c>
      <c r="B981" s="167" t="n">
        <v>1</v>
      </c>
      <c r="C981" s="173" t="n">
        <v>0</v>
      </c>
      <c r="D981" s="174" t="n">
        <v>-12.5</v>
      </c>
      <c r="E981" s="174" t="n">
        <v>-19.6</v>
      </c>
      <c r="F981" s="174" t="n">
        <v>-11.3</v>
      </c>
      <c r="G981" s="174" t="n">
        <v>3.2</v>
      </c>
      <c r="H981" s="174" t="n">
        <v>-8.1</v>
      </c>
      <c r="I981" s="174" t="n">
        <v>1.4</v>
      </c>
      <c r="J981" s="174" t="n">
        <v>18</v>
      </c>
      <c r="K981" s="175" t="inlineStr">
        <is>
          <t>6831 GREEN TEA GROUP</t>
        </is>
      </c>
    </row>
    <row r="982">
      <c r="A982" s="17" t="inlineStr">
        <is>
          <t>Chia Tai</t>
        </is>
      </c>
      <c r="B982" s="167" t="n">
        <v>1</v>
      </c>
      <c r="C982" s="173" t="n">
        <v>0</v>
      </c>
      <c r="D982" s="174" t="n">
        <v>-12.5</v>
      </c>
      <c r="E982" s="174" t="n">
        <v>-19.6</v>
      </c>
      <c r="F982" s="174" t="n">
        <v>-11.3</v>
      </c>
      <c r="G982" s="174" t="n">
        <v>3.2</v>
      </c>
      <c r="H982" s="174" t="n">
        <v>-8.1</v>
      </c>
      <c r="I982" s="174" t="n">
        <v>1.4</v>
      </c>
      <c r="J982" s="174" t="n">
        <v>18</v>
      </c>
      <c r="K982" s="175" t="inlineStr">
        <is>
          <t>6831 GREEN TEA GROUP</t>
        </is>
      </c>
    </row>
    <row r="983">
      <c r="A983" s="17" t="inlineStr">
        <is>
          <t>Grand Rejuvenation Premium Selection Fund SPC</t>
        </is>
      </c>
      <c r="B983" s="167" t="n">
        <v>1</v>
      </c>
      <c r="C983" s="173" t="n">
        <v>0</v>
      </c>
      <c r="D983" s="174" t="n">
        <v>-13.5</v>
      </c>
      <c r="E983" s="174" t="n">
        <v>-19.1</v>
      </c>
      <c r="F983" s="174" t="n">
        <v>-42.9</v>
      </c>
      <c r="G983" s="174" t="n">
        <v>-39.2</v>
      </c>
      <c r="H983" s="174" t="n">
        <v>-6.4</v>
      </c>
      <c r="I983" s="174" t="n">
        <v>-34</v>
      </c>
      <c r="J983" s="174" t="n">
        <v>-29.7</v>
      </c>
      <c r="K983" s="175" t="inlineStr">
        <is>
          <t>2150 NAYUKI</t>
        </is>
      </c>
    </row>
    <row r="984">
      <c r="A984" s="17" t="inlineStr">
        <is>
          <t>Xiangjiang Zhicheng (Hunan state fund)</t>
        </is>
      </c>
      <c r="B984" s="167" t="n">
        <v>1</v>
      </c>
      <c r="C984" s="173" t="n">
        <v>0</v>
      </c>
      <c r="D984" s="174" t="n">
        <v>-13.7</v>
      </c>
      <c r="E984" s="174" t="n">
        <v>-15.2</v>
      </c>
      <c r="F984" s="174" t="n">
        <v>-7.8</v>
      </c>
      <c r="G984" s="174" t="n">
        <v>-11.8</v>
      </c>
      <c r="H984" s="174" t="n">
        <v>-1.8</v>
      </c>
      <c r="I984" s="174" t="n">
        <v>6.8</v>
      </c>
      <c r="J984" s="174" t="n">
        <v>2.2</v>
      </c>
      <c r="K984" s="175" t="inlineStr">
        <is>
          <t>3881 CIDI</t>
        </is>
      </c>
    </row>
    <row r="985">
      <c r="A985" s="17" t="inlineStr">
        <is>
          <t>Zhijia No. 1 (Nanning Ruiyue LP)</t>
        </is>
      </c>
      <c r="B985" s="167" t="n">
        <v>1</v>
      </c>
      <c r="C985" s="173" t="n">
        <v>0</v>
      </c>
      <c r="D985" s="174" t="n">
        <v>-13.7</v>
      </c>
      <c r="E985" s="174" t="n">
        <v>-15.2</v>
      </c>
      <c r="F985" s="174" t="n">
        <v>-7.8</v>
      </c>
      <c r="G985" s="174" t="n">
        <v>-11.8</v>
      </c>
      <c r="H985" s="174" t="n">
        <v>-1.8</v>
      </c>
      <c r="I985" s="174" t="n">
        <v>6.8</v>
      </c>
      <c r="J985" s="174" t="n">
        <v>2.2</v>
      </c>
      <c r="K985" s="175" t="inlineStr">
        <is>
          <t>3881 CIDI</t>
        </is>
      </c>
    </row>
    <row r="986">
      <c r="A986" s="17" t="inlineStr">
        <is>
          <t>EVE Asia</t>
        </is>
      </c>
      <c r="B986" s="167" t="n">
        <v>1</v>
      </c>
      <c r="C986" s="173" t="n">
        <v>0</v>
      </c>
      <c r="D986" s="174" t="n">
        <v>-14.2</v>
      </c>
      <c r="E986" s="174" t="n">
        <v>-16.2</v>
      </c>
      <c r="F986" s="174" t="n">
        <v>-3.5</v>
      </c>
      <c r="G986" s="174" t="n">
        <v>25.2</v>
      </c>
      <c r="H986" s="174" t="n">
        <v>-2.4</v>
      </c>
      <c r="I986" s="174" t="n">
        <v>12.4</v>
      </c>
      <c r="J986" s="174" t="n">
        <v>45.8</v>
      </c>
      <c r="K986" s="175" t="inlineStr">
        <is>
          <t>2643 CAOCAO INC</t>
        </is>
      </c>
    </row>
    <row r="987">
      <c r="A987" s="17" t="inlineStr">
        <is>
          <t>RoboSense Hong Kong</t>
        </is>
      </c>
      <c r="B987" s="167" t="n">
        <v>1</v>
      </c>
      <c r="C987" s="173" t="n">
        <v>0</v>
      </c>
      <c r="D987" s="174" t="n">
        <v>-14.2</v>
      </c>
      <c r="E987" s="174" t="n">
        <v>-16.2</v>
      </c>
      <c r="F987" s="174" t="n">
        <v>-3.5</v>
      </c>
      <c r="G987" s="174" t="n">
        <v>25.2</v>
      </c>
      <c r="H987" s="174" t="n">
        <v>-2.4</v>
      </c>
      <c r="I987" s="174" t="n">
        <v>12.4</v>
      </c>
      <c r="J987" s="174" t="n">
        <v>45.8</v>
      </c>
      <c r="K987" s="175" t="inlineStr">
        <is>
          <t>2643 CAOCAO INC</t>
        </is>
      </c>
    </row>
    <row r="988">
      <c r="A988" s="17" t="inlineStr">
        <is>
          <t>Eurus Holdings SPC</t>
        </is>
      </c>
      <c r="B988" s="167" t="n">
        <v>1</v>
      </c>
      <c r="C988" s="173" t="n">
        <v>0</v>
      </c>
      <c r="D988" s="174" t="n">
        <v>-14.6</v>
      </c>
      <c r="E988" s="174" t="n">
        <v>21.9</v>
      </c>
      <c r="F988" s="174" t="n">
        <v>-42.2</v>
      </c>
      <c r="G988" s="174" t="n"/>
      <c r="H988" s="174" t="n">
        <v>42.7</v>
      </c>
      <c r="I988" s="174" t="n">
        <v>-32.3</v>
      </c>
      <c r="J988" s="174" t="n"/>
      <c r="K988" s="175" t="inlineStr">
        <is>
          <t>3952 LAIFUAL</t>
        </is>
      </c>
    </row>
    <row r="989">
      <c r="A989" s="17" t="inlineStr">
        <is>
          <t>CaaS Capital Master Fund LP</t>
        </is>
      </c>
      <c r="B989" s="167" t="n">
        <v>1</v>
      </c>
      <c r="C989" s="173" t="n">
        <v>0</v>
      </c>
      <c r="D989" s="174" t="n">
        <v>-14.8</v>
      </c>
      <c r="E989" s="174" t="n">
        <v>-32.1</v>
      </c>
      <c r="F989" s="174" t="n">
        <v>-20.9</v>
      </c>
      <c r="G989" s="174" t="n">
        <v>-52.4</v>
      </c>
      <c r="H989" s="174" t="n">
        <v>-20.4</v>
      </c>
      <c r="I989" s="174" t="n">
        <v>-7.3</v>
      </c>
      <c r="J989" s="174" t="n">
        <v>-44.1</v>
      </c>
      <c r="K989" s="175" t="inlineStr">
        <is>
          <t>6622 ZHAOKE OPHTH-B</t>
        </is>
      </c>
    </row>
    <row r="990">
      <c r="A990" s="17" t="inlineStr">
        <is>
          <t>Jennison Associates LLC</t>
        </is>
      </c>
      <c r="B990" s="167" t="n">
        <v>1</v>
      </c>
      <c r="C990" s="173" t="n">
        <v>0</v>
      </c>
      <c r="D990" s="174" t="n">
        <v>-14.8</v>
      </c>
      <c r="E990" s="174" t="n">
        <v>-32.1</v>
      </c>
      <c r="F990" s="174" t="n">
        <v>-20.9</v>
      </c>
      <c r="G990" s="174" t="n">
        <v>-52.4</v>
      </c>
      <c r="H990" s="174" t="n">
        <v>-20.4</v>
      </c>
      <c r="I990" s="174" t="n">
        <v>-7.3</v>
      </c>
      <c r="J990" s="174" t="n">
        <v>-44.1</v>
      </c>
      <c r="K990" s="175" t="inlineStr">
        <is>
          <t>6622 ZHAOKE OPHTH-B</t>
        </is>
      </c>
    </row>
    <row r="991">
      <c r="A991" s="17" t="inlineStr">
        <is>
          <t>Mass Ave Global, Inc</t>
        </is>
      </c>
      <c r="B991" s="167" t="n">
        <v>1</v>
      </c>
      <c r="C991" s="173" t="n">
        <v>0</v>
      </c>
      <c r="D991" s="174" t="n">
        <v>-14.8</v>
      </c>
      <c r="E991" s="174" t="n">
        <v>-32.1</v>
      </c>
      <c r="F991" s="174" t="n">
        <v>-20.9</v>
      </c>
      <c r="G991" s="174" t="n">
        <v>-52.4</v>
      </c>
      <c r="H991" s="174" t="n">
        <v>-20.4</v>
      </c>
      <c r="I991" s="174" t="n">
        <v>-7.3</v>
      </c>
      <c r="J991" s="174" t="n">
        <v>-44.1</v>
      </c>
      <c r="K991" s="175" t="inlineStr">
        <is>
          <t>6622 ZHAOKE OPHTH-B</t>
        </is>
      </c>
    </row>
    <row r="992">
      <c r="A992" s="17" t="inlineStr">
        <is>
          <t>VMS Zhaoke Investment Fund SP</t>
        </is>
      </c>
      <c r="B992" s="167" t="n">
        <v>1</v>
      </c>
      <c r="C992" s="173" t="n">
        <v>0</v>
      </c>
      <c r="D992" s="174" t="n">
        <v>-14.8</v>
      </c>
      <c r="E992" s="174" t="n">
        <v>-32.1</v>
      </c>
      <c r="F992" s="174" t="n">
        <v>-20.9</v>
      </c>
      <c r="G992" s="174" t="n">
        <v>-52.4</v>
      </c>
      <c r="H992" s="174" t="n">
        <v>-20.4</v>
      </c>
      <c r="I992" s="174" t="n">
        <v>-7.3</v>
      </c>
      <c r="J992" s="174" t="n">
        <v>-44.1</v>
      </c>
      <c r="K992" s="175" t="inlineStr">
        <is>
          <t>6622 ZHAOKE OPHTH-B</t>
        </is>
      </c>
    </row>
    <row r="993">
      <c r="A993" s="17" t="inlineStr">
        <is>
          <t>Accel Group Holdings Limited</t>
        </is>
      </c>
      <c r="B993" s="167" t="n">
        <v>1</v>
      </c>
      <c r="C993" s="173" t="n">
        <v>0</v>
      </c>
      <c r="D993" s="174" t="n">
        <v>-15.1</v>
      </c>
      <c r="E993" s="174" t="n">
        <v>-39.7</v>
      </c>
      <c r="F993" s="174" t="n">
        <v>-37</v>
      </c>
      <c r="G993" s="174" t="n">
        <v>-44.5</v>
      </c>
      <c r="H993" s="174" t="n">
        <v>-29</v>
      </c>
      <c r="I993" s="174" t="n">
        <v>-25.8</v>
      </c>
      <c r="J993" s="174" t="n">
        <v>-34.7</v>
      </c>
      <c r="K993" s="175" t="inlineStr">
        <is>
          <t>9639 WING LEE DEV</t>
        </is>
      </c>
    </row>
    <row r="994">
      <c r="A994" s="17" t="inlineStr">
        <is>
          <t>Cederberg Capital Limited</t>
        </is>
      </c>
      <c r="B994" s="167" t="n">
        <v>1</v>
      </c>
      <c r="C994" s="173" t="n">
        <v>0</v>
      </c>
      <c r="D994" s="174" t="n">
        <v>-16</v>
      </c>
      <c r="E994" s="174" t="n">
        <v>-23.1</v>
      </c>
      <c r="F994" s="174" t="n">
        <v>-35.1</v>
      </c>
      <c r="G994" s="174" t="n">
        <v>-40.6</v>
      </c>
      <c r="H994" s="174" t="n">
        <v>-8.4</v>
      </c>
      <c r="I994" s="174" t="n">
        <v>-22.6</v>
      </c>
      <c r="J994" s="174" t="n">
        <v>-29.2</v>
      </c>
      <c r="K994" s="175" t="inlineStr">
        <is>
          <t>6608 BAIRONG-W</t>
        </is>
      </c>
    </row>
    <row r="995">
      <c r="A995" s="17" t="inlineStr">
        <is>
          <t>Franchise Fund LP</t>
        </is>
      </c>
      <c r="B995" s="167" t="n">
        <v>1</v>
      </c>
      <c r="C995" s="173" t="n">
        <v>0</v>
      </c>
      <c r="D995" s="174" t="n">
        <v>-16</v>
      </c>
      <c r="E995" s="174" t="n">
        <v>-23.1</v>
      </c>
      <c r="F995" s="174" t="n">
        <v>-35.1</v>
      </c>
      <c r="G995" s="174" t="n">
        <v>-40.6</v>
      </c>
      <c r="H995" s="174" t="n">
        <v>-8.4</v>
      </c>
      <c r="I995" s="174" t="n">
        <v>-22.6</v>
      </c>
      <c r="J995" s="174" t="n">
        <v>-29.2</v>
      </c>
      <c r="K995" s="175" t="inlineStr">
        <is>
          <t>6608 BAIRONG-W</t>
        </is>
      </c>
    </row>
    <row r="996">
      <c r="A996" s="17" t="inlineStr">
        <is>
          <t>Deep Source Holdings Limited</t>
        </is>
      </c>
      <c r="B996" s="167" t="n">
        <v>1</v>
      </c>
      <c r="C996" s="173" t="n">
        <v>0</v>
      </c>
      <c r="D996" s="174" t="n">
        <v>-16</v>
      </c>
      <c r="E996" s="174" t="n">
        <v>-16.4</v>
      </c>
      <c r="F996" s="174" t="n">
        <v>-16.7</v>
      </c>
      <c r="G996" s="174" t="n">
        <v>8.300000000000001</v>
      </c>
      <c r="H996" s="174" t="n">
        <v>-0.5</v>
      </c>
      <c r="I996" s="174" t="n">
        <v>-0.8</v>
      </c>
      <c r="J996" s="174" t="n">
        <v>28.9</v>
      </c>
      <c r="K996" s="175" t="inlineStr">
        <is>
          <t>2715 ESTUN</t>
        </is>
      </c>
    </row>
    <row r="997">
      <c r="A997" s="17" t="inlineStr">
        <is>
          <t>Haitian Huayuan (Singapore) Pte. Ltd</t>
        </is>
      </c>
      <c r="B997" s="167" t="n">
        <v>1</v>
      </c>
      <c r="C997" s="173" t="n">
        <v>0</v>
      </c>
      <c r="D997" s="174" t="n">
        <v>-16</v>
      </c>
      <c r="E997" s="174" t="n">
        <v>-16.4</v>
      </c>
      <c r="F997" s="174" t="n">
        <v>-16.7</v>
      </c>
      <c r="G997" s="174" t="n">
        <v>8.300000000000001</v>
      </c>
      <c r="H997" s="174" t="n">
        <v>-0.5</v>
      </c>
      <c r="I997" s="174" t="n">
        <v>-0.8</v>
      </c>
      <c r="J997" s="174" t="n">
        <v>28.9</v>
      </c>
      <c r="K997" s="175" t="inlineStr">
        <is>
          <t>2715 ESTUN</t>
        </is>
      </c>
    </row>
    <row r="998">
      <c r="A998" s="17" t="inlineStr">
        <is>
          <t>Hengtong Optic-electric International Co., Limited</t>
        </is>
      </c>
      <c r="B998" s="167" t="n">
        <v>1</v>
      </c>
      <c r="C998" s="173" t="n">
        <v>0</v>
      </c>
      <c r="D998" s="174" t="n">
        <v>-16</v>
      </c>
      <c r="E998" s="174" t="n">
        <v>-16.4</v>
      </c>
      <c r="F998" s="174" t="n">
        <v>-16.7</v>
      </c>
      <c r="G998" s="174" t="n">
        <v>8.300000000000001</v>
      </c>
      <c r="H998" s="174" t="n">
        <v>-0.5</v>
      </c>
      <c r="I998" s="174" t="n">
        <v>-0.8</v>
      </c>
      <c r="J998" s="174" t="n">
        <v>28.9</v>
      </c>
      <c r="K998" s="175" t="inlineStr">
        <is>
          <t>2715 ESTUN</t>
        </is>
      </c>
    </row>
    <row r="999">
      <c r="A999" s="17" t="inlineStr">
        <is>
          <t>New Fortune Holdings Group Limited</t>
        </is>
      </c>
      <c r="B999" s="167" t="n">
        <v>1</v>
      </c>
      <c r="C999" s="173" t="n">
        <v>0</v>
      </c>
      <c r="D999" s="174" t="n">
        <v>-16</v>
      </c>
      <c r="E999" s="174" t="n">
        <v>-16.4</v>
      </c>
      <c r="F999" s="174" t="n">
        <v>-16.7</v>
      </c>
      <c r="G999" s="174" t="n">
        <v>8.300000000000001</v>
      </c>
      <c r="H999" s="174" t="n">
        <v>-0.5</v>
      </c>
      <c r="I999" s="174" t="n">
        <v>-0.8</v>
      </c>
      <c r="J999" s="174" t="n">
        <v>28.9</v>
      </c>
      <c r="K999" s="175" t="inlineStr">
        <is>
          <t>2715 ESTUN</t>
        </is>
      </c>
    </row>
    <row r="1000">
      <c r="A1000" s="17" t="inlineStr">
        <is>
          <t>CI Global Asset Management</t>
        </is>
      </c>
      <c r="B1000" s="167" t="n">
        <v>1</v>
      </c>
      <c r="C1000" s="173" t="n">
        <v>0</v>
      </c>
      <c r="D1000" s="174" t="n">
        <v>-16.5</v>
      </c>
      <c r="E1000" s="174" t="n">
        <v>-7.6</v>
      </c>
      <c r="F1000" s="174" t="n">
        <v>-9.6</v>
      </c>
      <c r="G1000" s="174" t="n">
        <v>-12.4</v>
      </c>
      <c r="H1000" s="174" t="n">
        <v>10.6</v>
      </c>
      <c r="I1000" s="174" t="n">
        <v>8.199999999999999</v>
      </c>
      <c r="J1000" s="174" t="n">
        <v>4.8</v>
      </c>
      <c r="K1000" s="175" t="inlineStr">
        <is>
          <t>2191 SF REIT</t>
        </is>
      </c>
    </row>
    <row r="1001">
      <c r="A1001" s="17" t="inlineStr">
        <is>
          <t>SINO-BLR Industrial Investment Fund, L.P</t>
        </is>
      </c>
      <c r="B1001" s="167" t="n">
        <v>1</v>
      </c>
      <c r="C1001" s="173" t="n">
        <v>0</v>
      </c>
      <c r="D1001" s="174" t="n">
        <v>-16.6</v>
      </c>
      <c r="E1001" s="174" t="n">
        <v>-19.2</v>
      </c>
      <c r="F1001" s="174" t="n">
        <v>-11.5</v>
      </c>
      <c r="G1001" s="174" t="n">
        <v>-35.1</v>
      </c>
      <c r="H1001" s="174" t="n">
        <v>-3.2</v>
      </c>
      <c r="I1001" s="174" t="n">
        <v>6</v>
      </c>
      <c r="J1001" s="174" t="n">
        <v>-22.2</v>
      </c>
      <c r="K1001" s="175" t="inlineStr">
        <is>
          <t>6680 JLMAG</t>
        </is>
      </c>
    </row>
    <row r="1002">
      <c r="A1002" s="17" t="inlineStr">
        <is>
          <t>HiTai</t>
        </is>
      </c>
      <c r="B1002" s="167" t="n">
        <v>1</v>
      </c>
      <c r="C1002" s="173" t="n">
        <v>0</v>
      </c>
      <c r="D1002" s="174" t="n">
        <v>-18.2</v>
      </c>
      <c r="E1002" s="174" t="n">
        <v>-33</v>
      </c>
      <c r="F1002" s="174" t="n">
        <v>-39.5</v>
      </c>
      <c r="G1002" s="174" t="n">
        <v>-41.8</v>
      </c>
      <c r="H1002" s="174" t="n">
        <v>-18.1</v>
      </c>
      <c r="I1002" s="174" t="n">
        <v>-26</v>
      </c>
      <c r="J1002" s="174" t="n">
        <v>-28.9</v>
      </c>
      <c r="K1002" s="175" t="inlineStr">
        <is>
          <t>2621 SHOUHUI GROUP</t>
        </is>
      </c>
    </row>
    <row r="1003">
      <c r="A1003" s="17" t="inlineStr">
        <is>
          <t>Lancang Green Resource Investment Co., Ltd</t>
        </is>
      </c>
      <c r="B1003" s="167" t="n">
        <v>1</v>
      </c>
      <c r="C1003" s="173" t="n">
        <v>0</v>
      </c>
      <c r="D1003" s="174" t="n">
        <v>-18.7</v>
      </c>
      <c r="E1003" s="174" t="n">
        <v>0</v>
      </c>
      <c r="F1003" s="174" t="n">
        <v>-14.8</v>
      </c>
      <c r="G1003" s="174" t="n">
        <v>2.8</v>
      </c>
      <c r="H1003" s="174" t="n">
        <v>23</v>
      </c>
      <c r="I1003" s="174" t="n">
        <v>4.8</v>
      </c>
      <c r="J1003" s="174" t="n">
        <v>26.4</v>
      </c>
      <c r="K1003" s="175" t="inlineStr">
        <is>
          <t>6911 LANCANG TEA</t>
        </is>
      </c>
    </row>
    <row r="1004">
      <c r="A1004" s="17" t="inlineStr">
        <is>
          <t>ROSY DAY INVESTMENTS LIMITED</t>
        </is>
      </c>
      <c r="B1004" s="167" t="n">
        <v>1</v>
      </c>
      <c r="C1004" s="173" t="n">
        <v>0</v>
      </c>
      <c r="D1004" s="174" t="n">
        <v>-18.7</v>
      </c>
      <c r="E1004" s="174" t="n">
        <v>0</v>
      </c>
      <c r="F1004" s="174" t="n">
        <v>-14.8</v>
      </c>
      <c r="G1004" s="174" t="n">
        <v>2.8</v>
      </c>
      <c r="H1004" s="174" t="n">
        <v>23</v>
      </c>
      <c r="I1004" s="174" t="n">
        <v>4.8</v>
      </c>
      <c r="J1004" s="174" t="n">
        <v>26.4</v>
      </c>
      <c r="K1004" s="175" t="inlineStr">
        <is>
          <t>6911 LANCANG TEA</t>
        </is>
      </c>
    </row>
    <row r="1005">
      <c r="A1005" s="17" t="inlineStr">
        <is>
          <t>Wang Chunyu</t>
        </is>
      </c>
      <c r="B1005" s="167" t="n">
        <v>1</v>
      </c>
      <c r="C1005" s="173" t="n">
        <v>0</v>
      </c>
      <c r="D1005" s="174" t="n">
        <v>-18.7</v>
      </c>
      <c r="E1005" s="174" t="n">
        <v>0</v>
      </c>
      <c r="F1005" s="174" t="n">
        <v>-14.8</v>
      </c>
      <c r="G1005" s="174" t="n">
        <v>2.8</v>
      </c>
      <c r="H1005" s="174" t="n">
        <v>23</v>
      </c>
      <c r="I1005" s="174" t="n">
        <v>4.8</v>
      </c>
      <c r="J1005" s="174" t="n">
        <v>26.4</v>
      </c>
      <c r="K1005" s="175" t="inlineStr">
        <is>
          <t>6911 LANCANG TEA</t>
        </is>
      </c>
    </row>
    <row r="1006">
      <c r="A1006" s="17" t="inlineStr">
        <is>
          <t>Beijing Yian Capital Management Co. Ltd</t>
        </is>
      </c>
      <c r="B1006" s="167" t="n">
        <v>1</v>
      </c>
      <c r="C1006" s="173" t="n">
        <v>0</v>
      </c>
      <c r="D1006" s="174" t="n">
        <v>-18.7</v>
      </c>
      <c r="E1006" s="174" t="n">
        <v>-13.2</v>
      </c>
      <c r="F1006" s="174" t="n">
        <v>-3.2</v>
      </c>
      <c r="G1006" s="174" t="n"/>
      <c r="H1006" s="174" t="n">
        <v>6.7</v>
      </c>
      <c r="I1006" s="174" t="n">
        <v>19.1</v>
      </c>
      <c r="J1006" s="174" t="n"/>
      <c r="K1006" s="175" t="inlineStr">
        <is>
          <t>6745 BEFAR GROUP</t>
        </is>
      </c>
    </row>
    <row r="1007">
      <c r="A1007" s="17" t="inlineStr">
        <is>
          <t>Hyperion Venture Capital Partners Limited</t>
        </is>
      </c>
      <c r="B1007" s="167" t="n">
        <v>1</v>
      </c>
      <c r="C1007" s="173" t="n">
        <v>0</v>
      </c>
      <c r="D1007" s="174" t="n">
        <v>-18.7</v>
      </c>
      <c r="E1007" s="174" t="n">
        <v>-13.2</v>
      </c>
      <c r="F1007" s="174" t="n">
        <v>-3.2</v>
      </c>
      <c r="G1007" s="174" t="n"/>
      <c r="H1007" s="174" t="n">
        <v>6.7</v>
      </c>
      <c r="I1007" s="174" t="n">
        <v>19.1</v>
      </c>
      <c r="J1007" s="174" t="n"/>
      <c r="K1007" s="175" t="inlineStr">
        <is>
          <t>6745 BEFAR GROUP</t>
        </is>
      </c>
    </row>
    <row r="1008">
      <c r="A1008" s="17" t="inlineStr">
        <is>
          <t>Luhua Daosheng Group Co., Ltd</t>
        </is>
      </c>
      <c r="B1008" s="167" t="n">
        <v>1</v>
      </c>
      <c r="C1008" s="173" t="n">
        <v>0</v>
      </c>
      <c r="D1008" s="174" t="n">
        <v>-18.7</v>
      </c>
      <c r="E1008" s="174" t="n">
        <v>-13.2</v>
      </c>
      <c r="F1008" s="174" t="n">
        <v>-3.2</v>
      </c>
      <c r="G1008" s="174" t="n"/>
      <c r="H1008" s="174" t="n">
        <v>6.7</v>
      </c>
      <c r="I1008" s="174" t="n">
        <v>19.1</v>
      </c>
      <c r="J1008" s="174" t="n"/>
      <c r="K1008" s="175" t="inlineStr">
        <is>
          <t>6745 BEFAR GROUP</t>
        </is>
      </c>
    </row>
    <row r="1009">
      <c r="A1009" s="17" t="inlineStr">
        <is>
          <t>Safewell Equipment Limited</t>
        </is>
      </c>
      <c r="B1009" s="167" t="n">
        <v>1</v>
      </c>
      <c r="C1009" s="173" t="n">
        <v>0</v>
      </c>
      <c r="D1009" s="174" t="n">
        <v>-18.7</v>
      </c>
      <c r="E1009" s="174" t="n">
        <v>-13.2</v>
      </c>
      <c r="F1009" s="174" t="n">
        <v>-3.2</v>
      </c>
      <c r="G1009" s="174" t="n"/>
      <c r="H1009" s="174" t="n">
        <v>6.7</v>
      </c>
      <c r="I1009" s="174" t="n">
        <v>19.1</v>
      </c>
      <c r="J1009" s="174" t="n"/>
      <c r="K1009" s="175" t="inlineStr">
        <is>
          <t>6745 BEFAR GROUP</t>
        </is>
      </c>
    </row>
    <row r="1010">
      <c r="A1010" s="17" t="inlineStr">
        <is>
          <t>Tianto Technology Limited</t>
        </is>
      </c>
      <c r="B1010" s="167" t="n">
        <v>1</v>
      </c>
      <c r="C1010" s="173" t="n">
        <v>0</v>
      </c>
      <c r="D1010" s="174" t="n">
        <v>-18.7</v>
      </c>
      <c r="E1010" s="174" t="n">
        <v>-13.2</v>
      </c>
      <c r="F1010" s="174" t="n">
        <v>-3.2</v>
      </c>
      <c r="G1010" s="174" t="n"/>
      <c r="H1010" s="174" t="n">
        <v>6.7</v>
      </c>
      <c r="I1010" s="174" t="n">
        <v>19.1</v>
      </c>
      <c r="J1010" s="174" t="n"/>
      <c r="K1010" s="175" t="inlineStr">
        <is>
          <t>6745 BEFAR GROUP</t>
        </is>
      </c>
    </row>
    <row r="1011">
      <c r="A1011" s="17" t="inlineStr">
        <is>
          <t>Emerging Markets Healthcare Partners LLC</t>
        </is>
      </c>
      <c r="B1011" s="167" t="n">
        <v>1</v>
      </c>
      <c r="C1011" s="173" t="n">
        <v>0</v>
      </c>
      <c r="D1011" s="174" t="n">
        <v>-19.8</v>
      </c>
      <c r="E1011" s="174" t="n">
        <v>-27.8</v>
      </c>
      <c r="F1011" s="174" t="n">
        <v>-39.6</v>
      </c>
      <c r="G1011" s="174" t="n">
        <v>-56.7</v>
      </c>
      <c r="H1011" s="174" t="n">
        <v>-10</v>
      </c>
      <c r="I1011" s="174" t="n">
        <v>-24.7</v>
      </c>
      <c r="J1011" s="174" t="n">
        <v>-46.1</v>
      </c>
      <c r="K1011" s="175" t="inlineStr">
        <is>
          <t>2216 BRONCUS-B</t>
        </is>
      </c>
    </row>
    <row r="1012">
      <c r="A1012" s="17" t="inlineStr">
        <is>
          <t>Summer Healthcare Fund, L.P</t>
        </is>
      </c>
      <c r="B1012" s="167" t="n">
        <v>1</v>
      </c>
      <c r="C1012" s="173" t="n">
        <v>0</v>
      </c>
      <c r="D1012" s="174" t="n">
        <v>-19.8</v>
      </c>
      <c r="E1012" s="174" t="n">
        <v>-27.8</v>
      </c>
      <c r="F1012" s="174" t="n">
        <v>-39.6</v>
      </c>
      <c r="G1012" s="174" t="n">
        <v>-56.7</v>
      </c>
      <c r="H1012" s="174" t="n">
        <v>-10</v>
      </c>
      <c r="I1012" s="174" t="n">
        <v>-24.7</v>
      </c>
      <c r="J1012" s="174" t="n">
        <v>-46.1</v>
      </c>
      <c r="K1012" s="175" t="inlineStr">
        <is>
          <t>2216 BRONCUS-B</t>
        </is>
      </c>
    </row>
    <row r="1013">
      <c r="A1013" s="17" t="inlineStr">
        <is>
          <t>Danube Bridge Shipping Limited</t>
        </is>
      </c>
      <c r="B1013" s="167" t="n">
        <v>1</v>
      </c>
      <c r="C1013" s="173" t="n">
        <v>0</v>
      </c>
      <c r="D1013" s="174" t="n">
        <v>-21.1</v>
      </c>
      <c r="E1013" s="174" t="n">
        <v>-7.7</v>
      </c>
      <c r="F1013" s="174" t="n">
        <v>-13.8</v>
      </c>
      <c r="G1013" s="174" t="n">
        <v>-5.8</v>
      </c>
      <c r="H1013" s="174" t="n">
        <v>17.1</v>
      </c>
      <c r="I1013" s="174" t="n">
        <v>9.300000000000001</v>
      </c>
      <c r="J1013" s="174" t="n">
        <v>19.4</v>
      </c>
      <c r="K1013" s="175" t="inlineStr">
        <is>
          <t>2409 SEACON</t>
        </is>
      </c>
    </row>
    <row r="1014">
      <c r="A1014" s="17" t="inlineStr">
        <is>
          <t>Guodian Shipping (Hong Kong) Company Limited</t>
        </is>
      </c>
      <c r="B1014" s="167" t="n">
        <v>1</v>
      </c>
      <c r="C1014" s="173" t="n">
        <v>0</v>
      </c>
      <c r="D1014" s="174" t="n">
        <v>-21.1</v>
      </c>
      <c r="E1014" s="174" t="n">
        <v>-7.7</v>
      </c>
      <c r="F1014" s="174" t="n">
        <v>-13.8</v>
      </c>
      <c r="G1014" s="174" t="n">
        <v>-5.8</v>
      </c>
      <c r="H1014" s="174" t="n">
        <v>17.1</v>
      </c>
      <c r="I1014" s="174" t="n">
        <v>9.300000000000001</v>
      </c>
      <c r="J1014" s="174" t="n">
        <v>19.4</v>
      </c>
      <c r="K1014" s="175" t="inlineStr">
        <is>
          <t>2409 SEACON</t>
        </is>
      </c>
    </row>
    <row r="1015">
      <c r="A1015" s="17" t="inlineStr">
        <is>
          <t>BYD Company Limited –</t>
        </is>
      </c>
      <c r="B1015" s="167" t="n">
        <v>1</v>
      </c>
      <c r="C1015" s="173" t="n">
        <v>0</v>
      </c>
      <c r="D1015" s="174" t="n">
        <v>-23</v>
      </c>
      <c r="E1015" s="174" t="n">
        <v>-21.5</v>
      </c>
      <c r="F1015" s="174" t="n">
        <v>-35.4</v>
      </c>
      <c r="G1015" s="174" t="n">
        <v>-36.2</v>
      </c>
      <c r="H1015" s="174" t="n">
        <v>1.9</v>
      </c>
      <c r="I1015" s="174" t="n">
        <v>-16.2</v>
      </c>
      <c r="J1015" s="174" t="n">
        <v>-17.2</v>
      </c>
      <c r="K1015" s="175" t="inlineStr">
        <is>
          <t>9609 HAIWEI ELEC</t>
        </is>
      </c>
    </row>
    <row r="1016">
      <c r="A1016" s="17" t="inlineStr">
        <is>
          <t>Kobayashi Pharmaceutical Co., Ltd</t>
        </is>
      </c>
      <c r="B1016" s="167" t="n">
        <v>1</v>
      </c>
      <c r="C1016" s="173" t="n">
        <v>0</v>
      </c>
      <c r="D1016" s="174" t="n">
        <v>-23.8</v>
      </c>
      <c r="E1016" s="174" t="n">
        <v>-29.1</v>
      </c>
      <c r="F1016" s="174" t="n">
        <v>-50.4</v>
      </c>
      <c r="G1016" s="174" t="n">
        <v>-57</v>
      </c>
      <c r="H1016" s="174" t="n">
        <v>-7</v>
      </c>
      <c r="I1016" s="174" t="n">
        <v>-35</v>
      </c>
      <c r="J1016" s="174" t="n">
        <v>-43.6</v>
      </c>
      <c r="K1016" s="175" t="inlineStr">
        <is>
          <t>2177 UNQ HOLDINGS</t>
        </is>
      </c>
    </row>
    <row r="1017">
      <c r="A1017" s="17" t="inlineStr">
        <is>
          <t>Unicharm Corporation</t>
        </is>
      </c>
      <c r="B1017" s="167" t="n">
        <v>1</v>
      </c>
      <c r="C1017" s="173" t="n">
        <v>0</v>
      </c>
      <c r="D1017" s="174" t="n">
        <v>-23.8</v>
      </c>
      <c r="E1017" s="174" t="n">
        <v>-29.1</v>
      </c>
      <c r="F1017" s="174" t="n">
        <v>-50.4</v>
      </c>
      <c r="G1017" s="174" t="n">
        <v>-57</v>
      </c>
      <c r="H1017" s="174" t="n">
        <v>-7</v>
      </c>
      <c r="I1017" s="174" t="n">
        <v>-35</v>
      </c>
      <c r="J1017" s="174" t="n">
        <v>-43.6</v>
      </c>
      <c r="K1017" s="175" t="inlineStr">
        <is>
          <t>2177 UNQ HOLDINGS</t>
        </is>
      </c>
    </row>
    <row r="1018">
      <c r="A1018" s="17" t="inlineStr">
        <is>
          <t>Shenzhen Futian Guiding Fund Investment Co., Ltd</t>
        </is>
      </c>
      <c r="B1018" s="167" t="n">
        <v>1</v>
      </c>
      <c r="C1018" s="173" t="n">
        <v>0</v>
      </c>
      <c r="D1018" s="174" t="n">
        <v>-24.9</v>
      </c>
      <c r="E1018" s="174" t="n">
        <v>-38.5</v>
      </c>
      <c r="F1018" s="174" t="n">
        <v>-13.8</v>
      </c>
      <c r="G1018" s="174" t="n">
        <v>-20.1</v>
      </c>
      <c r="H1018" s="174" t="n">
        <v>-18</v>
      </c>
      <c r="I1018" s="174" t="n">
        <v>14.7</v>
      </c>
      <c r="J1018" s="174" t="n">
        <v>6.3</v>
      </c>
      <c r="K1018" s="175" t="inlineStr">
        <is>
          <t>1973 TIAN TU CAPITAL</t>
        </is>
      </c>
    </row>
    <row r="1019">
      <c r="A1019" s="17" t="inlineStr">
        <is>
          <t>SVF II Zeal</t>
        </is>
      </c>
      <c r="B1019" s="167" t="n">
        <v>1</v>
      </c>
      <c r="C1019" s="173" t="n">
        <v>0</v>
      </c>
      <c r="D1019" s="174" t="n">
        <v>-25.5</v>
      </c>
      <c r="E1019" s="174" t="n">
        <v>-34.4</v>
      </c>
      <c r="F1019" s="174" t="n">
        <v>-46.8</v>
      </c>
      <c r="G1019" s="174" t="n">
        <v>-24.1</v>
      </c>
      <c r="H1019" s="174" t="n">
        <v>-11.9</v>
      </c>
      <c r="I1019" s="174" t="n">
        <v>-28.6</v>
      </c>
      <c r="J1019" s="174" t="n">
        <v>1.8</v>
      </c>
      <c r="K1019" s="175" t="inlineStr">
        <is>
          <t>2121 AINNOVATION</t>
        </is>
      </c>
    </row>
    <row r="1020">
      <c r="A1020" s="17" t="inlineStr">
        <is>
          <t>Jinan Huaiyin Urban Construction Investment Group Co., Ltd</t>
        </is>
      </c>
      <c r="B1020" s="167" t="n">
        <v>1</v>
      </c>
      <c r="C1020" s="173" t="n">
        <v>0</v>
      </c>
      <c r="D1020" s="174" t="n">
        <v>-25.9</v>
      </c>
      <c r="E1020" s="174" t="n">
        <v>-23.5</v>
      </c>
      <c r="F1020" s="174" t="n">
        <v>-25.9</v>
      </c>
      <c r="G1020" s="174" t="n">
        <v>-20</v>
      </c>
      <c r="H1020" s="174" t="n">
        <v>3.2</v>
      </c>
      <c r="I1020" s="174" t="n">
        <v>0</v>
      </c>
      <c r="J1020" s="174" t="n">
        <v>7.9</v>
      </c>
      <c r="K1020" s="175" t="inlineStr">
        <is>
          <t>2455 RUNHUA SERVICE</t>
        </is>
      </c>
    </row>
    <row r="1021">
      <c r="A1021" s="17" t="inlineStr">
        <is>
          <t>Yizekangrui</t>
        </is>
      </c>
      <c r="B1021" s="167" t="n">
        <v>1</v>
      </c>
      <c r="C1021" s="173" t="n">
        <v>0</v>
      </c>
      <c r="D1021" s="174" t="n">
        <v>-25.9</v>
      </c>
      <c r="E1021" s="174" t="n">
        <v>-37.8</v>
      </c>
      <c r="F1021" s="174" t="n">
        <v>-42.3</v>
      </c>
      <c r="G1021" s="174" t="n">
        <v>118</v>
      </c>
      <c r="H1021" s="174" t="n">
        <v>-16.1</v>
      </c>
      <c r="I1021" s="174" t="n">
        <v>-22.1</v>
      </c>
      <c r="J1021" s="174" t="n">
        <v>194.1</v>
      </c>
      <c r="K1021" s="175" t="inlineStr">
        <is>
          <t>2565 PEGBIO CO-B</t>
        </is>
      </c>
    </row>
    <row r="1022">
      <c r="A1022" s="17" t="inlineStr">
        <is>
          <t>Unlisted Shares in issue</t>
        </is>
      </c>
      <c r="B1022" s="167" t="n">
        <v>1</v>
      </c>
      <c r="C1022" s="173" t="n">
        <v>0</v>
      </c>
      <c r="D1022" s="174" t="n">
        <v>-25.9</v>
      </c>
      <c r="E1022" s="174" t="n">
        <v>-37.8</v>
      </c>
      <c r="F1022" s="174" t="n">
        <v>-42.3</v>
      </c>
      <c r="G1022" s="174" t="n">
        <v>118</v>
      </c>
      <c r="H1022" s="174" t="n">
        <v>-16.1</v>
      </c>
      <c r="I1022" s="174" t="n">
        <v>-22.1</v>
      </c>
      <c r="J1022" s="174" t="n">
        <v>194.1</v>
      </c>
      <c r="K1022" s="175" t="inlineStr">
        <is>
          <t>2565 PEGBIO CO-B</t>
        </is>
      </c>
    </row>
    <row r="1023">
      <c r="A1023" s="17" t="inlineStr">
        <is>
          <t>H Share to be converted from Unlisted Shares</t>
        </is>
      </c>
      <c r="B1023" s="167" t="n">
        <v>1</v>
      </c>
      <c r="C1023" s="173" t="n">
        <v>0</v>
      </c>
      <c r="D1023" s="174" t="n">
        <v>-25.9</v>
      </c>
      <c r="E1023" s="174" t="n">
        <v>-37.8</v>
      </c>
      <c r="F1023" s="174" t="n">
        <v>-42.3</v>
      </c>
      <c r="G1023" s="174" t="n">
        <v>118</v>
      </c>
      <c r="H1023" s="174" t="n">
        <v>-16.1</v>
      </c>
      <c r="I1023" s="174" t="n">
        <v>-22.1</v>
      </c>
      <c r="J1023" s="174" t="n">
        <v>194.1</v>
      </c>
      <c r="K1023" s="175" t="inlineStr">
        <is>
          <t>2565 PEGBIO CO-B</t>
        </is>
      </c>
    </row>
    <row r="1024">
      <c r="A1024" s="17" t="inlineStr">
        <is>
          <t>Daguan International Limited</t>
        </is>
      </c>
      <c r="B1024" s="167" t="n">
        <v>1</v>
      </c>
      <c r="C1024" s="173" t="n">
        <v>0</v>
      </c>
      <c r="D1024" s="174" t="n">
        <v>-26.1</v>
      </c>
      <c r="E1024" s="174" t="n">
        <v>-26.9</v>
      </c>
      <c r="F1024" s="174" t="n">
        <v>-37.9</v>
      </c>
      <c r="G1024" s="174" t="n">
        <v>-41</v>
      </c>
      <c r="H1024" s="174" t="n">
        <v>-1.1</v>
      </c>
      <c r="I1024" s="174" t="n">
        <v>-16</v>
      </c>
      <c r="J1024" s="174" t="n">
        <v>-20.2</v>
      </c>
      <c r="K1024" s="175" t="inlineStr">
        <is>
          <t>6669 ACOTEC-B</t>
        </is>
      </c>
    </row>
    <row r="1025">
      <c r="A1025" s="17" t="inlineStr">
        <is>
          <t>New Journey Hospital Group Ltd</t>
        </is>
      </c>
      <c r="B1025" s="167" t="n">
        <v>1</v>
      </c>
      <c r="C1025" s="173" t="n">
        <v>0</v>
      </c>
      <c r="D1025" s="174" t="n">
        <v>-26.1</v>
      </c>
      <c r="E1025" s="174" t="n">
        <v>-26.9</v>
      </c>
      <c r="F1025" s="174" t="n">
        <v>-37.9</v>
      </c>
      <c r="G1025" s="174" t="n">
        <v>-41</v>
      </c>
      <c r="H1025" s="174" t="n">
        <v>-1.1</v>
      </c>
      <c r="I1025" s="174" t="n">
        <v>-16</v>
      </c>
      <c r="J1025" s="174" t="n">
        <v>-20.2</v>
      </c>
      <c r="K1025" s="175" t="inlineStr">
        <is>
          <t>6669 ACOTEC-B</t>
        </is>
      </c>
    </row>
    <row r="1026">
      <c r="A1026" s="17" t="inlineStr">
        <is>
          <t>PRIMEONE LUCK LIMITED</t>
        </is>
      </c>
      <c r="B1026" s="167" t="n">
        <v>1</v>
      </c>
      <c r="C1026" s="173" t="n">
        <v>0</v>
      </c>
      <c r="D1026" s="174" t="n">
        <v>-26.1</v>
      </c>
      <c r="E1026" s="174" t="n">
        <v>-26.9</v>
      </c>
      <c r="F1026" s="174" t="n">
        <v>-37.9</v>
      </c>
      <c r="G1026" s="174" t="n">
        <v>-41</v>
      </c>
      <c r="H1026" s="174" t="n">
        <v>-1.1</v>
      </c>
      <c r="I1026" s="174" t="n">
        <v>-16</v>
      </c>
      <c r="J1026" s="174" t="n">
        <v>-20.2</v>
      </c>
      <c r="K1026" s="175" t="inlineStr">
        <is>
          <t>6669 ACOTEC-B</t>
        </is>
      </c>
    </row>
    <row r="1027">
      <c r="A1027" s="17" t="inlineStr">
        <is>
          <t>Belinda A. Termeer</t>
        </is>
      </c>
      <c r="B1027" s="167" t="n">
        <v>1</v>
      </c>
      <c r="C1027" s="173" t="n">
        <v>0</v>
      </c>
      <c r="D1027" s="174" t="n">
        <v>-26.9</v>
      </c>
      <c r="E1027" s="174" t="n">
        <v>-30.1</v>
      </c>
      <c r="F1027" s="174" t="n">
        <v>-32.8</v>
      </c>
      <c r="G1027" s="174" t="n">
        <v>-64.40000000000001</v>
      </c>
      <c r="H1027" s="174" t="n">
        <v>-4.4</v>
      </c>
      <c r="I1027" s="174" t="n">
        <v>-8.1</v>
      </c>
      <c r="J1027" s="174" t="n">
        <v>-51.2</v>
      </c>
      <c r="K1027" s="175" t="inlineStr">
        <is>
          <t>1228 CANBRIDGE-B</t>
        </is>
      </c>
    </row>
    <row r="1028">
      <c r="A1028" s="17" t="inlineStr">
        <is>
          <t>RA Capital Healthcare Fund, L.P</t>
        </is>
      </c>
      <c r="B1028" s="167" t="n">
        <v>1</v>
      </c>
      <c r="C1028" s="173" t="n">
        <v>0</v>
      </c>
      <c r="D1028" s="174" t="n">
        <v>-26.9</v>
      </c>
      <c r="E1028" s="174" t="n">
        <v>-30.1</v>
      </c>
      <c r="F1028" s="174" t="n">
        <v>-32.8</v>
      </c>
      <c r="G1028" s="174" t="n">
        <v>-64.40000000000001</v>
      </c>
      <c r="H1028" s="174" t="n">
        <v>-4.4</v>
      </c>
      <c r="I1028" s="174" t="n">
        <v>-8.1</v>
      </c>
      <c r="J1028" s="174" t="n">
        <v>-51.2</v>
      </c>
      <c r="K1028" s="175" t="inlineStr">
        <is>
          <t>1228 CANBRIDGE-B</t>
        </is>
      </c>
    </row>
    <row r="1029">
      <c r="A1029" s="17" t="inlineStr">
        <is>
          <t>Gardex Development Limited</t>
        </is>
      </c>
      <c r="B1029" s="167" t="n">
        <v>1</v>
      </c>
      <c r="C1029" s="173" t="n">
        <v>0</v>
      </c>
      <c r="D1029" s="174" t="n">
        <v>-27</v>
      </c>
      <c r="E1029" s="174" t="n">
        <v>-28</v>
      </c>
      <c r="F1029" s="174" t="n">
        <v>-23.6</v>
      </c>
      <c r="G1029" s="174" t="n">
        <v>-7.7</v>
      </c>
      <c r="H1029" s="174" t="n">
        <v>-1.5</v>
      </c>
      <c r="I1029" s="174" t="n">
        <v>4.6</v>
      </c>
      <c r="J1029" s="174" t="n">
        <v>26.4</v>
      </c>
      <c r="K1029" s="175" t="inlineStr">
        <is>
          <t>2533 BLACK SESAME</t>
        </is>
      </c>
    </row>
    <row r="1030">
      <c r="A1030" s="17" t="inlineStr">
        <is>
          <t>Joyson Electronic USA LLC</t>
        </is>
      </c>
      <c r="B1030" s="167" t="n">
        <v>1</v>
      </c>
      <c r="C1030" s="173" t="n">
        <v>0</v>
      </c>
      <c r="D1030" s="174" t="n">
        <v>-27</v>
      </c>
      <c r="E1030" s="174" t="n">
        <v>-28</v>
      </c>
      <c r="F1030" s="174" t="n">
        <v>-23.6</v>
      </c>
      <c r="G1030" s="174" t="n">
        <v>-7.7</v>
      </c>
      <c r="H1030" s="174" t="n">
        <v>-1.5</v>
      </c>
      <c r="I1030" s="174" t="n">
        <v>4.6</v>
      </c>
      <c r="J1030" s="174" t="n">
        <v>26.4</v>
      </c>
      <c r="K1030" s="175" t="inlineStr">
        <is>
          <t>2533 BLACK SESAME</t>
        </is>
      </c>
    </row>
    <row r="1031">
      <c r="A1031" s="17" t="inlineStr">
        <is>
          <t>ATNT Group Management Limited</t>
        </is>
      </c>
      <c r="B1031" s="167" t="n">
        <v>1</v>
      </c>
      <c r="C1031" s="173" t="n">
        <v>0</v>
      </c>
      <c r="D1031" s="174" t="n">
        <v>-27.1</v>
      </c>
      <c r="E1031" s="174" t="n">
        <v>-34.1</v>
      </c>
      <c r="F1031" s="174" t="n">
        <v>-41.2</v>
      </c>
      <c r="G1031" s="174" t="n">
        <v>-54.1</v>
      </c>
      <c r="H1031" s="174" t="n">
        <v>-9.699999999999999</v>
      </c>
      <c r="I1031" s="174" t="n">
        <v>-19.4</v>
      </c>
      <c r="J1031" s="174" t="n">
        <v>-37.1</v>
      </c>
      <c r="K1031" s="175" t="inlineStr">
        <is>
          <t>2350 MTT GROUP</t>
        </is>
      </c>
    </row>
    <row r="1032">
      <c r="A1032" s="17" t="inlineStr">
        <is>
          <t>EC InfoTech Limited</t>
        </is>
      </c>
      <c r="B1032" s="167" t="n">
        <v>1</v>
      </c>
      <c r="C1032" s="173" t="n">
        <v>0</v>
      </c>
      <c r="D1032" s="174" t="n">
        <v>-27.1</v>
      </c>
      <c r="E1032" s="174" t="n">
        <v>-34.1</v>
      </c>
      <c r="F1032" s="174" t="n">
        <v>-41.2</v>
      </c>
      <c r="G1032" s="174" t="n">
        <v>-54.1</v>
      </c>
      <c r="H1032" s="174" t="n">
        <v>-9.699999999999999</v>
      </c>
      <c r="I1032" s="174" t="n">
        <v>-19.4</v>
      </c>
      <c r="J1032" s="174" t="n">
        <v>-37.1</v>
      </c>
      <c r="K1032" s="175" t="inlineStr">
        <is>
          <t>2350 MTT GROUP</t>
        </is>
      </c>
    </row>
    <row r="1033">
      <c r="A1033" s="17" t="inlineStr">
        <is>
          <t>Mr. Hung Kwong Yee</t>
        </is>
      </c>
      <c r="B1033" s="167" t="n">
        <v>1</v>
      </c>
      <c r="C1033" s="173" t="n">
        <v>0</v>
      </c>
      <c r="D1033" s="174" t="n">
        <v>-27.1</v>
      </c>
      <c r="E1033" s="174" t="n">
        <v>-34.1</v>
      </c>
      <c r="F1033" s="174" t="n">
        <v>-41.2</v>
      </c>
      <c r="G1033" s="174" t="n">
        <v>-54.1</v>
      </c>
      <c r="H1033" s="174" t="n">
        <v>-9.699999999999999</v>
      </c>
      <c r="I1033" s="174" t="n">
        <v>-19.4</v>
      </c>
      <c r="J1033" s="174" t="n">
        <v>-37.1</v>
      </c>
      <c r="K1033" s="175" t="inlineStr">
        <is>
          <t>2350 MTT GROUP</t>
        </is>
      </c>
    </row>
    <row r="1034">
      <c r="A1034" s="17" t="inlineStr">
        <is>
          <t>Genesis M Co., Limited</t>
        </is>
      </c>
      <c r="B1034" s="167" t="n">
        <v>1</v>
      </c>
      <c r="C1034" s="173" t="n">
        <v>0</v>
      </c>
      <c r="D1034" s="174" t="n">
        <v>-27.5</v>
      </c>
      <c r="E1034" s="174" t="n">
        <v>-20.8</v>
      </c>
      <c r="F1034" s="174" t="n">
        <v>-28.3</v>
      </c>
      <c r="G1034" s="174" t="n">
        <v>-37.5</v>
      </c>
      <c r="H1034" s="174" t="n">
        <v>9.199999999999999</v>
      </c>
      <c r="I1034" s="174" t="n">
        <v>-1.1</v>
      </c>
      <c r="J1034" s="174" t="n">
        <v>-13.8</v>
      </c>
      <c r="K1034" s="175" t="inlineStr">
        <is>
          <t>2502 JINYUAN HCHEM</t>
        </is>
      </c>
    </row>
    <row r="1035">
      <c r="A1035" s="17" t="inlineStr">
        <is>
          <t>Max Success Group Holdings Limited</t>
        </is>
      </c>
      <c r="B1035" s="167" t="n">
        <v>1</v>
      </c>
      <c r="C1035" s="173" t="n">
        <v>0</v>
      </c>
      <c r="D1035" s="174" t="n">
        <v>-27.5</v>
      </c>
      <c r="E1035" s="174" t="n">
        <v>-20.8</v>
      </c>
      <c r="F1035" s="174" t="n">
        <v>-28.3</v>
      </c>
      <c r="G1035" s="174" t="n">
        <v>-37.5</v>
      </c>
      <c r="H1035" s="174" t="n">
        <v>9.199999999999999</v>
      </c>
      <c r="I1035" s="174" t="n">
        <v>-1.1</v>
      </c>
      <c r="J1035" s="174" t="n">
        <v>-13.8</v>
      </c>
      <c r="K1035" s="175" t="inlineStr">
        <is>
          <t>2502 JINYUAN HCHEM</t>
        </is>
      </c>
    </row>
    <row r="1036">
      <c r="A1036" s="17" t="inlineStr">
        <is>
          <t>Prosperity Steel United Singapore Pte. Ltd</t>
        </is>
      </c>
      <c r="B1036" s="167" t="n">
        <v>1</v>
      </c>
      <c r="C1036" s="173" t="n">
        <v>0</v>
      </c>
      <c r="D1036" s="174" t="n">
        <v>-27.5</v>
      </c>
      <c r="E1036" s="174" t="n">
        <v>-20.8</v>
      </c>
      <c r="F1036" s="174" t="n">
        <v>-28.3</v>
      </c>
      <c r="G1036" s="174" t="n">
        <v>-37.5</v>
      </c>
      <c r="H1036" s="174" t="n">
        <v>9.199999999999999</v>
      </c>
      <c r="I1036" s="174" t="n">
        <v>-1.1</v>
      </c>
      <c r="J1036" s="174" t="n">
        <v>-13.8</v>
      </c>
      <c r="K1036" s="175" t="inlineStr">
        <is>
          <t>2502 JINYUAN HCHEM</t>
        </is>
      </c>
    </row>
    <row r="1037">
      <c r="A1037" s="17" t="inlineStr">
        <is>
          <t>Zhongsheng Holdings Company Limited</t>
        </is>
      </c>
      <c r="B1037" s="167" t="n">
        <v>1</v>
      </c>
      <c r="C1037" s="173" t="n">
        <v>0</v>
      </c>
      <c r="D1037" s="174" t="n">
        <v>-27.5</v>
      </c>
      <c r="E1037" s="174" t="n">
        <v>-20.8</v>
      </c>
      <c r="F1037" s="174" t="n">
        <v>-28.3</v>
      </c>
      <c r="G1037" s="174" t="n">
        <v>-37.5</v>
      </c>
      <c r="H1037" s="174" t="n">
        <v>9.199999999999999</v>
      </c>
      <c r="I1037" s="174" t="n">
        <v>-1.1</v>
      </c>
      <c r="J1037" s="174" t="n">
        <v>-13.8</v>
      </c>
      <c r="K1037" s="175" t="inlineStr">
        <is>
          <t>2502 JINYUAN HCHEM</t>
        </is>
      </c>
    </row>
    <row r="1038">
      <c r="A1038" s="17" t="inlineStr">
        <is>
          <t>Qingcong Capital</t>
        </is>
      </c>
      <c r="B1038" s="167" t="n">
        <v>1</v>
      </c>
      <c r="C1038" s="173" t="n">
        <v>0</v>
      </c>
      <c r="D1038" s="174" t="n">
        <v>-27.8</v>
      </c>
      <c r="E1038" s="174" t="n">
        <v>-28.7</v>
      </c>
      <c r="F1038" s="174" t="n">
        <v>-37.2</v>
      </c>
      <c r="G1038" s="174" t="n">
        <v>-33.7</v>
      </c>
      <c r="H1038" s="174" t="n">
        <v>-1.2</v>
      </c>
      <c r="I1038" s="174" t="n">
        <v>-13</v>
      </c>
      <c r="J1038" s="174" t="n">
        <v>-8.1</v>
      </c>
      <c r="K1038" s="175" t="inlineStr">
        <is>
          <t>2408 XIAO NOODLES</t>
        </is>
      </c>
    </row>
    <row r="1039">
      <c r="A1039" s="17" t="inlineStr">
        <is>
          <t>Mr. Gao Defu</t>
        </is>
      </c>
      <c r="B1039" s="167" t="n">
        <v>1</v>
      </c>
      <c r="C1039" s="173" t="n">
        <v>0</v>
      </c>
      <c r="D1039" s="174" t="n">
        <v>-27.8</v>
      </c>
      <c r="E1039" s="174" t="n">
        <v>-28.7</v>
      </c>
      <c r="F1039" s="174" t="n">
        <v>-37.2</v>
      </c>
      <c r="G1039" s="174" t="n">
        <v>-33.7</v>
      </c>
      <c r="H1039" s="174" t="n">
        <v>-1.2</v>
      </c>
      <c r="I1039" s="174" t="n">
        <v>-13</v>
      </c>
      <c r="J1039" s="174" t="n">
        <v>-8.1</v>
      </c>
      <c r="K1039" s="175" t="inlineStr">
        <is>
          <t>2408 XIAO NOODLES</t>
        </is>
      </c>
    </row>
    <row r="1040">
      <c r="A1040" s="17" t="inlineStr">
        <is>
          <t>Hong Kong Shengying Investment Limited</t>
        </is>
      </c>
      <c r="B1040" s="167" t="n">
        <v>1</v>
      </c>
      <c r="C1040" s="173" t="n">
        <v>0</v>
      </c>
      <c r="D1040" s="174" t="n">
        <v>-27.8</v>
      </c>
      <c r="E1040" s="174" t="n">
        <v>-28.7</v>
      </c>
      <c r="F1040" s="174" t="n">
        <v>-37.2</v>
      </c>
      <c r="G1040" s="174" t="n">
        <v>-33.7</v>
      </c>
      <c r="H1040" s="174" t="n">
        <v>-1.2</v>
      </c>
      <c r="I1040" s="174" t="n">
        <v>-13</v>
      </c>
      <c r="J1040" s="174" t="n">
        <v>-8.1</v>
      </c>
      <c r="K1040" s="175" t="inlineStr">
        <is>
          <t>2408 XIAO NOODLES</t>
        </is>
      </c>
    </row>
    <row r="1041">
      <c r="A1041" s="17" t="inlineStr">
        <is>
          <t>Hai Di Lao Holdings Pte. Ltd</t>
        </is>
      </c>
      <c r="B1041" s="167" t="n">
        <v>1</v>
      </c>
      <c r="C1041" s="173" t="n">
        <v>0</v>
      </c>
      <c r="D1041" s="174" t="n">
        <v>-27.8</v>
      </c>
      <c r="E1041" s="174" t="n">
        <v>-28.7</v>
      </c>
      <c r="F1041" s="174" t="n">
        <v>-37.2</v>
      </c>
      <c r="G1041" s="174" t="n">
        <v>-33.7</v>
      </c>
      <c r="H1041" s="174" t="n">
        <v>-1.2</v>
      </c>
      <c r="I1041" s="174" t="n">
        <v>-13</v>
      </c>
      <c r="J1041" s="174" t="n">
        <v>-8.1</v>
      </c>
      <c r="K1041" s="175" t="inlineStr">
        <is>
          <t>2408 XIAO NOODLES</t>
        </is>
      </c>
    </row>
    <row r="1042">
      <c r="A1042" s="17" t="inlineStr">
        <is>
          <t>Pusheng Fund</t>
        </is>
      </c>
      <c r="B1042" s="167" t="n">
        <v>1</v>
      </c>
      <c r="C1042" s="173" t="n">
        <v>0</v>
      </c>
      <c r="D1042" s="174" t="n">
        <v>-27.8</v>
      </c>
      <c r="E1042" s="174" t="n">
        <v>-28.7</v>
      </c>
      <c r="F1042" s="174" t="n">
        <v>-37.2</v>
      </c>
      <c r="G1042" s="174" t="n">
        <v>-33.7</v>
      </c>
      <c r="H1042" s="174" t="n">
        <v>-1.2</v>
      </c>
      <c r="I1042" s="174" t="n">
        <v>-13</v>
      </c>
      <c r="J1042" s="174" t="n">
        <v>-8.1</v>
      </c>
      <c r="K1042" s="175" t="inlineStr">
        <is>
          <t>2408 XIAO NOODLES</t>
        </is>
      </c>
    </row>
    <row r="1043">
      <c r="A1043" s="17" t="inlineStr">
        <is>
          <t>HK Dongbin Joint Victory Development Co. Limited</t>
        </is>
      </c>
      <c r="B1043" s="167" t="n">
        <v>1</v>
      </c>
      <c r="C1043" s="173" t="n">
        <v>0</v>
      </c>
      <c r="D1043" s="174" t="n">
        <v>-29</v>
      </c>
      <c r="E1043" s="174" t="n">
        <v>-41.4</v>
      </c>
      <c r="F1043" s="174" t="n">
        <v>-44.7</v>
      </c>
      <c r="G1043" s="174" t="n">
        <v>-37</v>
      </c>
      <c r="H1043" s="174" t="n">
        <v>-17.4</v>
      </c>
      <c r="I1043" s="174" t="n">
        <v>-22.1</v>
      </c>
      <c r="J1043" s="174" t="n">
        <v>-11.2</v>
      </c>
      <c r="K1043" s="175" t="inlineStr">
        <is>
          <t>9930 HORIZON CD</t>
        </is>
      </c>
    </row>
    <row r="1044">
      <c r="A1044" s="17" t="inlineStr">
        <is>
          <t>LGMG International Limited</t>
        </is>
      </c>
      <c r="B1044" s="167" t="n">
        <v>1</v>
      </c>
      <c r="C1044" s="173" t="n">
        <v>0</v>
      </c>
      <c r="D1044" s="174" t="n">
        <v>-29</v>
      </c>
      <c r="E1044" s="174" t="n">
        <v>-41.4</v>
      </c>
      <c r="F1044" s="174" t="n">
        <v>-44.7</v>
      </c>
      <c r="G1044" s="174" t="n">
        <v>-37</v>
      </c>
      <c r="H1044" s="174" t="n">
        <v>-17.4</v>
      </c>
      <c r="I1044" s="174" t="n">
        <v>-22.1</v>
      </c>
      <c r="J1044" s="174" t="n">
        <v>-11.2</v>
      </c>
      <c r="K1044" s="175" t="inlineStr">
        <is>
          <t>9930 HORIZON CD</t>
        </is>
      </c>
    </row>
    <row r="1045">
      <c r="A1045" s="17" t="inlineStr">
        <is>
          <t>Shanghai Gold Ring Enterprise Group Co., Ltd</t>
        </is>
      </c>
      <c r="B1045" s="167" t="n">
        <v>1</v>
      </c>
      <c r="C1045" s="173" t="n">
        <v>0</v>
      </c>
      <c r="D1045" s="174" t="n">
        <v>-29</v>
      </c>
      <c r="E1045" s="174" t="n">
        <v>-41.4</v>
      </c>
      <c r="F1045" s="174" t="n">
        <v>-44.7</v>
      </c>
      <c r="G1045" s="174" t="n">
        <v>-37</v>
      </c>
      <c r="H1045" s="174" t="n">
        <v>-17.4</v>
      </c>
      <c r="I1045" s="174" t="n">
        <v>-22.1</v>
      </c>
      <c r="J1045" s="174" t="n">
        <v>-11.2</v>
      </c>
      <c r="K1045" s="175" t="inlineStr">
        <is>
          <t>9930 HORIZON CD</t>
        </is>
      </c>
    </row>
    <row r="1046">
      <c r="A1046" s="17" t="inlineStr">
        <is>
          <t>Shanghai Putuo Science and Technology Investment Co., Ltd</t>
        </is>
      </c>
      <c r="B1046" s="167" t="n">
        <v>1</v>
      </c>
      <c r="C1046" s="173" t="n">
        <v>0</v>
      </c>
      <c r="D1046" s="174" t="n">
        <v>-29</v>
      </c>
      <c r="E1046" s="174" t="n">
        <v>-41.4</v>
      </c>
      <c r="F1046" s="174" t="n">
        <v>-44.7</v>
      </c>
      <c r="G1046" s="174" t="n">
        <v>-37</v>
      </c>
      <c r="H1046" s="174" t="n">
        <v>-17.4</v>
      </c>
      <c r="I1046" s="174" t="n">
        <v>-22.1</v>
      </c>
      <c r="J1046" s="174" t="n">
        <v>-11.2</v>
      </c>
      <c r="K1046" s="175" t="inlineStr">
        <is>
          <t>9930 HORIZON CD</t>
        </is>
      </c>
    </row>
    <row r="1047">
      <c r="A1047" s="17" t="inlineStr">
        <is>
          <t>Xinheng Holding Limited</t>
        </is>
      </c>
      <c r="B1047" s="167" t="n">
        <v>1</v>
      </c>
      <c r="C1047" s="173" t="n">
        <v>0</v>
      </c>
      <c r="D1047" s="174" t="n">
        <v>-29</v>
      </c>
      <c r="E1047" s="174" t="n">
        <v>-41.4</v>
      </c>
      <c r="F1047" s="174" t="n">
        <v>-44.7</v>
      </c>
      <c r="G1047" s="174" t="n">
        <v>-37</v>
      </c>
      <c r="H1047" s="174" t="n">
        <v>-17.4</v>
      </c>
      <c r="I1047" s="174" t="n">
        <v>-22.1</v>
      </c>
      <c r="J1047" s="174" t="n">
        <v>-11.2</v>
      </c>
      <c r="K1047" s="175" t="inlineStr">
        <is>
          <t>9930 HORIZON CD</t>
        </is>
      </c>
    </row>
    <row r="1048">
      <c r="A1048" s="17" t="inlineStr">
        <is>
          <t>Tenancy Co., Limited</t>
        </is>
      </c>
      <c r="B1048" s="167" t="n">
        <v>1</v>
      </c>
      <c r="C1048" s="173" t="n">
        <v>0</v>
      </c>
      <c r="D1048" s="174" t="n">
        <v>-29.3</v>
      </c>
      <c r="E1048" s="174" t="n">
        <v>-30</v>
      </c>
      <c r="F1048" s="174" t="n">
        <v>-23.3</v>
      </c>
      <c r="G1048" s="174" t="n">
        <v>-16</v>
      </c>
      <c r="H1048" s="174" t="n">
        <v>-0.9</v>
      </c>
      <c r="I1048" s="174" t="n">
        <v>8.5</v>
      </c>
      <c r="J1048" s="174" t="n">
        <v>18.9</v>
      </c>
      <c r="K1048" s="175" t="inlineStr">
        <is>
          <t>2187 ZHIXIN GP HLDG</t>
        </is>
      </c>
    </row>
    <row r="1049">
      <c r="A1049" s="17" t="inlineStr">
        <is>
          <t>Wang Miao</t>
        </is>
      </c>
      <c r="B1049" s="167" t="n">
        <v>1</v>
      </c>
      <c r="C1049" s="173" t="n">
        <v>0</v>
      </c>
      <c r="D1049" s="174" t="n">
        <v>-29.3</v>
      </c>
      <c r="E1049" s="174" t="n">
        <v>-30</v>
      </c>
      <c r="F1049" s="174" t="n">
        <v>-23.3</v>
      </c>
      <c r="G1049" s="174" t="n">
        <v>-16</v>
      </c>
      <c r="H1049" s="174" t="n">
        <v>-0.9</v>
      </c>
      <c r="I1049" s="174" t="n">
        <v>8.5</v>
      </c>
      <c r="J1049" s="174" t="n">
        <v>18.9</v>
      </c>
      <c r="K1049" s="175" t="inlineStr">
        <is>
          <t>2187 ZHIXIN GP HLDG</t>
        </is>
      </c>
    </row>
    <row r="1050">
      <c r="A1050" s="17" t="inlineStr">
        <is>
          <t>Mr. Mao Xiangyu</t>
        </is>
      </c>
      <c r="B1050" s="167" t="n">
        <v>1</v>
      </c>
      <c r="C1050" s="173" t="n">
        <v>0</v>
      </c>
      <c r="D1050" s="174" t="n">
        <v>-30.2</v>
      </c>
      <c r="E1050" s="174" t="n">
        <v>-21.7</v>
      </c>
      <c r="F1050" s="174" t="n">
        <v>-17.8</v>
      </c>
      <c r="G1050" s="174" t="n">
        <v>-17.9</v>
      </c>
      <c r="H1050" s="174" t="n">
        <v>12.1</v>
      </c>
      <c r="I1050" s="174" t="n">
        <v>17.7</v>
      </c>
      <c r="J1050" s="174" t="n">
        <v>17.5</v>
      </c>
      <c r="K1050" s="175" t="inlineStr">
        <is>
          <t>2658 TIANYU SEMI</t>
        </is>
      </c>
    </row>
    <row r="1051">
      <c r="A1051" s="17" t="inlineStr">
        <is>
          <t>Kwok Tai East International Group Limited</t>
        </is>
      </c>
      <c r="B1051" s="167" t="n">
        <v>1</v>
      </c>
      <c r="C1051" s="173" t="n">
        <v>0</v>
      </c>
      <c r="D1051" s="174" t="n">
        <v>-33.5</v>
      </c>
      <c r="E1051" s="174" t="n">
        <v>-48.3</v>
      </c>
      <c r="F1051" s="174" t="n">
        <v>-62.2</v>
      </c>
      <c r="G1051" s="174" t="n">
        <v>-37.1</v>
      </c>
      <c r="H1051" s="174" t="n">
        <v>-22.2</v>
      </c>
      <c r="I1051" s="174" t="n">
        <v>-43.1</v>
      </c>
      <c r="J1051" s="174" t="n">
        <v>-5.3</v>
      </c>
      <c r="K1051" s="175" t="inlineStr">
        <is>
          <t>9863 LEAPMOTOR</t>
        </is>
      </c>
    </row>
    <row r="1052">
      <c r="A1052" s="17" t="inlineStr">
        <is>
          <t>ZhongBaoNew materials. Ltd</t>
        </is>
      </c>
      <c r="B1052" s="167" t="n">
        <v>1</v>
      </c>
      <c r="C1052" s="173" t="n">
        <v>0</v>
      </c>
      <c r="D1052" s="174" t="n">
        <v>-35.2</v>
      </c>
      <c r="E1052" s="174" t="n">
        <v>-36.2</v>
      </c>
      <c r="F1052" s="174" t="n">
        <v>-39</v>
      </c>
      <c r="G1052" s="174" t="n">
        <v>-50.5</v>
      </c>
      <c r="H1052" s="174" t="n">
        <v>-1.5</v>
      </c>
      <c r="I1052" s="174" t="n">
        <v>-5.9</v>
      </c>
      <c r="J1052" s="174" t="n">
        <v>-23.5</v>
      </c>
      <c r="K1052" s="175" t="inlineStr">
        <is>
          <t>2439 CH TREASURES NM</t>
        </is>
      </c>
    </row>
    <row r="1053">
      <c r="A1053" s="17" t="inlineStr">
        <is>
          <t>Jiu Rong Holdings Limited</t>
        </is>
      </c>
      <c r="B1053" s="167" t="n">
        <v>1</v>
      </c>
      <c r="C1053" s="173" t="n">
        <v>0</v>
      </c>
      <c r="D1053" s="174" t="n">
        <v>-36</v>
      </c>
      <c r="E1053" s="174" t="n">
        <v>-48</v>
      </c>
      <c r="F1053" s="174" t="n">
        <v>-50.4</v>
      </c>
      <c r="G1053" s="174" t="n">
        <v>-52.4</v>
      </c>
      <c r="H1053" s="174" t="n">
        <v>-18.8</v>
      </c>
      <c r="I1053" s="174" t="n">
        <v>-22.5</v>
      </c>
      <c r="J1053" s="174" t="n">
        <v>-25.6</v>
      </c>
      <c r="K1053" s="175" t="inlineStr">
        <is>
          <t>9608 SUNDY SERVICE</t>
        </is>
      </c>
    </row>
    <row r="1054">
      <c r="A1054" s="17" t="inlineStr">
        <is>
          <t>Yingke No.1 (Hongkong) Limited</t>
        </is>
      </c>
      <c r="B1054" s="167" t="n">
        <v>1</v>
      </c>
      <c r="C1054" s="173" t="n">
        <v>0</v>
      </c>
      <c r="D1054" s="174" t="n">
        <v>-36.9</v>
      </c>
      <c r="E1054" s="174" t="n">
        <v>1.8</v>
      </c>
      <c r="F1054" s="174" t="n">
        <v>94.09999999999999</v>
      </c>
      <c r="G1054" s="174" t="n">
        <v>149.1</v>
      </c>
      <c r="H1054" s="174" t="n">
        <v>61.4</v>
      </c>
      <c r="I1054" s="174" t="n">
        <v>207.7</v>
      </c>
      <c r="J1054" s="174" t="n">
        <v>294.9</v>
      </c>
      <c r="K1054" s="175" t="inlineStr">
        <is>
          <t>2632 NEW VISION CO</t>
        </is>
      </c>
    </row>
    <row r="1055">
      <c r="A1055" s="17" t="inlineStr">
        <is>
          <t>Purple Diamond Ltd</t>
        </is>
      </c>
      <c r="B1055" s="167" t="n">
        <v>1</v>
      </c>
      <c r="C1055" s="173" t="n">
        <v>0</v>
      </c>
      <c r="D1055" s="174" t="n">
        <v>-37.4</v>
      </c>
      <c r="E1055" s="174" t="n">
        <v>-44.3</v>
      </c>
      <c r="F1055" s="174" t="n">
        <v>-45.1</v>
      </c>
      <c r="G1055" s="174" t="n"/>
      <c r="H1055" s="174" t="n">
        <v>-11.1</v>
      </c>
      <c r="I1055" s="174" t="n">
        <v>-12.3</v>
      </c>
      <c r="J1055" s="174" t="n"/>
      <c r="K1055" s="175" t="inlineStr">
        <is>
          <t>0537 RIGOL</t>
        </is>
      </c>
    </row>
    <row r="1056">
      <c r="A1056" s="17" t="inlineStr">
        <is>
          <t>Heda Jinyuan (HK)</t>
        </is>
      </c>
      <c r="B1056" s="167" t="n">
        <v>1</v>
      </c>
      <c r="C1056" s="173" t="n">
        <v>0</v>
      </c>
      <c r="D1056" s="174" t="n">
        <v>-38.4</v>
      </c>
      <c r="E1056" s="174" t="n">
        <v>-35.4</v>
      </c>
      <c r="F1056" s="174" t="n">
        <v>-46.9</v>
      </c>
      <c r="G1056" s="174" t="n">
        <v>-47.4</v>
      </c>
      <c r="H1056" s="174" t="n">
        <v>5</v>
      </c>
      <c r="I1056" s="174" t="n">
        <v>-13.7</v>
      </c>
      <c r="J1056" s="174" t="n">
        <v>-14.6</v>
      </c>
      <c r="K1056" s="175" t="inlineStr">
        <is>
          <t>2566 JIUYUAN GENE</t>
        </is>
      </c>
    </row>
    <row r="1057">
      <c r="A1057" s="17" t="inlineStr">
        <is>
          <t>Delta Capital Hong Kong</t>
        </is>
      </c>
      <c r="B1057" s="167" t="n">
        <v>1</v>
      </c>
      <c r="C1057" s="173" t="n">
        <v>0</v>
      </c>
      <c r="D1057" s="174" t="n">
        <v>-38.4</v>
      </c>
      <c r="E1057" s="174" t="n">
        <v>-35.4</v>
      </c>
      <c r="F1057" s="174" t="n">
        <v>-46.9</v>
      </c>
      <c r="G1057" s="174" t="n">
        <v>-47.4</v>
      </c>
      <c r="H1057" s="174" t="n">
        <v>5</v>
      </c>
      <c r="I1057" s="174" t="n">
        <v>-13.7</v>
      </c>
      <c r="J1057" s="174" t="n">
        <v>-14.6</v>
      </c>
      <c r="K1057" s="175" t="inlineStr">
        <is>
          <t>2566 JIUYUAN GENE</t>
        </is>
      </c>
    </row>
    <row r="1058">
      <c r="A1058" s="17" t="inlineStr">
        <is>
          <t>Offering WSH</t>
        </is>
      </c>
      <c r="B1058" s="167" t="n">
        <v>1</v>
      </c>
      <c r="C1058" s="173" t="n">
        <v>0</v>
      </c>
      <c r="D1058" s="174" t="n">
        <v>-38.6</v>
      </c>
      <c r="E1058" s="174" t="n">
        <v>-42.6</v>
      </c>
      <c r="F1058" s="174" t="n">
        <v>-49.5</v>
      </c>
      <c r="G1058" s="174" t="n">
        <v>-55.4</v>
      </c>
      <c r="H1058" s="174" t="n">
        <v>-6.5</v>
      </c>
      <c r="I1058" s="174" t="n">
        <v>-17.7</v>
      </c>
      <c r="J1058" s="174" t="n">
        <v>-27.3</v>
      </c>
      <c r="K1058" s="175" t="inlineStr">
        <is>
          <t>2592 CLOUDBREAK-B</t>
        </is>
      </c>
    </row>
    <row r="1059">
      <c r="A1059" s="17" t="inlineStr">
        <is>
          <t>AIRPORT TECHNOLOGY CAPITAL (HONG KONG) CO., LIMITED</t>
        </is>
      </c>
      <c r="B1059" s="167" t="n">
        <v>1</v>
      </c>
      <c r="C1059" s="173" t="n">
        <v>0</v>
      </c>
      <c r="D1059" s="174" t="n">
        <v>-39.1</v>
      </c>
      <c r="E1059" s="174" t="n">
        <v>-44.7</v>
      </c>
      <c r="F1059" s="174" t="n">
        <v>-49.1</v>
      </c>
      <c r="G1059" s="174" t="n"/>
      <c r="H1059" s="174" t="n">
        <v>-9.300000000000001</v>
      </c>
      <c r="I1059" s="174" t="n">
        <v>-16.4</v>
      </c>
      <c r="J1059" s="174" t="n"/>
      <c r="K1059" s="175" t="inlineStr">
        <is>
          <t>2667 TONGRENTANGCARE</t>
        </is>
      </c>
    </row>
    <row r="1060">
      <c r="A1060" s="17" t="inlineStr">
        <is>
          <t>Ms. Dou</t>
        </is>
      </c>
      <c r="B1060" s="167" t="n">
        <v>1</v>
      </c>
      <c r="C1060" s="173" t="n">
        <v>0</v>
      </c>
      <c r="D1060" s="174" t="n">
        <v>-39.2</v>
      </c>
      <c r="E1060" s="174" t="n">
        <v>-39.2</v>
      </c>
      <c r="F1060" s="174" t="n">
        <v>-50</v>
      </c>
      <c r="G1060" s="174" t="n">
        <v>-52.4</v>
      </c>
      <c r="H1060" s="174" t="n">
        <v>0</v>
      </c>
      <c r="I1060" s="174" t="n">
        <v>-17.8</v>
      </c>
      <c r="J1060" s="174" t="n">
        <v>-21.7</v>
      </c>
      <c r="K1060" s="175" t="inlineStr">
        <is>
          <t>2515 TJCD</t>
        </is>
      </c>
    </row>
    <row r="1061">
      <c r="A1061" s="17" t="inlineStr">
        <is>
          <t>Arda (HK) Investment Co., Limited</t>
        </is>
      </c>
      <c r="B1061" s="167" t="n">
        <v>1</v>
      </c>
      <c r="C1061" s="173" t="n">
        <v>0</v>
      </c>
      <c r="D1061" s="174" t="n">
        <v>-40</v>
      </c>
      <c r="E1061" s="174" t="n">
        <v>-25</v>
      </c>
      <c r="F1061" s="174" t="n">
        <v>-15</v>
      </c>
      <c r="G1061" s="174" t="n">
        <v>-31</v>
      </c>
      <c r="H1061" s="174" t="n">
        <v>25</v>
      </c>
      <c r="I1061" s="174" t="n">
        <v>41.7</v>
      </c>
      <c r="J1061" s="174" t="n">
        <v>15</v>
      </c>
      <c r="K1061" s="175" t="inlineStr">
        <is>
          <t>2457 BUYANG INTL</t>
        </is>
      </c>
    </row>
    <row r="1062">
      <c r="A1062" s="17" t="inlineStr">
        <is>
          <t>INFO EXPERT SERVICES LIMITED</t>
        </is>
      </c>
      <c r="B1062" s="167" t="n">
        <v>1</v>
      </c>
      <c r="C1062" s="173" t="n">
        <v>0</v>
      </c>
      <c r="D1062" s="174" t="n">
        <v>-42.9</v>
      </c>
      <c r="E1062" s="174" t="n">
        <v>-51.3</v>
      </c>
      <c r="F1062" s="174" t="n">
        <v>-66.40000000000001</v>
      </c>
      <c r="G1062" s="174" t="n">
        <v>-70.2</v>
      </c>
      <c r="H1062" s="174" t="n">
        <v>-14.7</v>
      </c>
      <c r="I1062" s="174" t="n">
        <v>-41.2</v>
      </c>
      <c r="J1062" s="174" t="n">
        <v>-47.8</v>
      </c>
      <c r="K1062" s="175" t="inlineStr">
        <is>
          <t>9686 NEUSOFT XIKANG</t>
        </is>
      </c>
    </row>
    <row r="1063">
      <c r="A1063" s="17" t="inlineStr">
        <is>
          <t>YStem Holding Limited</t>
        </is>
      </c>
      <c r="B1063" s="167" t="n">
        <v>1</v>
      </c>
      <c r="C1063" s="173" t="n">
        <v>0</v>
      </c>
      <c r="D1063" s="174" t="n">
        <v>-46.2</v>
      </c>
      <c r="E1063" s="174" t="n">
        <v>-46.7</v>
      </c>
      <c r="F1063" s="174" t="n">
        <v>-47</v>
      </c>
      <c r="G1063" s="174" t="n">
        <v>-3.5</v>
      </c>
      <c r="H1063" s="174" t="n">
        <v>-0.8</v>
      </c>
      <c r="I1063" s="174" t="n">
        <v>-1.3</v>
      </c>
      <c r="J1063" s="174" t="n">
        <v>79.5</v>
      </c>
      <c r="K1063" s="175" t="inlineStr">
        <is>
          <t>3378 HANXBIO-B</t>
        </is>
      </c>
    </row>
    <row r="1064">
      <c r="A1064" s="17" t="inlineStr">
        <is>
          <t>Awaken Thunder Capital Limited</t>
        </is>
      </c>
      <c r="B1064" s="167" t="n">
        <v>1</v>
      </c>
      <c r="C1064" s="173" t="n">
        <v>0</v>
      </c>
      <c r="D1064" s="174" t="n">
        <v>-46.2</v>
      </c>
      <c r="E1064" s="174" t="n">
        <v>-46.7</v>
      </c>
      <c r="F1064" s="174" t="n">
        <v>-47</v>
      </c>
      <c r="G1064" s="174" t="n">
        <v>-3.5</v>
      </c>
      <c r="H1064" s="174" t="n">
        <v>-0.8</v>
      </c>
      <c r="I1064" s="174" t="n">
        <v>-1.3</v>
      </c>
      <c r="J1064" s="174" t="n">
        <v>79.5</v>
      </c>
      <c r="K1064" s="175" t="inlineStr">
        <is>
          <t>3378 HANXBIO-B</t>
        </is>
      </c>
    </row>
    <row r="1065">
      <c r="A1065" s="17" t="inlineStr">
        <is>
          <t>Betta Pharmaceuticals Co., Ltd</t>
        </is>
      </c>
      <c r="B1065" s="167" t="n">
        <v>1</v>
      </c>
      <c r="C1065" s="173" t="n">
        <v>0</v>
      </c>
      <c r="D1065" s="174" t="n">
        <v>-46.2</v>
      </c>
      <c r="E1065" s="174" t="n">
        <v>-46.7</v>
      </c>
      <c r="F1065" s="174" t="n">
        <v>-47</v>
      </c>
      <c r="G1065" s="174" t="n">
        <v>-3.5</v>
      </c>
      <c r="H1065" s="174" t="n">
        <v>-0.8</v>
      </c>
      <c r="I1065" s="174" t="n">
        <v>-1.3</v>
      </c>
      <c r="J1065" s="174" t="n">
        <v>79.5</v>
      </c>
      <c r="K1065" s="175" t="inlineStr">
        <is>
          <t>3378 HANXBIO-B</t>
        </is>
      </c>
    </row>
    <row r="1066">
      <c r="A1066" s="17" t="inlineStr">
        <is>
          <t>Lapam Capital HK Co., Limited</t>
        </is>
      </c>
      <c r="B1066" s="167" t="n">
        <v>1</v>
      </c>
      <c r="C1066" s="173" t="n">
        <v>0</v>
      </c>
      <c r="D1066" s="174" t="n">
        <v>-46.2</v>
      </c>
      <c r="E1066" s="174" t="n">
        <v>-46.7</v>
      </c>
      <c r="F1066" s="174" t="n">
        <v>-47</v>
      </c>
      <c r="G1066" s="174" t="n">
        <v>-3.5</v>
      </c>
      <c r="H1066" s="174" t="n">
        <v>-0.8</v>
      </c>
      <c r="I1066" s="174" t="n">
        <v>-1.3</v>
      </c>
      <c r="J1066" s="174" t="n">
        <v>79.5</v>
      </c>
      <c r="K1066" s="175" t="inlineStr">
        <is>
          <t>3378 HANXBIO-B</t>
        </is>
      </c>
    </row>
    <row r="1067">
      <c r="A1067" s="17" t="inlineStr">
        <is>
          <t>Xiao Jieyu</t>
        </is>
      </c>
      <c r="B1067" s="167" t="n">
        <v>1</v>
      </c>
      <c r="C1067" s="173" t="n">
        <v>0</v>
      </c>
      <c r="D1067" s="174" t="n">
        <v>-46.2</v>
      </c>
      <c r="E1067" s="174" t="n">
        <v>-46.7</v>
      </c>
      <c r="F1067" s="174" t="n">
        <v>-47</v>
      </c>
      <c r="G1067" s="174" t="n">
        <v>-3.5</v>
      </c>
      <c r="H1067" s="174" t="n">
        <v>-0.8</v>
      </c>
      <c r="I1067" s="174" t="n">
        <v>-1.3</v>
      </c>
      <c r="J1067" s="174" t="n">
        <v>79.5</v>
      </c>
      <c r="K1067" s="175" t="inlineStr">
        <is>
          <t>3378 HANXBIO-B</t>
        </is>
      </c>
    </row>
    <row r="1068">
      <c r="A1068" s="17" t="inlineStr">
        <is>
          <t>Liao Tong</t>
        </is>
      </c>
      <c r="B1068" s="167" t="n">
        <v>1</v>
      </c>
      <c r="C1068" s="173" t="n">
        <v>0</v>
      </c>
      <c r="D1068" s="174" t="n">
        <v>-46.2</v>
      </c>
      <c r="E1068" s="174" t="n">
        <v>-46.7</v>
      </c>
      <c r="F1068" s="174" t="n">
        <v>-47</v>
      </c>
      <c r="G1068" s="174" t="n">
        <v>-3.5</v>
      </c>
      <c r="H1068" s="174" t="n">
        <v>-0.8</v>
      </c>
      <c r="I1068" s="174" t="n">
        <v>-1.3</v>
      </c>
      <c r="J1068" s="174" t="n">
        <v>79.5</v>
      </c>
      <c r="K1068" s="175" t="inlineStr">
        <is>
          <t>3378 HANXBIO-B</t>
        </is>
      </c>
    </row>
    <row r="1069">
      <c r="A1069" s="17" t="inlineStr">
        <is>
          <t>Anhui Shengchang</t>
        </is>
      </c>
      <c r="B1069" s="167" t="n">
        <v>1</v>
      </c>
      <c r="C1069" s="173" t="n">
        <v>0</v>
      </c>
      <c r="D1069" s="174" t="n">
        <v>-47.7</v>
      </c>
      <c r="E1069" s="174" t="n">
        <v>-51.7</v>
      </c>
      <c r="F1069" s="174" t="n">
        <v>-54.7</v>
      </c>
      <c r="G1069" s="174" t="n">
        <v>-41.3</v>
      </c>
      <c r="H1069" s="174" t="n">
        <v>-7.6</v>
      </c>
      <c r="I1069" s="174" t="n">
        <v>-13.4</v>
      </c>
      <c r="J1069" s="174" t="n">
        <v>12.1</v>
      </c>
      <c r="K1069" s="175" t="inlineStr">
        <is>
          <t>2560 CONCH MAT TECH</t>
        </is>
      </c>
    </row>
    <row r="1070">
      <c r="A1070" s="17" t="inlineStr">
        <is>
          <t>Wuhu Artec</t>
        </is>
      </c>
      <c r="B1070" s="167" t="n">
        <v>1</v>
      </c>
      <c r="C1070" s="173" t="n">
        <v>0</v>
      </c>
      <c r="D1070" s="174" t="n">
        <v>-47.7</v>
      </c>
      <c r="E1070" s="174" t="n">
        <v>-51.7</v>
      </c>
      <c r="F1070" s="174" t="n">
        <v>-54.7</v>
      </c>
      <c r="G1070" s="174" t="n">
        <v>-41.3</v>
      </c>
      <c r="H1070" s="174" t="n">
        <v>-7.6</v>
      </c>
      <c r="I1070" s="174" t="n">
        <v>-13.4</v>
      </c>
      <c r="J1070" s="174" t="n">
        <v>12.1</v>
      </c>
      <c r="K1070" s="175" t="inlineStr">
        <is>
          <t>2560 CONCH MAT TECH</t>
        </is>
      </c>
    </row>
    <row r="1071">
      <c r="A1071" s="17" t="inlineStr">
        <is>
          <t>Guangdong Zongxing</t>
        </is>
      </c>
      <c r="B1071" s="167" t="n">
        <v>1</v>
      </c>
      <c r="C1071" s="173" t="n">
        <v>0</v>
      </c>
      <c r="D1071" s="174" t="n">
        <v>-47.7</v>
      </c>
      <c r="E1071" s="174" t="n">
        <v>-51.7</v>
      </c>
      <c r="F1071" s="174" t="n">
        <v>-54.7</v>
      </c>
      <c r="G1071" s="174" t="n">
        <v>-41.3</v>
      </c>
      <c r="H1071" s="174" t="n">
        <v>-7.6</v>
      </c>
      <c r="I1071" s="174" t="n">
        <v>-13.4</v>
      </c>
      <c r="J1071" s="174" t="n">
        <v>12.1</v>
      </c>
      <c r="K1071" s="175" t="inlineStr">
        <is>
          <t>2560 CONCH MAT TECH</t>
        </is>
      </c>
    </row>
    <row r="1072">
      <c r="A1072" s="17" t="inlineStr">
        <is>
          <t>Shenzhen Gaodeng</t>
        </is>
      </c>
      <c r="B1072" s="167" t="n">
        <v>1</v>
      </c>
      <c r="C1072" s="173" t="n">
        <v>0</v>
      </c>
      <c r="D1072" s="174" t="n">
        <v>-47.7</v>
      </c>
      <c r="E1072" s="174" t="n">
        <v>-51.7</v>
      </c>
      <c r="F1072" s="174" t="n">
        <v>-54.7</v>
      </c>
      <c r="G1072" s="174" t="n">
        <v>-41.3</v>
      </c>
      <c r="H1072" s="174" t="n">
        <v>-7.6</v>
      </c>
      <c r="I1072" s="174" t="n">
        <v>-13.4</v>
      </c>
      <c r="J1072" s="174" t="n">
        <v>12.1</v>
      </c>
      <c r="K1072" s="175" t="inlineStr">
        <is>
          <t>2560 CONCH MAT TECH</t>
        </is>
      </c>
    </row>
    <row r="1073">
      <c r="A1073" s="17" t="inlineStr">
        <is>
          <t>Jiantou International (Hong Kong) Co., Limited</t>
        </is>
      </c>
      <c r="B1073" s="167" t="n">
        <v>1</v>
      </c>
      <c r="C1073" s="173" t="n">
        <v>0</v>
      </c>
      <c r="D1073" s="174" t="n">
        <v>-49.2</v>
      </c>
      <c r="E1073" s="174" t="n">
        <v>-53.2</v>
      </c>
      <c r="F1073" s="174" t="n">
        <v>-62.3</v>
      </c>
      <c r="G1073" s="174" t="n">
        <v>-74.8</v>
      </c>
      <c r="H1073" s="174" t="n">
        <v>-7.9</v>
      </c>
      <c r="I1073" s="174" t="n">
        <v>-25.8</v>
      </c>
      <c r="J1073" s="174" t="n">
        <v>-50.5</v>
      </c>
      <c r="K1073" s="175" t="inlineStr">
        <is>
          <t>0664 TONGSHIFU</t>
        </is>
      </c>
    </row>
    <row r="1074">
      <c r="A1074" s="17" t="inlineStr">
        <is>
          <t>Heron Neutron Medical</t>
        </is>
      </c>
      <c r="B1074" s="167" t="n">
        <v>1</v>
      </c>
      <c r="C1074" s="173" t="n">
        <v>0</v>
      </c>
      <c r="D1074" s="174" t="n">
        <v>-49.5</v>
      </c>
      <c r="E1074" s="174" t="n">
        <v>-56</v>
      </c>
      <c r="F1074" s="174" t="n">
        <v>-56.2</v>
      </c>
      <c r="G1074" s="174" t="n">
        <v>-63.1</v>
      </c>
      <c r="H1074" s="174" t="n">
        <v>-12.9</v>
      </c>
      <c r="I1074" s="174" t="n">
        <v>-13.4</v>
      </c>
      <c r="J1074" s="174" t="n">
        <v>-26.9</v>
      </c>
      <c r="K1074" s="175" t="inlineStr">
        <is>
          <t>2581 BENQ HOLDING</t>
        </is>
      </c>
    </row>
    <row r="1075">
      <c r="A1075" s="17" t="inlineStr">
        <is>
          <t>Cowealth (China)</t>
        </is>
      </c>
      <c r="B1075" s="167" t="n">
        <v>1</v>
      </c>
      <c r="C1075" s="173" t="n">
        <v>0</v>
      </c>
      <c r="D1075" s="174" t="n">
        <v>-49.5</v>
      </c>
      <c r="E1075" s="174" t="n">
        <v>-56</v>
      </c>
      <c r="F1075" s="174" t="n">
        <v>-56.2</v>
      </c>
      <c r="G1075" s="174" t="n">
        <v>-63.1</v>
      </c>
      <c r="H1075" s="174" t="n">
        <v>-12.9</v>
      </c>
      <c r="I1075" s="174" t="n">
        <v>-13.4</v>
      </c>
      <c r="J1075" s="174" t="n">
        <v>-26.9</v>
      </c>
      <c r="K1075" s="175" t="inlineStr">
        <is>
          <t>2581 BENQ HOLDING</t>
        </is>
      </c>
    </row>
    <row r="1076">
      <c r="A1076" s="17" t="inlineStr">
        <is>
          <t>DFI Development Holdings Limited</t>
        </is>
      </c>
      <c r="B1076" s="167" t="n">
        <v>1</v>
      </c>
      <c r="C1076" s="173" t="n">
        <v>0</v>
      </c>
      <c r="D1076" s="174" t="n">
        <v>-54.3</v>
      </c>
      <c r="E1076" s="174" t="n">
        <v>-79.2</v>
      </c>
      <c r="F1076" s="174" t="n">
        <v>-80.2</v>
      </c>
      <c r="G1076" s="174" t="n">
        <v>-57</v>
      </c>
      <c r="H1076" s="174" t="n">
        <v>-54.4</v>
      </c>
      <c r="I1076" s="174" t="n">
        <v>-56.6</v>
      </c>
      <c r="J1076" s="174" t="n">
        <v>-5.8</v>
      </c>
      <c r="K1076" s="175" t="inlineStr">
        <is>
          <t>2586 DMALL</t>
        </is>
      </c>
    </row>
    <row r="1077">
      <c r="A1077" s="17" t="inlineStr">
        <is>
          <t>CAPRET (SG) PTE. LTD</t>
        </is>
      </c>
      <c r="B1077" s="167" t="n">
        <v>1</v>
      </c>
      <c r="C1077" s="173" t="n">
        <v>0</v>
      </c>
      <c r="D1077" s="174" t="n">
        <v>-54.3</v>
      </c>
      <c r="E1077" s="174" t="n">
        <v>-79.2</v>
      </c>
      <c r="F1077" s="174" t="n">
        <v>-80.2</v>
      </c>
      <c r="G1077" s="174" t="n">
        <v>-57</v>
      </c>
      <c r="H1077" s="174" t="n">
        <v>-54.4</v>
      </c>
      <c r="I1077" s="174" t="n">
        <v>-56.6</v>
      </c>
      <c r="J1077" s="174" t="n">
        <v>-5.8</v>
      </c>
      <c r="K1077" s="175" t="inlineStr">
        <is>
          <t>2586 DMALL</t>
        </is>
      </c>
    </row>
    <row r="1078">
      <c r="A1078" s="17" t="inlineStr">
        <is>
          <t>Odor Nice Limited</t>
        </is>
      </c>
      <c r="B1078" s="167" t="n">
        <v>1</v>
      </c>
      <c r="C1078" s="173" t="n">
        <v>0</v>
      </c>
      <c r="D1078" s="174" t="n">
        <v>-54.3</v>
      </c>
      <c r="E1078" s="174" t="n">
        <v>-79.2</v>
      </c>
      <c r="F1078" s="174" t="n">
        <v>-80.2</v>
      </c>
      <c r="G1078" s="174" t="n">
        <v>-57</v>
      </c>
      <c r="H1078" s="174" t="n">
        <v>-54.4</v>
      </c>
      <c r="I1078" s="174" t="n">
        <v>-56.6</v>
      </c>
      <c r="J1078" s="174" t="n">
        <v>-5.8</v>
      </c>
      <c r="K1078" s="175" t="inlineStr">
        <is>
          <t>2586 DMALL</t>
        </is>
      </c>
    </row>
    <row r="1079">
      <c r="A1079" s="17" t="inlineStr">
        <is>
          <t>Woseon Limited Partnership</t>
        </is>
      </c>
      <c r="B1079" s="167" t="n">
        <v>1</v>
      </c>
      <c r="C1079" s="173" t="n">
        <v>0</v>
      </c>
      <c r="D1079" s="174" t="n">
        <v>-56.7</v>
      </c>
      <c r="E1079" s="174" t="n">
        <v>-56.7</v>
      </c>
      <c r="F1079" s="174" t="n">
        <v>-62.5</v>
      </c>
      <c r="G1079" s="174" t="n">
        <v>-75.3</v>
      </c>
      <c r="H1079" s="174" t="n">
        <v>0</v>
      </c>
      <c r="I1079" s="174" t="n">
        <v>-13.4</v>
      </c>
      <c r="J1079" s="174" t="n">
        <v>-42.9</v>
      </c>
      <c r="K1079" s="175" t="inlineStr">
        <is>
          <t>2567 QINIU</t>
        </is>
      </c>
    </row>
    <row r="1080">
      <c r="A1080" s="17" t="inlineStr">
        <is>
          <t>Key Broad Future Limited</t>
        </is>
      </c>
      <c r="B1080" s="167" t="n">
        <v>1</v>
      </c>
      <c r="C1080" s="173" t="n">
        <v>0</v>
      </c>
      <c r="D1080" s="174" t="n">
        <v>-56.9</v>
      </c>
      <c r="E1080" s="174" t="n">
        <v>-56.1</v>
      </c>
      <c r="F1080" s="174" t="n">
        <v>-42.5</v>
      </c>
      <c r="G1080" s="174" t="n"/>
      <c r="H1080" s="174" t="n">
        <v>1.7</v>
      </c>
      <c r="I1080" s="174" t="n">
        <v>33.3</v>
      </c>
      <c r="J1080" s="174" t="n"/>
      <c r="K1080" s="175" t="inlineStr">
        <is>
          <t>6132 HJ SCIENCE-B</t>
        </is>
      </c>
    </row>
  </sheetData>
  <autoFilter ref="A4:K1080"/>
  <conditionalFormatting sqref="D5:D1080">
    <cfRule type="colorScale" priority="1">
      <colorScale>
        <cfvo type="num" val="-40"/>
        <cfvo type="num" val="0"/>
        <cfvo type="num" val="60"/>
        <color rgb="00F8696B"/>
        <color rgb="00FFFFFF"/>
        <color rgb="0063BE7B"/>
      </colorScale>
    </cfRule>
  </conditionalFormatting>
  <conditionalFormatting sqref="E5:E1080">
    <cfRule type="colorScale" priority="2">
      <colorScale>
        <cfvo type="num" val="-40"/>
        <cfvo type="num" val="0"/>
        <cfvo type="num" val="60"/>
        <color rgb="00F8696B"/>
        <color rgb="00FFFFFF"/>
        <color rgb="0063BE7B"/>
      </colorScale>
    </cfRule>
  </conditionalFormatting>
  <conditionalFormatting sqref="F5:F1080">
    <cfRule type="colorScale" priority="3">
      <colorScale>
        <cfvo type="num" val="-40"/>
        <cfvo type="num" val="0"/>
        <cfvo type="num" val="60"/>
        <color rgb="00F8696B"/>
        <color rgb="00FFFFFF"/>
        <color rgb="0063BE7B"/>
      </colorScale>
    </cfRule>
  </conditionalFormatting>
  <conditionalFormatting sqref="G5:G1080">
    <cfRule type="colorScale" priority="4">
      <colorScale>
        <cfvo type="num" val="-40"/>
        <cfvo type="num" val="0"/>
        <cfvo type="num" val="60"/>
        <color rgb="00F8696B"/>
        <color rgb="00FFFFFF"/>
        <color rgb="0063BE7B"/>
      </colorScale>
    </cfRule>
  </conditionalFormatting>
  <conditionalFormatting sqref="H5:H1080">
    <cfRule type="colorScale" priority="5">
      <colorScale>
        <cfvo type="num" val="-40"/>
        <cfvo type="num" val="0"/>
        <cfvo type="num" val="60"/>
        <color rgb="00F8696B"/>
        <color rgb="00FFFFFF"/>
        <color rgb="0063BE7B"/>
      </colorScale>
    </cfRule>
  </conditionalFormatting>
  <conditionalFormatting sqref="I5:I1080">
    <cfRule type="colorScale" priority="6">
      <colorScale>
        <cfvo type="num" val="-40"/>
        <cfvo type="num" val="0"/>
        <cfvo type="num" val="60"/>
        <color rgb="00F8696B"/>
        <color rgb="00FFFFFF"/>
        <color rgb="0063BE7B"/>
      </colorScale>
    </cfRule>
  </conditionalFormatting>
  <conditionalFormatting sqref="J5:J1080">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5" t="inlineStr">
        <is>
          <t>DAY 1</t>
        </is>
      </c>
      <c r="H3" s="165" t="inlineStr">
        <is>
          <t>VS OFFER (WITH POP)</t>
        </is>
      </c>
      <c r="K3" s="165" t="inlineStr">
        <is>
          <t>FROM DAY-1 CLOSE (EX-POP)</t>
        </is>
      </c>
      <c r="N3" s="165"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67" t="n">
        <v>91</v>
      </c>
      <c r="C5" s="173" t="n">
        <v>60</v>
      </c>
      <c r="D5" s="174" t="n">
        <v>24.9</v>
      </c>
      <c r="E5" s="174" t="n">
        <v>29.1</v>
      </c>
      <c r="F5" s="174" t="n">
        <v>2.6</v>
      </c>
      <c r="G5" s="167" t="n">
        <v>91</v>
      </c>
      <c r="H5" s="174" t="n">
        <v>32.4</v>
      </c>
      <c r="I5" s="174" t="n">
        <v>35.9</v>
      </c>
      <c r="J5" s="174" t="n">
        <v>48.3</v>
      </c>
      <c r="K5" s="174" t="n">
        <v>2.5</v>
      </c>
      <c r="L5" s="174" t="n">
        <v>5.7</v>
      </c>
      <c r="M5" s="174" t="n">
        <v>17.5</v>
      </c>
      <c r="N5" s="173" t="n">
        <v>24</v>
      </c>
      <c r="O5" s="173" t="n">
        <v>39</v>
      </c>
      <c r="P5" s="167" t="n">
        <v>71</v>
      </c>
      <c r="Q5" s="176" t="n">
        <v>2610.8</v>
      </c>
      <c r="R5" s="175"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67" t="n">
        <v>39</v>
      </c>
      <c r="C6" s="173" t="n">
        <v>62</v>
      </c>
      <c r="D6" s="174" t="n">
        <v>20.3</v>
      </c>
      <c r="E6" s="174" t="n">
        <v>19.7</v>
      </c>
      <c r="F6" s="174" t="n">
        <v>-0.1</v>
      </c>
      <c r="G6" s="167" t="n">
        <v>39</v>
      </c>
      <c r="H6" s="174" t="n">
        <v>22.9</v>
      </c>
      <c r="I6" s="174" t="n">
        <v>19.2</v>
      </c>
      <c r="J6" s="174" t="n">
        <v>27.1</v>
      </c>
      <c r="K6" s="174" t="n">
        <v>0.3</v>
      </c>
      <c r="L6" s="174" t="n">
        <v>-1.6</v>
      </c>
      <c r="M6" s="174" t="n">
        <v>2.4</v>
      </c>
      <c r="N6" s="173" t="n">
        <v>31</v>
      </c>
      <c r="O6" s="173" t="n">
        <v>40</v>
      </c>
      <c r="P6" s="167" t="n">
        <v>35</v>
      </c>
      <c r="Q6" s="176" t="n">
        <v>4848.1</v>
      </c>
      <c r="R6" s="175"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67" t="n">
        <v>32</v>
      </c>
      <c r="C7" s="173" t="n">
        <v>41</v>
      </c>
      <c r="D7" s="174" t="n">
        <v>13.8</v>
      </c>
      <c r="E7" s="174" t="n">
        <v>12.2</v>
      </c>
      <c r="F7" s="174" t="n">
        <v>-1.4</v>
      </c>
      <c r="G7" s="167" t="n">
        <v>32</v>
      </c>
      <c r="H7" s="174" t="n">
        <v>11.7</v>
      </c>
      <c r="I7" s="174" t="n">
        <v>12.9</v>
      </c>
      <c r="J7" s="174" t="n">
        <v>10.1</v>
      </c>
      <c r="K7" s="174" t="n">
        <v>-0.5</v>
      </c>
      <c r="L7" s="174" t="n">
        <v>-0.2</v>
      </c>
      <c r="M7" s="174" t="n">
        <v>-0.2</v>
      </c>
      <c r="N7" s="173" t="n">
        <v>21</v>
      </c>
      <c r="O7" s="173" t="n">
        <v>32</v>
      </c>
      <c r="P7" s="167" t="n">
        <v>28</v>
      </c>
      <c r="Q7" s="176" t="n">
        <v>5695.1</v>
      </c>
      <c r="R7" s="175"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67" t="n">
        <v>26</v>
      </c>
      <c r="C8" s="173" t="n">
        <v>69</v>
      </c>
      <c r="D8" s="174" t="n">
        <v>48.3</v>
      </c>
      <c r="E8" s="174" t="n">
        <v>40.9</v>
      </c>
      <c r="F8" s="174" t="n">
        <v>-4.1</v>
      </c>
      <c r="G8" s="167" t="n">
        <v>26</v>
      </c>
      <c r="H8" s="174" t="n">
        <v>35.3</v>
      </c>
      <c r="I8" s="174" t="n">
        <v>38.1</v>
      </c>
      <c r="J8" s="174" t="n">
        <v>94.2</v>
      </c>
      <c r="K8" s="174" t="n">
        <v>-3.6</v>
      </c>
      <c r="L8" s="174" t="n">
        <v>-1.7</v>
      </c>
      <c r="M8" s="174" t="n">
        <v>29.3</v>
      </c>
      <c r="N8" s="173" t="n">
        <v>44</v>
      </c>
      <c r="O8" s="173" t="n">
        <v>33</v>
      </c>
      <c r="P8" s="167" t="n">
        <v>18</v>
      </c>
      <c r="Q8" s="176" t="n">
        <v>2070.5</v>
      </c>
      <c r="R8" s="175"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t>
        </is>
      </c>
    </row>
    <row r="9">
      <c r="A9" s="17" t="inlineStr">
        <is>
          <t>Huatai Financial Holdings</t>
        </is>
      </c>
      <c r="B9" s="167" t="n">
        <v>18</v>
      </c>
      <c r="C9" s="173" t="n">
        <v>33</v>
      </c>
      <c r="D9" s="174" t="n">
        <v>2.1</v>
      </c>
      <c r="E9" s="174" t="n">
        <v>-1</v>
      </c>
      <c r="F9" s="174" t="n">
        <v>-2.2</v>
      </c>
      <c r="G9" s="167" t="n">
        <v>18</v>
      </c>
      <c r="H9" s="174" t="n">
        <v>-1.3</v>
      </c>
      <c r="I9" s="174" t="n">
        <v>-11.6</v>
      </c>
      <c r="J9" s="174" t="n">
        <v>-3.1</v>
      </c>
      <c r="K9" s="174" t="n">
        <v>-1.7</v>
      </c>
      <c r="L9" s="174" t="n">
        <v>-10.3</v>
      </c>
      <c r="M9" s="174" t="n">
        <v>-1.1</v>
      </c>
      <c r="N9" s="173" t="n">
        <v>7</v>
      </c>
      <c r="O9" s="173" t="n">
        <v>67</v>
      </c>
      <c r="P9" s="167" t="n">
        <v>15</v>
      </c>
      <c r="Q9" s="176" t="n">
        <v>2345.8</v>
      </c>
      <c r="R9" s="175"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67" t="n">
        <v>13</v>
      </c>
      <c r="C10" s="173" t="n">
        <v>54</v>
      </c>
      <c r="D10" s="174" t="n">
        <v>5.2</v>
      </c>
      <c r="E10" s="174" t="n">
        <v>8.9</v>
      </c>
      <c r="F10" s="174" t="n">
        <v>2.9</v>
      </c>
      <c r="G10" s="167" t="n">
        <v>13</v>
      </c>
      <c r="H10" s="174" t="n">
        <v>9.199999999999999</v>
      </c>
      <c r="I10" s="174" t="n">
        <v>14.1</v>
      </c>
      <c r="J10" s="174" t="n">
        <v>60.8</v>
      </c>
      <c r="K10" s="174" t="n">
        <v>1.2</v>
      </c>
      <c r="L10" s="174" t="n">
        <v>6.5</v>
      </c>
      <c r="M10" s="174" t="n">
        <v>54</v>
      </c>
      <c r="N10" s="173" t="n">
        <v>9</v>
      </c>
      <c r="O10" s="173" t="n">
        <v>36</v>
      </c>
      <c r="P10" s="167" t="n">
        <v>11</v>
      </c>
      <c r="Q10" s="176" t="n">
        <v>1262</v>
      </c>
      <c r="R10" s="175"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67" t="n">
        <v>12</v>
      </c>
      <c r="C11" s="173" t="n">
        <v>50</v>
      </c>
      <c r="D11" s="174" t="n">
        <v>8.199999999999999</v>
      </c>
      <c r="E11" s="174" t="n">
        <v>18.3</v>
      </c>
      <c r="F11" s="174" t="n">
        <v>8.199999999999999</v>
      </c>
      <c r="G11" s="167" t="n">
        <v>12</v>
      </c>
      <c r="H11" s="174" t="n">
        <v>16.8</v>
      </c>
      <c r="I11" s="174" t="n">
        <v>23.5</v>
      </c>
      <c r="J11" s="174" t="n">
        <v>49.3</v>
      </c>
      <c r="K11" s="174" t="n">
        <v>-1.7</v>
      </c>
      <c r="L11" s="174" t="n">
        <v>-0.9</v>
      </c>
      <c r="M11" s="174" t="n">
        <v>13.9</v>
      </c>
      <c r="N11" s="173" t="n">
        <v>20</v>
      </c>
      <c r="O11" s="173" t="n">
        <v>20</v>
      </c>
      <c r="P11" s="167" t="n">
        <v>10</v>
      </c>
      <c r="Q11" s="176" t="n">
        <v>485.5</v>
      </c>
      <c r="R11" s="175"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67" t="n">
        <v>11</v>
      </c>
      <c r="C12" s="173" t="n">
        <v>82</v>
      </c>
      <c r="D12" s="174" t="n">
        <v>24</v>
      </c>
      <c r="E12" s="174" t="n">
        <v>24</v>
      </c>
      <c r="F12" s="174" t="n">
        <v>1.2</v>
      </c>
      <c r="G12" s="167" t="n">
        <v>11</v>
      </c>
      <c r="H12" s="174" t="n">
        <v>12.4</v>
      </c>
      <c r="I12" s="174" t="n">
        <v>8.5</v>
      </c>
      <c r="J12" s="174" t="n">
        <v>4.1</v>
      </c>
      <c r="K12" s="174" t="n">
        <v>-6.2</v>
      </c>
      <c r="L12" s="174" t="n">
        <v>-9.5</v>
      </c>
      <c r="M12" s="174" t="n">
        <v>-10</v>
      </c>
      <c r="N12" s="173" t="n">
        <v>11</v>
      </c>
      <c r="O12" s="173" t="n">
        <v>67</v>
      </c>
      <c r="P12" s="167" t="n">
        <v>9</v>
      </c>
      <c r="Q12" s="176" t="n">
        <v>677</v>
      </c>
      <c r="R12" s="175" t="inlineStr">
        <is>
          <t>2219 CHAOJU EYE CARE; 1965 LANDSEA LIFE; 2436 LX TECHNOLOGY; 2482 LOGORY; 2499 FOLANGSI; 2502 JINYUAN HCHEM; 6657 BAIWANG CO; 2651 DAZHONG DENTAL; 1236 LDROBOT; 7687 EACON; 2261 NASN TECH</t>
        </is>
      </c>
    </row>
    <row r="13">
      <c r="A13" s="17" t="inlineStr">
        <is>
          <t>J.P. Morgan Securities</t>
        </is>
      </c>
      <c r="B13" s="167" t="n">
        <v>10</v>
      </c>
      <c r="C13" s="173" t="n">
        <v>20</v>
      </c>
      <c r="D13" s="174" t="n">
        <v>21.3</v>
      </c>
      <c r="E13" s="174" t="n">
        <v>14.5</v>
      </c>
      <c r="F13" s="174" t="n">
        <v>-5.1</v>
      </c>
      <c r="G13" s="167" t="n">
        <v>10</v>
      </c>
      <c r="H13" s="174" t="n">
        <v>22.2</v>
      </c>
      <c r="I13" s="174" t="n">
        <v>9.800000000000001</v>
      </c>
      <c r="J13" s="174" t="n">
        <v>-6.9</v>
      </c>
      <c r="K13" s="174" t="n">
        <v>-0.5</v>
      </c>
      <c r="L13" s="174" t="n">
        <v>-7</v>
      </c>
      <c r="M13" s="174" t="n">
        <v>-13.1</v>
      </c>
      <c r="N13" s="173" t="n">
        <v>11</v>
      </c>
      <c r="O13" s="173" t="n">
        <v>33</v>
      </c>
      <c r="P13" s="167" t="n">
        <v>9</v>
      </c>
      <c r="Q13" s="176" t="n">
        <v>6089</v>
      </c>
      <c r="R13" s="175" t="inlineStr">
        <is>
          <t>2150 NAYUKI; 9868 XPENG-W; 9863 LEAPMOTOR; 2498 ROBOSENSE; 2510 TS LINES; 6936 SF HOLDING; 3887 HASHKEY HLDGS; 0470 WUXI LEAD; 0068 MANYCORE TECH; 2476 VGT</t>
        </is>
      </c>
    </row>
    <row r="14">
      <c r="A14" s="17" t="inlineStr">
        <is>
          <t>CMB International Global Markets Limited</t>
        </is>
      </c>
      <c r="B14" s="167" t="n">
        <v>8</v>
      </c>
      <c r="C14" s="173" t="n">
        <v>50</v>
      </c>
      <c r="D14" s="174" t="n">
        <v>4.1</v>
      </c>
      <c r="E14" s="174" t="n">
        <v>5.8</v>
      </c>
      <c r="F14" s="174" t="n">
        <v>-0.2</v>
      </c>
      <c r="G14" s="167" t="n">
        <v>8</v>
      </c>
      <c r="H14" s="174" t="n">
        <v>-2.3</v>
      </c>
      <c r="I14" s="174" t="n">
        <v>2.3</v>
      </c>
      <c r="J14" s="174" t="n">
        <v>8</v>
      </c>
      <c r="K14" s="174" t="n">
        <v>-3.4</v>
      </c>
      <c r="L14" s="174" t="n">
        <v>-3.7</v>
      </c>
      <c r="M14" s="174" t="n">
        <v>0.5</v>
      </c>
      <c r="N14" s="173" t="n">
        <v>12</v>
      </c>
      <c r="O14" s="173" t="n">
        <v>62</v>
      </c>
      <c r="P14" s="167" t="n">
        <v>8</v>
      </c>
      <c r="Q14" s="176" t="n">
        <v>740.3</v>
      </c>
      <c r="R14" s="175" t="inlineStr">
        <is>
          <t>2325 YUNKANG GROUP; 2392 XUANWU CLOUD; 2505 EDA GROUP HLDGS; 2549 CAROTE LTD; 6831 GREEN TEA GROUP; 2408 XIAO NOODLES; 0664 TONGSHIFU; 3952 LAIFUAL</t>
        </is>
      </c>
    </row>
    <row r="15">
      <c r="A15" s="17" t="inlineStr">
        <is>
          <t>Merrill Lynch</t>
        </is>
      </c>
      <c r="B15" s="167" t="n">
        <v>8</v>
      </c>
      <c r="C15" s="173" t="n">
        <v>25</v>
      </c>
      <c r="D15" s="174" t="n">
        <v>5.9</v>
      </c>
      <c r="E15" s="174" t="n">
        <v>5.1</v>
      </c>
      <c r="F15" s="174" t="n">
        <v>-0.7</v>
      </c>
      <c r="G15" s="167" t="n">
        <v>8</v>
      </c>
      <c r="H15" s="174" t="n">
        <v>12</v>
      </c>
      <c r="I15" s="174" t="n">
        <v>14.6</v>
      </c>
      <c r="J15" s="174" t="n">
        <v>3.4</v>
      </c>
      <c r="K15" s="174" t="n">
        <v>4.9</v>
      </c>
      <c r="L15" s="174" t="n">
        <v>7</v>
      </c>
      <c r="M15" s="174" t="n">
        <v>-7</v>
      </c>
      <c r="N15" s="173" t="n">
        <v>17</v>
      </c>
      <c r="O15" s="173" t="n">
        <v>33</v>
      </c>
      <c r="P15" s="167" t="n">
        <v>6</v>
      </c>
      <c r="Q15" s="176" t="n">
        <v>7514</v>
      </c>
      <c r="R15" s="175" t="inlineStr">
        <is>
          <t>9888 BIDU-SW; 2618 JD LOGISTICS; 9899 CLOUD VILLAGE; 2273 GUSHENGTANG; 9896 MNSO; 1405 DPC DASH; 2097 MIXUE GROUP; 7618 JD INDUSTRIALS</t>
        </is>
      </c>
    </row>
    <row r="16">
      <c r="A16" s="17" t="inlineStr">
        <is>
          <t>UBS AG Hong Kong Branch</t>
        </is>
      </c>
      <c r="B16" s="167" t="n">
        <v>8</v>
      </c>
      <c r="C16" s="173" t="n">
        <v>50</v>
      </c>
      <c r="D16" s="174" t="n">
        <v>2.9</v>
      </c>
      <c r="E16" s="174" t="n">
        <v>-3.9</v>
      </c>
      <c r="F16" s="174" t="n">
        <v>-8.4</v>
      </c>
      <c r="G16" s="167" t="n">
        <v>8</v>
      </c>
      <c r="H16" s="174" t="n">
        <v>-19</v>
      </c>
      <c r="I16" s="174" t="n">
        <v>-25.2</v>
      </c>
      <c r="J16" s="174" t="n">
        <v>-18.2</v>
      </c>
      <c r="K16" s="174" t="n">
        <v>-18.8</v>
      </c>
      <c r="L16" s="174" t="n">
        <v>-26.5</v>
      </c>
      <c r="M16" s="174" t="n">
        <v>-15</v>
      </c>
      <c r="N16" s="173" t="n">
        <v>0</v>
      </c>
      <c r="O16" s="173" t="n">
        <v>60</v>
      </c>
      <c r="P16" s="167" t="n">
        <v>5</v>
      </c>
      <c r="Q16" s="176" t="n">
        <v>1406</v>
      </c>
      <c r="R16" s="175" t="inlineStr">
        <is>
          <t>0606 SCE CM; 2121 AINNOVATION; 2246 GOGOX; 6955 BOAN BIOTECH-B; 2460 CR BEVERAGE; 2586 DMALL; 0999 XIAOCAIYUAN; 2508 SAINT BELLA</t>
        </is>
      </c>
    </row>
    <row r="17">
      <c r="A17" s="17" t="inlineStr">
        <is>
          <t>CMBC Securities Company Limited</t>
        </is>
      </c>
      <c r="B17" s="167" t="n">
        <v>7</v>
      </c>
      <c r="C17" s="173" t="n">
        <v>86</v>
      </c>
      <c r="D17" s="174" t="n">
        <v>89.3</v>
      </c>
      <c r="E17" s="174" t="n">
        <v>90.5</v>
      </c>
      <c r="F17" s="174" t="n">
        <v>-3.4</v>
      </c>
      <c r="G17" s="167" t="n">
        <v>7</v>
      </c>
      <c r="H17" s="174" t="n">
        <v>83.09999999999999</v>
      </c>
      <c r="I17" s="174" t="n">
        <v>81.3</v>
      </c>
      <c r="J17" s="174" t="n">
        <v>32.7</v>
      </c>
      <c r="K17" s="174" t="n">
        <v>-2.6</v>
      </c>
      <c r="L17" s="174" t="n">
        <v>-5</v>
      </c>
      <c r="M17" s="174" t="n">
        <v>-8</v>
      </c>
      <c r="N17" s="173" t="n">
        <v>20</v>
      </c>
      <c r="O17" s="173" t="n">
        <v>60</v>
      </c>
      <c r="P17" s="167" t="n">
        <v>5</v>
      </c>
      <c r="Q17" s="176" t="n">
        <v>204.9</v>
      </c>
      <c r="R17" s="175" t="inlineStr">
        <is>
          <t>6939 MEGAIN; 2260 VANOV HOLDINGS; 2347 YOHO GROUP; 2422 REGO INTERACT; 2433 ZT HN GROUP; 2573 NEWTREND GROUP; 2672 BAIGE DIGITAL</t>
        </is>
      </c>
    </row>
    <row r="18">
      <c r="A18" s="17" t="inlineStr">
        <is>
          <t>CCB International Capital Limited</t>
        </is>
      </c>
      <c r="B18" s="167" t="n">
        <v>7</v>
      </c>
      <c r="C18" s="173" t="n">
        <v>43</v>
      </c>
      <c r="D18" s="174" t="n">
        <v>17.9</v>
      </c>
      <c r="E18" s="174" t="n">
        <v>15.2</v>
      </c>
      <c r="F18" s="174" t="n">
        <v>-2.9</v>
      </c>
      <c r="G18" s="167" t="n">
        <v>7</v>
      </c>
      <c r="H18" s="174" t="n">
        <v>14.3</v>
      </c>
      <c r="I18" s="174" t="n">
        <v>11.3</v>
      </c>
      <c r="J18" s="174" t="n">
        <v>4</v>
      </c>
      <c r="K18" s="174" t="n">
        <v>-0.5</v>
      </c>
      <c r="L18" s="174" t="n">
        <v>-2.7</v>
      </c>
      <c r="M18" s="174" t="n">
        <v>3.4</v>
      </c>
      <c r="N18" s="173" t="n">
        <v>0</v>
      </c>
      <c r="O18" s="173" t="n">
        <v>33</v>
      </c>
      <c r="P18" s="167" t="n">
        <v>6</v>
      </c>
      <c r="Q18" s="176" t="n">
        <v>898.7</v>
      </c>
      <c r="R18" s="175" t="inlineStr">
        <is>
          <t>6668 E-STAR CM; 2165 LING YUE SER GP; 2215 DEXIN SER GROUP; 2205 KANGQIAO SER; 6611 SANXUN GROUP; 2596 YIBIN BANK; 2335 MICOT PHARMA-B</t>
        </is>
      </c>
    </row>
    <row r="19">
      <c r="A19" s="17" t="inlineStr">
        <is>
          <t>Shenwan Hongyuan Securities</t>
        </is>
      </c>
      <c r="B19" s="167" t="n">
        <v>5</v>
      </c>
      <c r="C19" s="173" t="n">
        <v>40</v>
      </c>
      <c r="D19" s="174" t="n">
        <v>59.7</v>
      </c>
      <c r="E19" s="174" t="n">
        <v>52.7</v>
      </c>
      <c r="F19" s="174" t="n">
        <v>-8.4</v>
      </c>
      <c r="G19" s="167" t="n">
        <v>5</v>
      </c>
      <c r="H19" s="174" t="n">
        <v>51.6</v>
      </c>
      <c r="I19" s="174" t="n">
        <v>77.5</v>
      </c>
      <c r="J19" s="174" t="n">
        <v>122</v>
      </c>
      <c r="K19" s="174" t="n">
        <v>1.5</v>
      </c>
      <c r="L19" s="174" t="n">
        <v>15.6</v>
      </c>
      <c r="M19" s="174" t="n">
        <v>33.4</v>
      </c>
      <c r="N19" s="173" t="n">
        <v>0</v>
      </c>
      <c r="O19" s="173" t="n">
        <v>75</v>
      </c>
      <c r="P19" s="167" t="n">
        <v>4</v>
      </c>
      <c r="Q19" s="176" t="n">
        <v>401.2</v>
      </c>
      <c r="R19" s="175" t="inlineStr">
        <is>
          <t>2270 DESUN SERVICES; 6610 FLOWING CLOUD; 2567 QINIU; 2656 160 HEALTH; 2650 ZHIDA TECH</t>
        </is>
      </c>
    </row>
    <row r="20">
      <c r="A20" s="17" t="inlineStr">
        <is>
          <t>Yue Xiu Securities Company Limited</t>
        </is>
      </c>
      <c r="B20" s="167" t="n">
        <v>5</v>
      </c>
      <c r="C20" s="173" t="n">
        <v>80</v>
      </c>
      <c r="D20" s="174" t="n">
        <v>31.4</v>
      </c>
      <c r="E20" s="174" t="n">
        <v>25.8</v>
      </c>
      <c r="F20" s="174" t="n">
        <v>1</v>
      </c>
      <c r="G20" s="167" t="n">
        <v>5</v>
      </c>
      <c r="H20" s="174" t="n">
        <v>31.4</v>
      </c>
      <c r="I20" s="174" t="n">
        <v>51.5</v>
      </c>
      <c r="J20" s="174" t="n">
        <v>43.2</v>
      </c>
      <c r="K20" s="174" t="n">
        <v>3.7</v>
      </c>
      <c r="L20" s="174" t="n">
        <v>18.5</v>
      </c>
      <c r="M20" s="174" t="n">
        <v>11.7</v>
      </c>
      <c r="N20" s="173" t="n">
        <v>0</v>
      </c>
      <c r="O20" s="173" t="n">
        <v>75</v>
      </c>
      <c r="P20" s="167" t="n">
        <v>4</v>
      </c>
      <c r="Q20" s="176" t="n">
        <v>595</v>
      </c>
      <c r="R20" s="175" t="inlineStr">
        <is>
          <t>6626 YUEXIU SERVICES; 2459 SANERGY GROUP; 2569 SOFT INTL; 9881 RONGTA TECH; 2553 SHOUGANG LANZA</t>
        </is>
      </c>
    </row>
    <row r="21">
      <c r="A21" s="17" t="inlineStr">
        <is>
          <t>Sinolink Securities</t>
        </is>
      </c>
      <c r="B21" s="167" t="n">
        <v>4</v>
      </c>
      <c r="C21" s="173" t="n">
        <v>75</v>
      </c>
      <c r="D21" s="174" t="n">
        <v>37.7</v>
      </c>
      <c r="E21" s="174" t="n">
        <v>72.3</v>
      </c>
      <c r="F21" s="174" t="n">
        <v>15.8</v>
      </c>
      <c r="G21" s="167" t="n">
        <v>4</v>
      </c>
      <c r="H21" s="174" t="n">
        <v>131.2</v>
      </c>
      <c r="I21" s="174" t="n">
        <v>90.2</v>
      </c>
      <c r="J21" s="174" t="n">
        <v>97.40000000000001</v>
      </c>
      <c r="K21" s="174" t="n">
        <v>21.2</v>
      </c>
      <c r="L21" s="174" t="n">
        <v>11.5</v>
      </c>
      <c r="M21" s="174" t="n">
        <v>-5.5</v>
      </c>
      <c r="N21" s="173" t="n">
        <v>67</v>
      </c>
      <c r="O21" s="173" t="n">
        <v>33</v>
      </c>
      <c r="P21" s="167" t="n">
        <v>3</v>
      </c>
      <c r="Q21" s="176" t="n">
        <v>761.1</v>
      </c>
      <c r="R21" s="175" t="inlineStr">
        <is>
          <t>2155 MORIMATSU INTL; 2619 XJ ELECTRICS; 1779 LONGBIO-B; 9971 BASICSEMI</t>
        </is>
      </c>
    </row>
    <row r="22">
      <c r="A22" s="17" t="inlineStr">
        <is>
          <t>ABCI Securities Company Limited</t>
        </is>
      </c>
      <c r="B22" s="167" t="n">
        <v>4</v>
      </c>
      <c r="C22" s="173" t="n">
        <v>75</v>
      </c>
      <c r="D22" s="174" t="n">
        <v>8.699999999999999</v>
      </c>
      <c r="E22" s="174" t="n">
        <v>6.8</v>
      </c>
      <c r="F22" s="174" t="n">
        <v>-1.6</v>
      </c>
      <c r="G22" s="167" t="n">
        <v>4</v>
      </c>
      <c r="H22" s="174" t="n">
        <v>16.9</v>
      </c>
      <c r="I22" s="174" t="n">
        <v>11.4</v>
      </c>
      <c r="J22" s="174" t="n">
        <v>31.1</v>
      </c>
      <c r="K22" s="174" t="n">
        <v>5.6</v>
      </c>
      <c r="L22" s="174" t="n">
        <v>-1.4</v>
      </c>
      <c r="M22" s="174" t="n">
        <v>14.1</v>
      </c>
      <c r="N22" s="173" t="n">
        <v>25</v>
      </c>
      <c r="O22" s="173" t="n">
        <v>75</v>
      </c>
      <c r="P22" s="167" t="n">
        <v>4</v>
      </c>
      <c r="Q22" s="176" t="n">
        <v>2383.8</v>
      </c>
      <c r="R22" s="175" t="inlineStr">
        <is>
          <t>1490 CHESHI; 9889 DRCB; 2370 REDCO HEALTHY; 2376 LUSHANGSERVICES</t>
        </is>
      </c>
    </row>
    <row r="23">
      <c r="A23" s="17" t="inlineStr">
        <is>
          <t>Zhongtai International Securities Limited</t>
        </is>
      </c>
      <c r="B23" s="167" t="n">
        <v>4</v>
      </c>
      <c r="C23" s="173" t="n">
        <v>25</v>
      </c>
      <c r="D23" s="174" t="n">
        <v>0.2</v>
      </c>
      <c r="E23" s="174" t="n">
        <v>-21.2</v>
      </c>
      <c r="F23" s="174" t="n">
        <v>-19.2</v>
      </c>
      <c r="G23" s="167" t="n">
        <v>4</v>
      </c>
      <c r="H23" s="174" t="n">
        <v>-18</v>
      </c>
      <c r="I23" s="174" t="n">
        <v>-29.7</v>
      </c>
      <c r="J23" s="174" t="n">
        <v>-31.9</v>
      </c>
      <c r="K23" s="174" t="n">
        <v>6.9</v>
      </c>
      <c r="L23" s="174" t="n">
        <v>-3.5</v>
      </c>
      <c r="M23" s="174" t="n">
        <v>-7.3</v>
      </c>
      <c r="N23" s="173" t="n">
        <v>0</v>
      </c>
      <c r="O23" s="173" t="n">
        <v>100</v>
      </c>
      <c r="P23" s="167" t="n">
        <v>4</v>
      </c>
      <c r="Q23" s="176" t="n">
        <v>243.7</v>
      </c>
      <c r="R23" s="175" t="inlineStr">
        <is>
          <t>6696 MANY IDEA CLOUD; 2457 BUYANG INTL; 2455 RUNHUA SERVICE; 2409 SEACON</t>
        </is>
      </c>
    </row>
    <row r="24">
      <c r="A24" s="17" t="inlineStr">
        <is>
          <t>China Tonghai Securities Limited</t>
        </is>
      </c>
      <c r="B24" s="167" t="n">
        <v>3</v>
      </c>
      <c r="C24" s="173" t="n">
        <v>100</v>
      </c>
      <c r="D24" s="174" t="n">
        <v>9.699999999999999</v>
      </c>
      <c r="E24" s="174" t="n">
        <v>8.5</v>
      </c>
      <c r="F24" s="174" t="n">
        <v>-0.4</v>
      </c>
      <c r="G24" s="167" t="n">
        <v>3</v>
      </c>
      <c r="H24" s="174" t="n">
        <v>3.3</v>
      </c>
      <c r="I24" s="174" t="n">
        <v>4.4</v>
      </c>
      <c r="J24" s="174" t="n">
        <v>-0.1</v>
      </c>
      <c r="K24" s="174" t="n">
        <v>-4.9</v>
      </c>
      <c r="L24" s="174" t="n">
        <v>-3.9</v>
      </c>
      <c r="M24" s="174" t="n">
        <v>-7.6</v>
      </c>
      <c r="N24" s="173" t="n">
        <v>0</v>
      </c>
      <c r="O24" s="173" t="n">
        <v>100</v>
      </c>
      <c r="P24" s="167" t="n">
        <v>2</v>
      </c>
      <c r="Q24" s="176" t="n">
        <v>132.5</v>
      </c>
      <c r="R24" s="175" t="inlineStr">
        <is>
          <t>1855 ZONBONG ENVIRO; 1204 BOARDWARE INTEL; 1489 GC CONSTRUCTION</t>
        </is>
      </c>
    </row>
    <row r="25">
      <c r="A25" s="17" t="inlineStr">
        <is>
          <t>BOCOM International Securities</t>
        </is>
      </c>
      <c r="B25" s="167" t="n">
        <v>3</v>
      </c>
      <c r="C25" s="173" t="n">
        <v>33</v>
      </c>
      <c r="D25" s="174" t="n">
        <v>24.4</v>
      </c>
      <c r="E25" s="174" t="n">
        <v>6.5</v>
      </c>
      <c r="F25" s="174" t="n">
        <v>-10.2</v>
      </c>
      <c r="G25" s="167" t="n">
        <v>3</v>
      </c>
      <c r="H25" s="174" t="n">
        <v>3.8</v>
      </c>
      <c r="I25" s="174" t="n">
        <v>-16.8</v>
      </c>
      <c r="J25" s="174" t="n">
        <v>-19.4</v>
      </c>
      <c r="K25" s="174" t="n">
        <v>-1.5</v>
      </c>
      <c r="L25" s="174" t="n">
        <v>-20.5</v>
      </c>
      <c r="M25" s="174" t="n">
        <v>-22.2</v>
      </c>
      <c r="N25" s="173" t="n">
        <v>0</v>
      </c>
      <c r="O25" s="173" t="n">
        <v>33</v>
      </c>
      <c r="P25" s="167" t="n">
        <v>3</v>
      </c>
      <c r="Q25" s="176" t="n">
        <v>206.6</v>
      </c>
      <c r="R25" s="175" t="inlineStr">
        <is>
          <t>6661 HUZHOU GAS; 2152 SUXIN SERVICES; 2881 WUHAN YOUJI</t>
        </is>
      </c>
    </row>
    <row r="26">
      <c r="A26" s="17" t="inlineStr">
        <is>
          <t>GF Securities</t>
        </is>
      </c>
      <c r="B26" s="167" t="n">
        <v>3</v>
      </c>
      <c r="C26" s="173" t="n">
        <v>33</v>
      </c>
      <c r="D26" s="174" t="n">
        <v>-0.9</v>
      </c>
      <c r="E26" s="174" t="n">
        <v>1.9</v>
      </c>
      <c r="F26" s="174" t="n">
        <v>3.1</v>
      </c>
      <c r="G26" s="167" t="n">
        <v>3</v>
      </c>
      <c r="H26" s="174" t="n">
        <v>9.6</v>
      </c>
      <c r="I26" s="174" t="n">
        <v>42</v>
      </c>
      <c r="J26" s="174" t="n">
        <v>138</v>
      </c>
      <c r="K26" s="174" t="n">
        <v>5.8</v>
      </c>
      <c r="L26" s="174" t="n">
        <v>34.6</v>
      </c>
      <c r="M26" s="174" t="n">
        <v>117.9</v>
      </c>
      <c r="N26" s="173" t="n">
        <v>0</v>
      </c>
      <c r="O26" s="173" t="n">
        <v>67</v>
      </c>
      <c r="P26" s="167" t="n">
        <v>3</v>
      </c>
      <c r="Q26" s="176" t="n">
        <v>767.8</v>
      </c>
      <c r="R26" s="175" t="inlineStr">
        <is>
          <t>2405 POWERWIN TECH; 1497 YAN PALACE; 2643 CAOCAO INC</t>
        </is>
      </c>
    </row>
    <row r="27">
      <c r="A27" s="17" t="inlineStr">
        <is>
          <t>China Everbright Securities</t>
        </is>
      </c>
      <c r="B27" s="167" t="n">
        <v>3</v>
      </c>
      <c r="C27" s="173" t="n">
        <v>33</v>
      </c>
      <c r="D27" s="174" t="n">
        <v>-3.5</v>
      </c>
      <c r="E27" s="174" t="n">
        <v>-10.6</v>
      </c>
      <c r="F27" s="174" t="n">
        <v>-7.9</v>
      </c>
      <c r="G27" s="167" t="n">
        <v>3</v>
      </c>
      <c r="H27" s="174" t="n">
        <v>-18.4</v>
      </c>
      <c r="I27" s="174" t="n">
        <v>-23.4</v>
      </c>
      <c r="J27" s="174" t="n">
        <v>-34.8</v>
      </c>
      <c r="K27" s="174" t="n">
        <v>-8.1</v>
      </c>
      <c r="L27" s="174" t="n">
        <v>-15.8</v>
      </c>
      <c r="M27" s="174" t="n">
        <v>-28.4</v>
      </c>
      <c r="N27" s="173" t="n">
        <v>0</v>
      </c>
      <c r="O27" s="173" t="n">
        <v>100</v>
      </c>
      <c r="P27" s="167" t="n">
        <v>3</v>
      </c>
      <c r="Q27" s="176" t="n">
        <v>196.6</v>
      </c>
      <c r="R27" s="175" t="inlineStr">
        <is>
          <t>2250 SEMK HOLDINGS; 1406 CLARITY MEDICAL; 2450 HUAIBEI GD CO</t>
        </is>
      </c>
    </row>
    <row r="28">
      <c r="A28" s="17" t="inlineStr">
        <is>
          <t>Citigroup Global Markets Asia Limited</t>
        </is>
      </c>
      <c r="B28" s="167" t="n">
        <v>3</v>
      </c>
      <c r="C28" s="173" t="n">
        <v>67</v>
      </c>
      <c r="D28" s="174" t="n">
        <v>-9.6</v>
      </c>
      <c r="E28" s="174" t="n">
        <v>-12.5</v>
      </c>
      <c r="F28" s="174" t="n">
        <v>-3.1</v>
      </c>
      <c r="G28" s="167" t="n">
        <v>3</v>
      </c>
      <c r="H28" s="174" t="n">
        <v>-3.9</v>
      </c>
      <c r="I28" s="174" t="n">
        <v>1.9</v>
      </c>
      <c r="J28" s="174" t="n">
        <v>7.8</v>
      </c>
      <c r="K28" s="174" t="n">
        <v>8.6</v>
      </c>
      <c r="L28" s="174" t="n">
        <v>13.1</v>
      </c>
      <c r="M28" s="174" t="n">
        <v>27.8</v>
      </c>
      <c r="N28" s="173" t="n">
        <v>0</v>
      </c>
      <c r="O28" s="173" t="n">
        <v>100</v>
      </c>
      <c r="P28" s="167" t="n">
        <v>2</v>
      </c>
      <c r="Q28" s="176" t="n">
        <v>697.3</v>
      </c>
      <c r="R28" s="175" t="inlineStr">
        <is>
          <t>3660 360 DIGITECH-S; 6086 FANGZHOU JIANKE; 9611 LONGCHEER</t>
        </is>
      </c>
    </row>
    <row r="29">
      <c r="A29" s="17" t="inlineStr">
        <is>
          <t>Credit Suisse</t>
        </is>
      </c>
      <c r="B29" s="167" t="n">
        <v>3</v>
      </c>
      <c r="C29" s="173" t="n">
        <v>0</v>
      </c>
      <c r="D29" s="174" t="n">
        <v>-14</v>
      </c>
      <c r="E29" s="174" t="n">
        <v>-17.3</v>
      </c>
      <c r="F29" s="174" t="n">
        <v>-3.7</v>
      </c>
      <c r="G29" s="167" t="n">
        <v>3</v>
      </c>
      <c r="H29" s="174" t="n">
        <v>-11.6</v>
      </c>
      <c r="I29" s="174" t="n">
        <v>-24.3</v>
      </c>
      <c r="J29" s="174" t="n">
        <v>-24.8</v>
      </c>
      <c r="K29" s="174" t="n">
        <v>7.1</v>
      </c>
      <c r="L29" s="174" t="n">
        <v>-8.5</v>
      </c>
      <c r="M29" s="174" t="n">
        <v>-9</v>
      </c>
      <c r="N29" s="173" t="n">
        <v>0</v>
      </c>
      <c r="O29" s="173" t="n">
        <v>100</v>
      </c>
      <c r="P29" s="167" t="n">
        <v>3</v>
      </c>
      <c r="Q29" s="176" t="n">
        <v>2775.1</v>
      </c>
      <c r="R29" s="175" t="inlineStr">
        <is>
          <t>2191 SF REIT; 9858 YOURAN DAIRY; 2390 ZHIHU-W</t>
        </is>
      </c>
    </row>
    <row r="30">
      <c r="A30" s="17" t="inlineStr">
        <is>
          <t>Jefferies Hong Kong Limited</t>
        </is>
      </c>
      <c r="B30" s="167" t="n">
        <v>2</v>
      </c>
      <c r="C30" s="173" t="n">
        <v>50</v>
      </c>
      <c r="D30" s="174" t="n">
        <v>42</v>
      </c>
      <c r="E30" s="174" t="n">
        <v>39.5</v>
      </c>
      <c r="F30" s="174" t="n">
        <v>-6.8</v>
      </c>
      <c r="G30" s="167" t="n">
        <v>2</v>
      </c>
      <c r="H30" s="174" t="n">
        <v>-0.1</v>
      </c>
      <c r="I30" s="174" t="n">
        <v>-12.1</v>
      </c>
      <c r="J30" s="174" t="n">
        <v>-50</v>
      </c>
      <c r="K30" s="174" t="n">
        <v>-21.4</v>
      </c>
      <c r="L30" s="174" t="n">
        <v>-33.3</v>
      </c>
      <c r="M30" s="174" t="n">
        <v>-33.7</v>
      </c>
      <c r="N30" s="173" t="n">
        <v>50</v>
      </c>
      <c r="O30" s="173" t="n">
        <v>50</v>
      </c>
      <c r="P30" s="167" t="n">
        <v>2</v>
      </c>
      <c r="Q30" s="176" t="n">
        <v>773.9</v>
      </c>
      <c r="R30" s="175" t="inlineStr">
        <is>
          <t>2486 PLUS GP HOLDING; 9637 ALEBUND-B</t>
        </is>
      </c>
    </row>
    <row r="31">
      <c r="A31" s="17" t="inlineStr">
        <is>
          <t>Elstone Securities Limited</t>
        </is>
      </c>
      <c r="B31" s="167" t="n">
        <v>2</v>
      </c>
      <c r="C31" s="173" t="n">
        <v>50</v>
      </c>
      <c r="D31" s="174" t="n">
        <v>16.4</v>
      </c>
      <c r="E31" s="174" t="n">
        <v>2.5</v>
      </c>
      <c r="F31" s="174" t="n">
        <v>-15.1</v>
      </c>
      <c r="G31" s="167" t="n">
        <v>2</v>
      </c>
      <c r="H31" s="174" t="n">
        <v>7.2</v>
      </c>
      <c r="I31" s="174" t="n">
        <v>23</v>
      </c>
      <c r="J31" s="174" t="n">
        <v>103.3</v>
      </c>
      <c r="K31" s="174" t="n">
        <v>-1.8</v>
      </c>
      <c r="L31" s="174" t="n">
        <v>8.4</v>
      </c>
      <c r="M31" s="174" t="n">
        <v>64.40000000000001</v>
      </c>
      <c r="N31" s="173" t="n">
        <v>50</v>
      </c>
      <c r="O31" s="173" t="n">
        <v>50</v>
      </c>
      <c r="P31" s="167" t="n">
        <v>2</v>
      </c>
      <c r="Q31" s="176" t="n">
        <v>167.5</v>
      </c>
      <c r="R31" s="175" t="inlineStr">
        <is>
          <t>9608 SUNDY SERVICE; 2321 SWANGCHAICHUAN</t>
        </is>
      </c>
    </row>
    <row r="32">
      <c r="A32" s="17" t="inlineStr">
        <is>
          <t>Grand Moore Capital</t>
        </is>
      </c>
      <c r="B32" s="167" t="n">
        <v>2</v>
      </c>
      <c r="C32" s="173" t="n">
        <v>50</v>
      </c>
      <c r="D32" s="174" t="n">
        <v>26.6</v>
      </c>
      <c r="E32" s="174" t="n">
        <v>-3.3</v>
      </c>
      <c r="F32" s="174" t="n">
        <v>-23.7</v>
      </c>
      <c r="G32" s="167" t="n">
        <v>2</v>
      </c>
      <c r="H32" s="174" t="n">
        <v>-11.4</v>
      </c>
      <c r="I32" s="174" t="n">
        <v>-19.3</v>
      </c>
      <c r="J32" s="174" t="n">
        <v>-19.1</v>
      </c>
      <c r="K32" s="174" t="n">
        <v>-9.1</v>
      </c>
      <c r="L32" s="174" t="n">
        <v>-16.5</v>
      </c>
      <c r="M32" s="174" t="n">
        <v>-11.7</v>
      </c>
      <c r="N32" s="173" t="n">
        <v>0</v>
      </c>
      <c r="O32" s="173" t="n">
        <v>100</v>
      </c>
      <c r="P32" s="167" t="n">
        <v>2</v>
      </c>
      <c r="Q32" s="176" t="n">
        <v>111.7</v>
      </c>
      <c r="R32" s="175" t="inlineStr">
        <is>
          <t>2147 ZHENGWEI GROUP; 2516 FAR INTL</t>
        </is>
      </c>
    </row>
    <row r="33">
      <c r="A33" s="17" t="inlineStr">
        <is>
          <t>CEB International Capital Corporation Limited</t>
        </is>
      </c>
      <c r="B33" s="167" t="n">
        <v>2</v>
      </c>
      <c r="C33" s="173" t="n">
        <v>50</v>
      </c>
      <c r="D33" s="174" t="n">
        <v>2.2</v>
      </c>
      <c r="E33" s="174" t="n">
        <v>-5</v>
      </c>
      <c r="F33" s="174" t="n">
        <v>-7.1</v>
      </c>
      <c r="G33" s="167" t="n">
        <v>2</v>
      </c>
      <c r="H33" s="174" t="n">
        <v>-11.8</v>
      </c>
      <c r="I33" s="174" t="n">
        <v>21.6</v>
      </c>
      <c r="J33" s="174" t="n">
        <v>81.7</v>
      </c>
      <c r="K33" s="174" t="n">
        <v>-7.6</v>
      </c>
      <c r="L33" s="174" t="n">
        <v>29</v>
      </c>
      <c r="M33" s="174" t="n">
        <v>98.40000000000001</v>
      </c>
      <c r="N33" s="173" t="n">
        <v>0</v>
      </c>
      <c r="O33" s="173" t="n">
        <v>100</v>
      </c>
      <c r="P33" s="167" t="n">
        <v>2</v>
      </c>
      <c r="Q33" s="176" t="n">
        <v>279</v>
      </c>
      <c r="R33" s="175" t="inlineStr">
        <is>
          <t>1354 KINGFARPROPERTY; 2571 SAIMO</t>
        </is>
      </c>
    </row>
    <row r="34">
      <c r="A34" s="17" t="inlineStr">
        <is>
          <t>Chin a International Capital Corporation Hong Kong Securities Limited</t>
        </is>
      </c>
      <c r="B34" s="167" t="n">
        <v>2</v>
      </c>
      <c r="C34" s="173" t="n">
        <v>50</v>
      </c>
      <c r="D34" s="174" t="n">
        <v>-18.3</v>
      </c>
      <c r="E34" s="174" t="n">
        <v>-5.8</v>
      </c>
      <c r="F34" s="174" t="n">
        <v>18.1</v>
      </c>
      <c r="G34" s="167" t="n">
        <v>2</v>
      </c>
      <c r="H34" s="174" t="n">
        <v>-33.9</v>
      </c>
      <c r="I34" s="174" t="n">
        <v>13.7</v>
      </c>
      <c r="J34" s="174" t="n">
        <v>-15.2</v>
      </c>
      <c r="K34" s="174" t="n">
        <v>-31.7</v>
      </c>
      <c r="L34" s="174" t="n">
        <v>22.2</v>
      </c>
      <c r="M34" s="174" t="n">
        <v>-16.1</v>
      </c>
      <c r="N34" s="173" t="n">
        <v>0</v>
      </c>
      <c r="O34" s="173" t="n">
        <v>100</v>
      </c>
      <c r="P34" s="167" t="n">
        <v>1</v>
      </c>
      <c r="Q34" s="176" t="n">
        <v>506.8</v>
      </c>
      <c r="R34" s="175" t="inlineStr">
        <is>
          <t>2415 MEDSCI; 6915 JIANGXI BIO</t>
        </is>
      </c>
    </row>
    <row r="35">
      <c r="A35" s="17" t="inlineStr">
        <is>
          <t>BNP Paribas Securities</t>
        </is>
      </c>
      <c r="B35" s="167" t="n">
        <v>2</v>
      </c>
      <c r="C35" s="173" t="n">
        <v>0</v>
      </c>
      <c r="D35" s="174" t="n">
        <v>-10.2</v>
      </c>
      <c r="E35" s="174" t="n">
        <v>-8.5</v>
      </c>
      <c r="F35" s="174" t="n">
        <v>2.1</v>
      </c>
      <c r="G35" s="167" t="n">
        <v>2</v>
      </c>
      <c r="H35" s="174" t="n">
        <v>-10.7</v>
      </c>
      <c r="I35" s="174" t="n">
        <v>-6.7</v>
      </c>
      <c r="J35" s="174" t="n">
        <v>-31.3</v>
      </c>
      <c r="K35" s="174" t="n">
        <v>-3.9</v>
      </c>
      <c r="L35" s="174" t="n">
        <v>2.3</v>
      </c>
      <c r="M35" s="174" t="n">
        <v>-23.6</v>
      </c>
      <c r="N35" s="173" t="n">
        <v>0</v>
      </c>
      <c r="O35" s="173" t="n">
        <v>50</v>
      </c>
      <c r="P35" s="167" t="n">
        <v>2</v>
      </c>
      <c r="Q35" s="176" t="n">
        <v>466.6</v>
      </c>
      <c r="R35" s="175" t="inlineStr">
        <is>
          <t>6913 SCVE GROUP; 2361 SINOHEALTH HLDG</t>
        </is>
      </c>
    </row>
    <row r="36">
      <c r="A36" s="17" t="inlineStr">
        <is>
          <t>China PA Securities</t>
        </is>
      </c>
      <c r="B36" s="167" t="n">
        <v>2</v>
      </c>
      <c r="C36" s="173" t="n">
        <v>0</v>
      </c>
      <c r="D36" s="174" t="n">
        <v>-14.6</v>
      </c>
      <c r="E36" s="174" t="n">
        <v>-13.6</v>
      </c>
      <c r="F36" s="174" t="n">
        <v>0.6</v>
      </c>
      <c r="G36" s="167" t="n">
        <v>2</v>
      </c>
      <c r="H36" s="174" t="n">
        <v>-23.4</v>
      </c>
      <c r="I36" s="174" t="n">
        <v>-26.1</v>
      </c>
      <c r="J36" s="174" t="n">
        <v>-24.8</v>
      </c>
      <c r="K36" s="174" t="n">
        <v>-12.5</v>
      </c>
      <c r="L36" s="174" t="n">
        <v>-16.2</v>
      </c>
      <c r="M36" s="174" t="n">
        <v>-14.5</v>
      </c>
      <c r="N36" s="173" t="n">
        <v>0</v>
      </c>
      <c r="O36" s="173" t="n">
        <v>100</v>
      </c>
      <c r="P36" s="167" t="n">
        <v>1</v>
      </c>
      <c r="Q36" s="176" t="n">
        <v>161.7</v>
      </c>
      <c r="R36" s="175" t="inlineStr">
        <is>
          <t>2440 HOWKINGTECH; 2483 K CASH</t>
        </is>
      </c>
    </row>
    <row r="37">
      <c r="A37" s="17" t="inlineStr">
        <is>
          <t>Wealth Link Securities Limited</t>
        </is>
      </c>
      <c r="B37" s="167" t="n">
        <v>2</v>
      </c>
      <c r="C37" s="173" t="n">
        <v>50</v>
      </c>
      <c r="D37" s="174" t="n">
        <v>-19.5</v>
      </c>
      <c r="E37" s="174" t="n">
        <v>-14.2</v>
      </c>
      <c r="F37" s="174" t="n">
        <v>6.2</v>
      </c>
      <c r="G37" s="167" t="n">
        <v>2</v>
      </c>
      <c r="H37" s="174" t="n">
        <v>-24</v>
      </c>
      <c r="I37" s="174" t="n">
        <v>-30.1</v>
      </c>
      <c r="J37" s="174" t="n">
        <v>-39.6</v>
      </c>
      <c r="K37" s="174" t="n">
        <v>-9.5</v>
      </c>
      <c r="L37" s="174" t="n">
        <v>-16</v>
      </c>
      <c r="M37" s="174" t="n">
        <v>-28.4</v>
      </c>
      <c r="N37" s="173" t="n">
        <v>0</v>
      </c>
      <c r="O37" s="173" t="n">
        <v>100</v>
      </c>
      <c r="P37" s="167" t="n">
        <v>1</v>
      </c>
      <c r="Q37" s="176" t="n">
        <v>219.8</v>
      </c>
      <c r="R37" s="175" t="inlineStr">
        <is>
          <t>1643 MODERN CHI MED; 2439 CH TREASURES NM</t>
        </is>
      </c>
    </row>
    <row r="38">
      <c r="A38" s="17" t="inlineStr">
        <is>
          <t>China Industrial Securities International Capital Limited</t>
        </is>
      </c>
      <c r="B38" s="167" t="n">
        <v>2</v>
      </c>
      <c r="C38" s="173" t="n">
        <v>0</v>
      </c>
      <c r="D38" s="174" t="n">
        <v>-1.2</v>
      </c>
      <c r="E38" s="174" t="n">
        <v>-17.6</v>
      </c>
      <c r="F38" s="174" t="n">
        <v>-17.6</v>
      </c>
      <c r="G38" s="167" t="n">
        <v>2</v>
      </c>
      <c r="H38" s="174" t="n">
        <v>-23.4</v>
      </c>
      <c r="I38" s="174" t="n">
        <v>-30.5</v>
      </c>
      <c r="J38" s="174" t="n">
        <v>-49.1</v>
      </c>
      <c r="K38" s="174" t="n">
        <v>-7.3</v>
      </c>
      <c r="L38" s="174" t="n">
        <v>-12.9</v>
      </c>
      <c r="M38" s="174" t="n">
        <v>-35.5</v>
      </c>
      <c r="N38" s="173" t="n">
        <v>0</v>
      </c>
      <c r="O38" s="173" t="n">
        <v>100</v>
      </c>
      <c r="P38" s="167" t="n">
        <v>1</v>
      </c>
      <c r="Q38" s="176" t="n">
        <v>143.1</v>
      </c>
      <c r="R38" s="175" t="inlineStr">
        <is>
          <t>1407 JY GAS; 2695 IMPRESSION DHP</t>
        </is>
      </c>
    </row>
    <row r="39">
      <c r="A39" s="17" t="inlineStr">
        <is>
          <t>Innovax Securities</t>
        </is>
      </c>
      <c r="B39" s="167" t="n">
        <v>2</v>
      </c>
      <c r="C39" s="173" t="n">
        <v>0</v>
      </c>
      <c r="D39" s="174" t="n">
        <v>-1.8</v>
      </c>
      <c r="E39" s="174" t="n">
        <v>-20.7</v>
      </c>
      <c r="F39" s="174" t="n">
        <v>-18.2</v>
      </c>
      <c r="G39" s="167" t="n">
        <v>2</v>
      </c>
      <c r="H39" s="174" t="n">
        <v>-36.7</v>
      </c>
      <c r="I39" s="174" t="n">
        <v>-39</v>
      </c>
      <c r="J39" s="174" t="n">
        <v>-47.3</v>
      </c>
      <c r="K39" s="174" t="n">
        <v>-19.4</v>
      </c>
      <c r="L39" s="174" t="n">
        <v>-22.9</v>
      </c>
      <c r="M39" s="174" t="n">
        <v>-33.8</v>
      </c>
      <c r="N39" s="173" t="n">
        <v>0</v>
      </c>
      <c r="O39" s="173" t="n">
        <v>100</v>
      </c>
      <c r="P39" s="167" t="n">
        <v>2</v>
      </c>
      <c r="Q39" s="176" t="n">
        <v>122.8</v>
      </c>
      <c r="R39" s="175" t="inlineStr">
        <is>
          <t>2350 MTT GROUP; 1947 MEIHAO GROUP</t>
        </is>
      </c>
    </row>
    <row r="40">
      <c r="A40" s="17" t="inlineStr">
        <is>
          <t>Eddid Secu rities and Futures Limited</t>
        </is>
      </c>
      <c r="B40" s="167" t="n">
        <v>1</v>
      </c>
      <c r="C40" s="173" t="n">
        <v>100</v>
      </c>
      <c r="D40" s="174" t="n">
        <v>77</v>
      </c>
      <c r="E40" s="174" t="n">
        <v>164</v>
      </c>
      <c r="F40" s="174" t="n">
        <v>49.1</v>
      </c>
      <c r="G40" s="167" t="n">
        <v>1</v>
      </c>
      <c r="H40" s="174" t="n">
        <v>250</v>
      </c>
      <c r="I40" s="174" t="n">
        <v>230</v>
      </c>
      <c r="J40" s="174" t="n">
        <v>232</v>
      </c>
      <c r="K40" s="174" t="n">
        <v>32.6</v>
      </c>
      <c r="L40" s="174" t="n">
        <v>25</v>
      </c>
      <c r="M40" s="174" t="n">
        <v>25.8</v>
      </c>
      <c r="N40" s="173" t="n">
        <v>0</v>
      </c>
      <c r="O40" s="173" t="n">
        <v>100</v>
      </c>
      <c r="P40" s="167" t="n">
        <v>1</v>
      </c>
      <c r="Q40" s="176" t="n">
        <v>125</v>
      </c>
      <c r="R40" s="175" t="inlineStr">
        <is>
          <t>2477 WELLCELL HOLD</t>
        </is>
      </c>
    </row>
    <row r="41">
      <c r="A41" s="17" t="inlineStr">
        <is>
          <t>Zhongtai Intern ational Securities Limited</t>
        </is>
      </c>
      <c r="B41" s="167" t="n">
        <v>1</v>
      </c>
      <c r="C41" s="173" t="n">
        <v>100</v>
      </c>
      <c r="D41" s="174" t="n">
        <v>100</v>
      </c>
      <c r="E41" s="174" t="n">
        <v>162.5</v>
      </c>
      <c r="F41" s="174" t="n">
        <v>31.2</v>
      </c>
      <c r="G41" s="167" t="n">
        <v>1</v>
      </c>
      <c r="H41" s="174" t="n">
        <v>267.5</v>
      </c>
      <c r="I41" s="174" t="n">
        <v>1146.9</v>
      </c>
      <c r="J41" s="174" t="n"/>
      <c r="K41" s="174" t="n">
        <v>40</v>
      </c>
      <c r="L41" s="174" t="n">
        <v>375</v>
      </c>
      <c r="M41" s="174" t="n"/>
      <c r="N41" s="173" t="n">
        <v>0</v>
      </c>
      <c r="O41" s="173" t="n">
        <v>100</v>
      </c>
      <c r="P41" s="167" t="n">
        <v>1</v>
      </c>
      <c r="Q41" s="176" t="n">
        <v>200</v>
      </c>
      <c r="R41" s="175" t="inlineStr">
        <is>
          <t>2797 QIYUNSHAN FOOD</t>
        </is>
      </c>
    </row>
    <row r="42">
      <c r="A42" s="17" t="inlineStr">
        <is>
          <t>Lego Securities Lim ited</t>
        </is>
      </c>
      <c r="B42" s="167" t="n">
        <v>1</v>
      </c>
      <c r="C42" s="173" t="n">
        <v>100</v>
      </c>
      <c r="D42" s="174" t="n">
        <v>35.4</v>
      </c>
      <c r="E42" s="174" t="n">
        <v>143.1</v>
      </c>
      <c r="F42" s="174" t="n">
        <v>79.5</v>
      </c>
      <c r="G42" s="167" t="n">
        <v>1</v>
      </c>
      <c r="H42" s="174" t="n">
        <v>56.9</v>
      </c>
      <c r="I42" s="174" t="n">
        <v>176.9</v>
      </c>
      <c r="J42" s="174" t="n">
        <v>183.1</v>
      </c>
      <c r="K42" s="174" t="n">
        <v>-35.5</v>
      </c>
      <c r="L42" s="174" t="n">
        <v>13.9</v>
      </c>
      <c r="M42" s="174" t="n">
        <v>16.5</v>
      </c>
      <c r="N42" s="173" t="n">
        <v>0</v>
      </c>
      <c r="O42" s="173" t="n">
        <v>100</v>
      </c>
      <c r="P42" s="167" t="n">
        <v>1</v>
      </c>
      <c r="Q42" s="176" t="n">
        <v>130</v>
      </c>
      <c r="R42" s="175" t="inlineStr">
        <is>
          <t>2237 CHINA GRAPHITE</t>
        </is>
      </c>
    </row>
    <row r="43">
      <c r="A43" s="17" t="inlineStr">
        <is>
          <t>Yuen Meta</t>
        </is>
      </c>
      <c r="B43" s="167" t="n">
        <v>1</v>
      </c>
      <c r="C43" s="173" t="n">
        <v>100</v>
      </c>
      <c r="D43" s="174" t="n">
        <v>160</v>
      </c>
      <c r="E43" s="174" t="n">
        <v>136</v>
      </c>
      <c r="F43" s="174" t="n">
        <v>-9.199999999999999</v>
      </c>
      <c r="G43" s="167" t="n">
        <v>1</v>
      </c>
      <c r="H43" s="174" t="n">
        <v>156</v>
      </c>
      <c r="I43" s="174" t="n">
        <v>156</v>
      </c>
      <c r="J43" s="174" t="n">
        <v>132</v>
      </c>
      <c r="K43" s="174" t="n">
        <v>8.5</v>
      </c>
      <c r="L43" s="174" t="n">
        <v>8.5</v>
      </c>
      <c r="M43" s="174" t="n">
        <v>-1.7</v>
      </c>
      <c r="N43" s="173" t="n">
        <v>0</v>
      </c>
      <c r="O43" s="173" t="n">
        <v>100</v>
      </c>
      <c r="P43" s="167" t="n">
        <v>1</v>
      </c>
      <c r="Q43" s="176" t="n">
        <v>125</v>
      </c>
      <c r="R43" s="175" t="inlineStr">
        <is>
          <t>2535 WK GROUP</t>
        </is>
      </c>
    </row>
    <row r="44">
      <c r="A44" s="17" t="inlineStr">
        <is>
          <t>Livermore Holdings Limited</t>
        </is>
      </c>
      <c r="B44" s="167" t="n">
        <v>1</v>
      </c>
      <c r="C44" s="173" t="n">
        <v>100</v>
      </c>
      <c r="D44" s="174" t="n">
        <v>89</v>
      </c>
      <c r="E44" s="174" t="n">
        <v>117.9</v>
      </c>
      <c r="F44" s="174" t="n">
        <v>15.3</v>
      </c>
      <c r="G44" s="167" t="n">
        <v>1</v>
      </c>
      <c r="H44" s="174" t="n">
        <v>107.8</v>
      </c>
      <c r="I44" s="174" t="n">
        <v>222.4</v>
      </c>
      <c r="J44" s="174" t="n">
        <v>141.8</v>
      </c>
      <c r="K44" s="174" t="n">
        <v>-4.7</v>
      </c>
      <c r="L44" s="174" t="n">
        <v>48</v>
      </c>
      <c r="M44" s="174" t="n">
        <v>11</v>
      </c>
      <c r="N44" s="173" t="n">
        <v>100</v>
      </c>
      <c r="O44" s="173" t="n">
        <v>0</v>
      </c>
      <c r="P44" s="167" t="n">
        <v>1</v>
      </c>
      <c r="Q44" s="176" t="n">
        <v>782.5</v>
      </c>
      <c r="R44" s="175" t="inlineStr">
        <is>
          <t>2655 GUOXIA TECH</t>
        </is>
      </c>
    </row>
    <row r="45">
      <c r="A45" s="17" t="inlineStr">
        <is>
          <t>BOCI Asia Limited</t>
        </is>
      </c>
      <c r="B45" s="167" t="n">
        <v>1</v>
      </c>
      <c r="C45" s="173" t="n">
        <v>100</v>
      </c>
      <c r="D45" s="174" t="n">
        <v>46.5</v>
      </c>
      <c r="E45" s="174" t="n">
        <v>91.7</v>
      </c>
      <c r="F45" s="174" t="n">
        <v>30.8</v>
      </c>
      <c r="G45" s="167" t="n">
        <v>1</v>
      </c>
      <c r="H45" s="174" t="n">
        <v>191</v>
      </c>
      <c r="I45" s="174" t="n">
        <v>200</v>
      </c>
      <c r="J45" s="174" t="n">
        <v>223.8</v>
      </c>
      <c r="K45" s="174" t="n">
        <v>51.8</v>
      </c>
      <c r="L45" s="174" t="n">
        <v>56.5</v>
      </c>
      <c r="M45" s="174" t="n">
        <v>68.90000000000001</v>
      </c>
      <c r="N45" s="173" t="n"/>
      <c r="O45" s="173" t="n"/>
      <c r="P45" s="167" t="n">
        <v>0</v>
      </c>
      <c r="Q45" s="176" t="n">
        <v>85.90000000000001</v>
      </c>
      <c r="R45" s="175" t="inlineStr">
        <is>
          <t>2550 EASOU TECH</t>
        </is>
      </c>
    </row>
    <row r="46">
      <c r="A46" s="17" t="inlineStr">
        <is>
          <t>CL SA Limited</t>
        </is>
      </c>
      <c r="B46" s="167" t="n">
        <v>1</v>
      </c>
      <c r="C46" s="173" t="n">
        <v>100</v>
      </c>
      <c r="D46" s="174" t="n">
        <v>36.4</v>
      </c>
      <c r="E46" s="174" t="n">
        <v>51</v>
      </c>
      <c r="F46" s="174" t="n">
        <v>10.7</v>
      </c>
      <c r="G46" s="167" t="n">
        <v>1</v>
      </c>
      <c r="H46" s="174" t="n">
        <v>4</v>
      </c>
      <c r="I46" s="174" t="n">
        <v>-22.7</v>
      </c>
      <c r="J46" s="174" t="n"/>
      <c r="K46" s="174" t="n">
        <v>-31.1</v>
      </c>
      <c r="L46" s="174" t="n">
        <v>-48.8</v>
      </c>
      <c r="M46" s="174" t="n"/>
      <c r="N46" s="173" t="n">
        <v>0</v>
      </c>
      <c r="O46" s="173" t="n">
        <v>100</v>
      </c>
      <c r="P46" s="167" t="n">
        <v>1</v>
      </c>
      <c r="Q46" s="176" t="n">
        <v>1233.1</v>
      </c>
      <c r="R46" s="175" t="inlineStr">
        <is>
          <t>6715 XUNLONG SCITECH</t>
        </is>
      </c>
    </row>
    <row r="47">
      <c r="A47" s="17" t="inlineStr">
        <is>
          <t>Quam Securities Limited</t>
        </is>
      </c>
      <c r="B47" s="167" t="n">
        <v>1</v>
      </c>
      <c r="C47" s="173" t="n">
        <v>100</v>
      </c>
      <c r="D47" s="174" t="n">
        <v>4.2</v>
      </c>
      <c r="E47" s="174" t="n">
        <v>38.1</v>
      </c>
      <c r="F47" s="174" t="n">
        <v>32.5</v>
      </c>
      <c r="G47" s="167" t="n">
        <v>1</v>
      </c>
      <c r="H47" s="174" t="n">
        <v>14.4</v>
      </c>
      <c r="I47" s="174" t="n">
        <v>11.9</v>
      </c>
      <c r="J47" s="174" t="n">
        <v>-2.5</v>
      </c>
      <c r="K47" s="174" t="n">
        <v>-17.2</v>
      </c>
      <c r="L47" s="174" t="n">
        <v>-19</v>
      </c>
      <c r="M47" s="174" t="n">
        <v>-29.4</v>
      </c>
      <c r="N47" s="173" t="n"/>
      <c r="O47" s="173" t="n"/>
      <c r="P47" s="167" t="n">
        <v>0</v>
      </c>
      <c r="Q47" s="176" t="n">
        <v>147.5</v>
      </c>
      <c r="R47" s="175" t="inlineStr">
        <is>
          <t>2501 MAIYUE TECH</t>
        </is>
      </c>
    </row>
    <row r="48">
      <c r="A48" s="17" t="inlineStr">
        <is>
          <t>Stabilisin g Manager</t>
        </is>
      </c>
      <c r="B48" s="167" t="n">
        <v>1</v>
      </c>
      <c r="C48" s="173" t="n">
        <v>100</v>
      </c>
      <c r="D48" s="174" t="n">
        <v>19.6</v>
      </c>
      <c r="E48" s="174" t="n">
        <v>26.8</v>
      </c>
      <c r="F48" s="174" t="n">
        <v>6</v>
      </c>
      <c r="G48" s="167" t="n">
        <v>1</v>
      </c>
      <c r="H48" s="174" t="n">
        <v>1.8</v>
      </c>
      <c r="I48" s="174" t="n">
        <v>8.9</v>
      </c>
      <c r="J48" s="174" t="n">
        <v>16.1</v>
      </c>
      <c r="K48" s="174" t="n">
        <v>-19.7</v>
      </c>
      <c r="L48" s="174" t="n">
        <v>-14.1</v>
      </c>
      <c r="M48" s="174" t="n">
        <v>-8.4</v>
      </c>
      <c r="N48" s="173" t="n"/>
      <c r="O48" s="173" t="n"/>
      <c r="P48" s="167" t="n">
        <v>0</v>
      </c>
      <c r="Q48" s="176" t="n">
        <v>140</v>
      </c>
      <c r="R48" s="175" t="inlineStr">
        <is>
          <t>1473 PANGAEA CONNECT</t>
        </is>
      </c>
    </row>
    <row r="49">
      <c r="A49" s="17" t="inlineStr">
        <is>
          <t>Macquarie</t>
        </is>
      </c>
      <c r="B49" s="167" t="n">
        <v>1</v>
      </c>
      <c r="C49" s="173" t="n">
        <v>100</v>
      </c>
      <c r="D49" s="174" t="n">
        <v>34.1</v>
      </c>
      <c r="E49" s="174" t="n">
        <v>25</v>
      </c>
      <c r="F49" s="174" t="n">
        <v>-6.8</v>
      </c>
      <c r="G49" s="167" t="n">
        <v>1</v>
      </c>
      <c r="H49" s="174" t="n">
        <v>89.5</v>
      </c>
      <c r="I49" s="174" t="n">
        <v>63.4</v>
      </c>
      <c r="J49" s="174" t="n">
        <v>57.3</v>
      </c>
      <c r="K49" s="174" t="n">
        <v>51.6</v>
      </c>
      <c r="L49" s="174" t="n">
        <v>30.7</v>
      </c>
      <c r="M49" s="174" t="n">
        <v>25.8</v>
      </c>
      <c r="N49" s="173" t="n">
        <v>100</v>
      </c>
      <c r="O49" s="173" t="n">
        <v>0</v>
      </c>
      <c r="P49" s="167" t="n">
        <v>1</v>
      </c>
      <c r="Q49" s="176" t="n">
        <v>660</v>
      </c>
      <c r="R49" s="175" t="inlineStr">
        <is>
          <t>6909 BETTERLIFE HLDG</t>
        </is>
      </c>
    </row>
    <row r="50">
      <c r="A50" s="17" t="inlineStr">
        <is>
          <t>Bradbury Securities Limited</t>
        </is>
      </c>
      <c r="B50" s="167" t="n">
        <v>1</v>
      </c>
      <c r="C50" s="173" t="n">
        <v>100</v>
      </c>
      <c r="D50" s="174" t="n">
        <v>35.3</v>
      </c>
      <c r="E50" s="174" t="n">
        <v>23.8</v>
      </c>
      <c r="F50" s="174" t="n">
        <v>-8.5</v>
      </c>
      <c r="G50" s="167" t="n">
        <v>1</v>
      </c>
      <c r="H50" s="174" t="n">
        <v>67.09999999999999</v>
      </c>
      <c r="I50" s="174" t="n">
        <v>34.4</v>
      </c>
      <c r="J50" s="174" t="n">
        <v>102.3</v>
      </c>
      <c r="K50" s="174" t="n">
        <v>35</v>
      </c>
      <c r="L50" s="174" t="n">
        <v>8.6</v>
      </c>
      <c r="M50" s="174" t="n">
        <v>63.5</v>
      </c>
      <c r="N50" s="173" t="n">
        <v>0</v>
      </c>
      <c r="O50" s="173" t="n">
        <v>0</v>
      </c>
      <c r="P50" s="167" t="n">
        <v>1</v>
      </c>
      <c r="Q50" s="176" t="n">
        <v>245.2</v>
      </c>
      <c r="R50" s="175" t="inlineStr">
        <is>
          <t>6683 STARPLUS LEGEND</t>
        </is>
      </c>
    </row>
    <row r="51">
      <c r="A51" s="17" t="inlineStr">
        <is>
          <t>Essence International Securities</t>
        </is>
      </c>
      <c r="B51" s="167" t="n">
        <v>1</v>
      </c>
      <c r="C51" s="173" t="n">
        <v>100</v>
      </c>
      <c r="D51" s="174" t="n">
        <v>26.1</v>
      </c>
      <c r="E51" s="174" t="n">
        <v>13.8</v>
      </c>
      <c r="F51" s="174" t="n">
        <v>-9.800000000000001</v>
      </c>
      <c r="G51" s="167" t="n">
        <v>1</v>
      </c>
      <c r="H51" s="174" t="n">
        <v>26.5</v>
      </c>
      <c r="I51" s="174" t="n">
        <v>93.8</v>
      </c>
      <c r="J51" s="174" t="n">
        <v>61.5</v>
      </c>
      <c r="K51" s="174" t="n">
        <v>11.1</v>
      </c>
      <c r="L51" s="174" t="n">
        <v>70.3</v>
      </c>
      <c r="M51" s="174" t="n">
        <v>41.9</v>
      </c>
      <c r="N51" s="173" t="n">
        <v>0</v>
      </c>
      <c r="O51" s="173" t="n">
        <v>0</v>
      </c>
      <c r="P51" s="167" t="n">
        <v>1</v>
      </c>
      <c r="Q51" s="176" t="n">
        <v>944.7</v>
      </c>
      <c r="R51" s="175" t="inlineStr">
        <is>
          <t>6616 GLOBAL NEW MAT</t>
        </is>
      </c>
    </row>
    <row r="52">
      <c r="A52" s="17" t="inlineStr">
        <is>
          <t>C LSA Limited</t>
        </is>
      </c>
      <c r="B52" s="167" t="n">
        <v>1</v>
      </c>
      <c r="C52" s="173" t="n">
        <v>100</v>
      </c>
      <c r="D52" s="174" t="n">
        <v>3.9</v>
      </c>
      <c r="E52" s="174" t="n">
        <v>9.1</v>
      </c>
      <c r="F52" s="174" t="n">
        <v>5.1</v>
      </c>
      <c r="G52" s="167" t="n">
        <v>1</v>
      </c>
      <c r="H52" s="174" t="n">
        <v>6.4</v>
      </c>
      <c r="I52" s="174" t="n">
        <v>16.1</v>
      </c>
      <c r="J52" s="174" t="n">
        <v>76.8</v>
      </c>
      <c r="K52" s="174" t="n">
        <v>-2.5</v>
      </c>
      <c r="L52" s="174" t="n">
        <v>6.3</v>
      </c>
      <c r="M52" s="174" t="n">
        <v>62</v>
      </c>
      <c r="N52" s="173" t="n">
        <v>100</v>
      </c>
      <c r="O52" s="173" t="n">
        <v>0</v>
      </c>
      <c r="P52" s="167" t="n">
        <v>1</v>
      </c>
      <c r="Q52" s="176" t="n">
        <v>4767.8</v>
      </c>
      <c r="R52" s="175" t="inlineStr">
        <is>
          <t>6613 LENS</t>
        </is>
      </c>
    </row>
    <row r="53">
      <c r="A53" s="17" t="inlineStr">
        <is>
          <t>UOB Kay Hian</t>
        </is>
      </c>
      <c r="B53" s="167" t="n">
        <v>1</v>
      </c>
      <c r="C53" s="173" t="n">
        <v>100</v>
      </c>
      <c r="D53" s="174" t="n">
        <v>47.3</v>
      </c>
      <c r="E53" s="174" t="n">
        <v>5.5</v>
      </c>
      <c r="F53" s="174" t="n">
        <v>-28.4</v>
      </c>
      <c r="G53" s="167" t="n">
        <v>1</v>
      </c>
      <c r="H53" s="174" t="n">
        <v>-7.6</v>
      </c>
      <c r="I53" s="174" t="n">
        <v>-20.1</v>
      </c>
      <c r="J53" s="174" t="n">
        <v>-56.1</v>
      </c>
      <c r="K53" s="174" t="n">
        <v>-12.4</v>
      </c>
      <c r="L53" s="174" t="n">
        <v>-24.3</v>
      </c>
      <c r="M53" s="174" t="n">
        <v>-58.4</v>
      </c>
      <c r="N53" s="173" t="n">
        <v>0</v>
      </c>
      <c r="O53" s="173" t="n">
        <v>0</v>
      </c>
      <c r="P53" s="167" t="n">
        <v>1</v>
      </c>
      <c r="Q53" s="176" t="n">
        <v>91</v>
      </c>
      <c r="R53" s="175" t="inlineStr">
        <is>
          <t>2209 YESASIA HLDGS</t>
        </is>
      </c>
    </row>
    <row r="54">
      <c r="A54" s="17" t="inlineStr">
        <is>
          <t>China Galaxy International Securities</t>
        </is>
      </c>
      <c r="B54" s="167" t="n">
        <v>1</v>
      </c>
      <c r="C54" s="173" t="n">
        <v>100</v>
      </c>
      <c r="D54" s="174" t="n">
        <v>0</v>
      </c>
      <c r="E54" s="174" t="n">
        <v>4.7</v>
      </c>
      <c r="F54" s="174" t="n">
        <v>4.7</v>
      </c>
      <c r="G54" s="167" t="n">
        <v>1</v>
      </c>
      <c r="H54" s="174" t="n">
        <v>-2.3</v>
      </c>
      <c r="I54" s="174" t="n">
        <v>6.7</v>
      </c>
      <c r="J54" s="174" t="n"/>
      <c r="K54" s="174" t="n">
        <v>-6.7</v>
      </c>
      <c r="L54" s="174" t="n">
        <v>1.9</v>
      </c>
      <c r="M54" s="174" t="n"/>
      <c r="N54" s="173" t="n">
        <v>0</v>
      </c>
      <c r="O54" s="173" t="n">
        <v>0</v>
      </c>
      <c r="P54" s="167" t="n">
        <v>1</v>
      </c>
      <c r="Q54" s="176" t="n">
        <v>7157.8</v>
      </c>
      <c r="R54" s="175" t="inlineStr">
        <is>
          <t>6951 CCTC</t>
        </is>
      </c>
    </row>
    <row r="55">
      <c r="A55" s="17" t="inlineStr">
        <is>
          <t>Dakin Securities Limited</t>
        </is>
      </c>
      <c r="B55" s="167" t="n">
        <v>1</v>
      </c>
      <c r="C55" s="173" t="n">
        <v>100</v>
      </c>
      <c r="D55" s="174" t="n">
        <v>5</v>
      </c>
      <c r="E55" s="174" t="n">
        <v>3.8</v>
      </c>
      <c r="F55" s="174" t="n">
        <v>-1.2</v>
      </c>
      <c r="G55" s="167" t="n">
        <v>1</v>
      </c>
      <c r="H55" s="174" t="n">
        <v>25</v>
      </c>
      <c r="I55" s="174" t="n">
        <v>60</v>
      </c>
      <c r="J55" s="174" t="n">
        <v>22.5</v>
      </c>
      <c r="K55" s="174" t="n">
        <v>20.5</v>
      </c>
      <c r="L55" s="174" t="n">
        <v>54.2</v>
      </c>
      <c r="M55" s="174" t="n">
        <v>18.1</v>
      </c>
      <c r="N55" s="173" t="n"/>
      <c r="O55" s="173" t="n"/>
      <c r="P55" s="167" t="n">
        <v>0</v>
      </c>
      <c r="Q55" s="176" t="n">
        <v>126</v>
      </c>
      <c r="R55" s="175" t="inlineStr">
        <is>
          <t>1440 DEYUN HOLDING</t>
        </is>
      </c>
    </row>
    <row r="56">
      <c r="A56" s="17" t="inlineStr">
        <is>
          <t>Guoyuan Securities Brokerage</t>
        </is>
      </c>
      <c r="B56" s="167" t="n">
        <v>1</v>
      </c>
      <c r="C56" s="173" t="n">
        <v>100</v>
      </c>
      <c r="D56" s="174" t="n">
        <v>27.4</v>
      </c>
      <c r="E56" s="174" t="n">
        <v>2.2</v>
      </c>
      <c r="F56" s="174" t="n">
        <v>-19.8</v>
      </c>
      <c r="G56" s="167" t="n">
        <v>1</v>
      </c>
      <c r="H56" s="174" t="n">
        <v>-11.5</v>
      </c>
      <c r="I56" s="174" t="n">
        <v>-41.1</v>
      </c>
      <c r="J56" s="174" t="n">
        <v>-39</v>
      </c>
      <c r="K56" s="174" t="n">
        <v>-13.4</v>
      </c>
      <c r="L56" s="174" t="n">
        <v>-42.4</v>
      </c>
      <c r="M56" s="174" t="n">
        <v>-40.4</v>
      </c>
      <c r="N56" s="173" t="n">
        <v>0</v>
      </c>
      <c r="O56" s="173" t="n">
        <v>100</v>
      </c>
      <c r="P56" s="167" t="n">
        <v>1</v>
      </c>
      <c r="Q56" s="176" t="n">
        <v>177.4</v>
      </c>
      <c r="R56" s="175" t="inlineStr">
        <is>
          <t>2693 JINYAN KAOLIN</t>
        </is>
      </c>
    </row>
    <row r="57">
      <c r="A57" s="17" t="inlineStr">
        <is>
          <t>DBS Asia Capital Limited</t>
        </is>
      </c>
      <c r="B57" s="167" t="n">
        <v>1</v>
      </c>
      <c r="C57" s="173" t="n">
        <v>100</v>
      </c>
      <c r="D57" s="174" t="n">
        <v>7.2</v>
      </c>
      <c r="E57" s="174" t="n">
        <v>0.2</v>
      </c>
      <c r="F57" s="174" t="n">
        <v>-6.5</v>
      </c>
      <c r="G57" s="167" t="n">
        <v>1</v>
      </c>
      <c r="H57" s="174" t="n">
        <v>-0.4</v>
      </c>
      <c r="I57" s="174" t="n">
        <v>-0.4</v>
      </c>
      <c r="J57" s="174" t="n">
        <v>47.6</v>
      </c>
      <c r="K57" s="174" t="n">
        <v>-0.6</v>
      </c>
      <c r="L57" s="174" t="n">
        <v>-0.6</v>
      </c>
      <c r="M57" s="174" t="n">
        <v>47.3</v>
      </c>
      <c r="N57" s="173" t="n">
        <v>0</v>
      </c>
      <c r="O57" s="173" t="n">
        <v>100</v>
      </c>
      <c r="P57" s="167" t="n">
        <v>1</v>
      </c>
      <c r="Q57" s="176" t="n">
        <v>412.5</v>
      </c>
      <c r="R57" s="175" t="inlineStr">
        <is>
          <t>2597 XUNZHONG</t>
        </is>
      </c>
    </row>
    <row r="58">
      <c r="A58" s="17" t="inlineStr">
        <is>
          <t>Guotai Juna n Securities</t>
        </is>
      </c>
      <c r="B58" s="167" t="n">
        <v>1</v>
      </c>
      <c r="C58" s="173" t="n">
        <v>0</v>
      </c>
      <c r="D58" s="174" t="n">
        <v>0</v>
      </c>
      <c r="E58" s="174" t="n">
        <v>0</v>
      </c>
      <c r="F58" s="174" t="n">
        <v>0</v>
      </c>
      <c r="G58" s="167" t="n">
        <v>1</v>
      </c>
      <c r="H58" s="174" t="n">
        <v>0</v>
      </c>
      <c r="I58" s="174" t="n">
        <v>8.199999999999999</v>
      </c>
      <c r="J58" s="174" t="n">
        <v>-0.5</v>
      </c>
      <c r="K58" s="174" t="n">
        <v>0</v>
      </c>
      <c r="L58" s="174" t="n">
        <v>8.199999999999999</v>
      </c>
      <c r="M58" s="174" t="n">
        <v>-0.5</v>
      </c>
      <c r="N58" s="173" t="n">
        <v>0</v>
      </c>
      <c r="O58" s="173" t="n">
        <v>0</v>
      </c>
      <c r="P58" s="167" t="n">
        <v>1</v>
      </c>
      <c r="Q58" s="176" t="n">
        <v>1057.7</v>
      </c>
      <c r="R58" s="175" t="inlineStr">
        <is>
          <t>2402 SINOHYTEC</t>
        </is>
      </c>
    </row>
    <row r="59">
      <c r="A59" s="17" t="inlineStr">
        <is>
          <t>Shanxi Securities International Limited</t>
        </is>
      </c>
      <c r="B59" s="167" t="n">
        <v>1</v>
      </c>
      <c r="C59" s="173" t="n">
        <v>0</v>
      </c>
      <c r="D59" s="174" t="n">
        <v>0</v>
      </c>
      <c r="E59" s="174" t="n">
        <v>0</v>
      </c>
      <c r="F59" s="174" t="n">
        <v>0</v>
      </c>
      <c r="G59" s="167" t="n">
        <v>1</v>
      </c>
      <c r="H59" s="174" t="n">
        <v>-5.5</v>
      </c>
      <c r="I59" s="174" t="n">
        <v>-17.4</v>
      </c>
      <c r="J59" s="174" t="n">
        <v>-11.5</v>
      </c>
      <c r="K59" s="174" t="n">
        <v>-5.5</v>
      </c>
      <c r="L59" s="174" t="n">
        <v>-17.4</v>
      </c>
      <c r="M59" s="174" t="n">
        <v>-11.5</v>
      </c>
      <c r="N59" s="173" t="n">
        <v>0</v>
      </c>
      <c r="O59" s="173" t="n">
        <v>0</v>
      </c>
      <c r="P59" s="167" t="n">
        <v>1</v>
      </c>
      <c r="Q59" s="176" t="n">
        <v>726.7</v>
      </c>
      <c r="R59" s="175" t="inlineStr">
        <is>
          <t>2520 SHANXI INSTALL</t>
        </is>
      </c>
    </row>
    <row r="60">
      <c r="A60" s="17" t="inlineStr">
        <is>
          <t>Red Solar Capital Limited</t>
        </is>
      </c>
      <c r="B60" s="167" t="n">
        <v>1</v>
      </c>
      <c r="C60" s="173" t="n">
        <v>0</v>
      </c>
      <c r="D60" s="174" t="n">
        <v>37.6</v>
      </c>
      <c r="E60" s="174" t="n">
        <v>0</v>
      </c>
      <c r="F60" s="174" t="n">
        <v>-27.3</v>
      </c>
      <c r="G60" s="167" t="n">
        <v>1</v>
      </c>
      <c r="H60" s="174" t="n">
        <v>-14.4</v>
      </c>
      <c r="I60" s="174" t="n">
        <v>33.6</v>
      </c>
      <c r="J60" s="174" t="n">
        <v>11.2</v>
      </c>
      <c r="K60" s="174" t="n">
        <v>-14.4</v>
      </c>
      <c r="L60" s="174" t="n">
        <v>33.6</v>
      </c>
      <c r="M60" s="174" t="n">
        <v>11.2</v>
      </c>
      <c r="N60" s="173" t="n"/>
      <c r="O60" s="173" t="n"/>
      <c r="P60" s="167" t="n">
        <v>0</v>
      </c>
      <c r="Q60" s="176" t="n">
        <v>133.9</v>
      </c>
      <c r="R60" s="175" t="inlineStr">
        <is>
          <t>2625 JIANGSU HORIZON</t>
        </is>
      </c>
    </row>
    <row r="61">
      <c r="A61" s="17" t="inlineStr">
        <is>
          <t>Mont Avenir Capital Limited</t>
        </is>
      </c>
      <c r="B61" s="167" t="n">
        <v>1</v>
      </c>
      <c r="C61" s="173" t="n">
        <v>0</v>
      </c>
      <c r="D61" s="174" t="n">
        <v>-5.5</v>
      </c>
      <c r="E61" s="174" t="n">
        <v>-6</v>
      </c>
      <c r="F61" s="174" t="n">
        <v>-0.5</v>
      </c>
      <c r="G61" s="167" t="n">
        <v>1</v>
      </c>
      <c r="H61" s="174" t="n">
        <v>-11.2</v>
      </c>
      <c r="I61" s="174" t="n">
        <v>-28</v>
      </c>
      <c r="J61" s="174" t="n">
        <v>-50.2</v>
      </c>
      <c r="K61" s="174" t="n">
        <v>-5.6</v>
      </c>
      <c r="L61" s="174" t="n">
        <v>-23.4</v>
      </c>
      <c r="M61" s="174" t="n">
        <v>-47.1</v>
      </c>
      <c r="N61" s="173" t="n">
        <v>0</v>
      </c>
      <c r="O61" s="173" t="n">
        <v>100</v>
      </c>
      <c r="P61" s="167" t="n">
        <v>1</v>
      </c>
      <c r="Q61" s="176" t="n">
        <v>872</v>
      </c>
      <c r="R61" s="175" t="inlineStr">
        <is>
          <t>9600 NEWLINK TECH</t>
        </is>
      </c>
    </row>
    <row r="62">
      <c r="A62" s="17" t="inlineStr">
        <is>
          <t>Fortune</t>
        </is>
      </c>
      <c r="B62" s="167" t="n">
        <v>1</v>
      </c>
      <c r="C62" s="173" t="n">
        <v>0</v>
      </c>
      <c r="D62" s="174" t="n">
        <v>-19.1</v>
      </c>
      <c r="E62" s="174" t="n">
        <v>-8.699999999999999</v>
      </c>
      <c r="F62" s="174" t="n">
        <v>12.9</v>
      </c>
      <c r="G62" s="167" t="n">
        <v>1</v>
      </c>
      <c r="H62" s="174" t="n">
        <v>5.8</v>
      </c>
      <c r="I62" s="174" t="n">
        <v>-13.9</v>
      </c>
      <c r="J62" s="174" t="n">
        <v>-13.3</v>
      </c>
      <c r="K62" s="174" t="n">
        <v>15.8</v>
      </c>
      <c r="L62" s="174" t="n">
        <v>-5.7</v>
      </c>
      <c r="M62" s="174" t="n">
        <v>-5.1</v>
      </c>
      <c r="N62" s="173" t="n">
        <v>0</v>
      </c>
      <c r="O62" s="173" t="n">
        <v>100</v>
      </c>
      <c r="P62" s="167" t="n">
        <v>1</v>
      </c>
      <c r="Q62" s="176" t="n">
        <v>644.8</v>
      </c>
      <c r="R62" s="175" t="inlineStr">
        <is>
          <t>2153 TAT HONG EQUIP</t>
        </is>
      </c>
    </row>
    <row r="63">
      <c r="A63" s="17" t="inlineStr">
        <is>
          <t>First Shanghai Securities Limited</t>
        </is>
      </c>
      <c r="B63" s="167" t="n">
        <v>1</v>
      </c>
      <c r="C63" s="173" t="n">
        <v>0</v>
      </c>
      <c r="D63" s="174" t="n">
        <v>2</v>
      </c>
      <c r="E63" s="174" t="n">
        <v>-10.8</v>
      </c>
      <c r="F63" s="174" t="n">
        <v>-12.5</v>
      </c>
      <c r="G63" s="167" t="n">
        <v>1</v>
      </c>
      <c r="H63" s="174" t="n">
        <v>-3.9</v>
      </c>
      <c r="I63" s="174" t="n">
        <v>-10.8</v>
      </c>
      <c r="J63" s="174" t="n">
        <v>-17.6</v>
      </c>
      <c r="K63" s="174" t="n">
        <v>7.7</v>
      </c>
      <c r="L63" s="174" t="n">
        <v>0</v>
      </c>
      <c r="M63" s="174" t="n">
        <v>-7.7</v>
      </c>
      <c r="N63" s="173" t="n">
        <v>0</v>
      </c>
      <c r="O63" s="173" t="n">
        <v>100</v>
      </c>
      <c r="P63" s="167" t="n">
        <v>1</v>
      </c>
      <c r="Q63" s="176" t="n">
        <v>255</v>
      </c>
      <c r="R63" s="175" t="inlineStr">
        <is>
          <t>2265 HC ENV TECH</t>
        </is>
      </c>
    </row>
    <row r="64">
      <c r="A64" s="17" t="inlineStr">
        <is>
          <t>BN P Paribas Securities</t>
        </is>
      </c>
      <c r="B64" s="167" t="n">
        <v>1</v>
      </c>
      <c r="C64" s="173" t="n">
        <v>0</v>
      </c>
      <c r="D64" s="174" t="n">
        <v>-16.7</v>
      </c>
      <c r="E64" s="174" t="n">
        <v>-12</v>
      </c>
      <c r="F64" s="174" t="n">
        <v>5.6</v>
      </c>
      <c r="G64" s="167" t="n">
        <v>1</v>
      </c>
      <c r="H64" s="174" t="n">
        <v>-9</v>
      </c>
      <c r="I64" s="174" t="n">
        <v>-23.7</v>
      </c>
      <c r="J64" s="174" t="n">
        <v>-38.3</v>
      </c>
      <c r="K64" s="174" t="n">
        <v>3.4</v>
      </c>
      <c r="L64" s="174" t="n">
        <v>-13.3</v>
      </c>
      <c r="M64" s="174" t="n">
        <v>-29.9</v>
      </c>
      <c r="N64" s="173" t="n">
        <v>0</v>
      </c>
      <c r="O64" s="173" t="n">
        <v>100</v>
      </c>
      <c r="P64" s="167" t="n">
        <v>1</v>
      </c>
      <c r="Q64" s="176" t="n">
        <v>984.5</v>
      </c>
      <c r="R64" s="175" t="inlineStr">
        <is>
          <t>9982 CENTRALCHINA MT</t>
        </is>
      </c>
    </row>
    <row r="65">
      <c r="A65" s="17" t="inlineStr">
        <is>
          <t>Alpha Financial Group Limited</t>
        </is>
      </c>
      <c r="B65" s="167" t="n">
        <v>1</v>
      </c>
      <c r="C65" s="173" t="n">
        <v>0</v>
      </c>
      <c r="D65" s="174" t="n">
        <v>15</v>
      </c>
      <c r="E65" s="174" t="n">
        <v>-12.5</v>
      </c>
      <c r="F65" s="174" t="n">
        <v>-23.9</v>
      </c>
      <c r="G65" s="167" t="n">
        <v>1</v>
      </c>
      <c r="H65" s="174" t="n">
        <v>-31.2</v>
      </c>
      <c r="I65" s="174" t="n">
        <v>-42</v>
      </c>
      <c r="J65" s="174" t="n">
        <v>-55</v>
      </c>
      <c r="K65" s="174" t="n">
        <v>-21.4</v>
      </c>
      <c r="L65" s="174" t="n">
        <v>-33.7</v>
      </c>
      <c r="M65" s="174" t="n">
        <v>-48.6</v>
      </c>
      <c r="N65" s="173" t="n"/>
      <c r="O65" s="173" t="n"/>
      <c r="P65" s="167" t="n">
        <v>0</v>
      </c>
      <c r="Q65" s="176" t="n">
        <v>125</v>
      </c>
      <c r="R65" s="175" t="inlineStr">
        <is>
          <t>2129 LEGION CONSO</t>
        </is>
      </c>
    </row>
    <row r="66">
      <c r="A66" s="17" t="inlineStr">
        <is>
          <t>Space Securities Limited</t>
        </is>
      </c>
      <c r="B66" s="167" t="n">
        <v>1</v>
      </c>
      <c r="C66" s="173" t="n">
        <v>0</v>
      </c>
      <c r="D66" s="174" t="n">
        <v>-5.6</v>
      </c>
      <c r="E66" s="174" t="n">
        <v>-22.2</v>
      </c>
      <c r="F66" s="174" t="n">
        <v>-17.6</v>
      </c>
      <c r="G66" s="167" t="n">
        <v>1</v>
      </c>
      <c r="H66" s="174" t="n">
        <v>-29.6</v>
      </c>
      <c r="I66" s="174" t="n">
        <v>-38</v>
      </c>
      <c r="J66" s="174" t="n">
        <v>-40.7</v>
      </c>
      <c r="K66" s="174" t="n">
        <v>-9.5</v>
      </c>
      <c r="L66" s="174" t="n">
        <v>-20.2</v>
      </c>
      <c r="M66" s="174" t="n">
        <v>-23.8</v>
      </c>
      <c r="N66" s="173" t="n"/>
      <c r="O66" s="173" t="n"/>
      <c r="P66" s="167" t="n">
        <v>0</v>
      </c>
      <c r="Q66" s="176" t="n">
        <v>135</v>
      </c>
      <c r="R66" s="175" t="inlineStr">
        <is>
          <t>1413 KWONG LUEN ENG</t>
        </is>
      </c>
    </row>
    <row r="67">
      <c r="A67" s="17" t="inlineStr">
        <is>
          <t>Head &amp; Shoulders Securities Limited</t>
        </is>
      </c>
      <c r="B67" s="167" t="n">
        <v>1</v>
      </c>
      <c r="C67" s="173" t="n">
        <v>0</v>
      </c>
      <c r="D67" s="174" t="n">
        <v>-32</v>
      </c>
      <c r="E67" s="174" t="n">
        <v>-23.4</v>
      </c>
      <c r="F67" s="174" t="n">
        <v>12.6</v>
      </c>
      <c r="G67" s="167" t="n">
        <v>1</v>
      </c>
      <c r="H67" s="174" t="n">
        <v>20.3</v>
      </c>
      <c r="I67" s="174" t="n">
        <v>26.6</v>
      </c>
      <c r="J67" s="174" t="n">
        <v>-21.1</v>
      </c>
      <c r="K67" s="174" t="n">
        <v>57.1</v>
      </c>
      <c r="L67" s="174" t="n">
        <v>65.3</v>
      </c>
      <c r="M67" s="174" t="n">
        <v>3.1</v>
      </c>
      <c r="N67" s="173" t="n">
        <v>0</v>
      </c>
      <c r="O67" s="173" t="n">
        <v>100</v>
      </c>
      <c r="P67" s="167" t="n">
        <v>1</v>
      </c>
      <c r="Q67" s="176" t="n">
        <v>130.6</v>
      </c>
      <c r="R67" s="175" t="inlineStr">
        <is>
          <t>2442 EASY SMART GP</t>
        </is>
      </c>
    </row>
    <row r="68">
      <c r="A68" s="17" t="inlineStr">
        <is>
          <t>First Fidelity Capi tal</t>
        </is>
      </c>
      <c r="B68" s="167" t="n">
        <v>1</v>
      </c>
      <c r="C68" s="173" t="n">
        <v>0</v>
      </c>
      <c r="D68" s="174" t="n">
        <v>-8</v>
      </c>
      <c r="E68" s="174" t="n">
        <v>-26.7</v>
      </c>
      <c r="F68" s="174" t="n">
        <v>-20.3</v>
      </c>
      <c r="G68" s="167" t="n">
        <v>1</v>
      </c>
      <c r="H68" s="174" t="n">
        <v>-34.7</v>
      </c>
      <c r="I68" s="174" t="n">
        <v>-40</v>
      </c>
      <c r="J68" s="174" t="n">
        <v>-46.7</v>
      </c>
      <c r="K68" s="174" t="n">
        <v>-10.9</v>
      </c>
      <c r="L68" s="174" t="n">
        <v>-18.2</v>
      </c>
      <c r="M68" s="174" t="n">
        <v>-27.3</v>
      </c>
      <c r="N68" s="173" t="n"/>
      <c r="O68" s="173" t="n"/>
      <c r="P68" s="167" t="n">
        <v>0</v>
      </c>
      <c r="Q68" s="176" t="n">
        <v>148.5</v>
      </c>
      <c r="R68" s="175" t="inlineStr">
        <is>
          <t>1927 JIUJIUWANG</t>
        </is>
      </c>
    </row>
    <row r="69">
      <c r="A69" s="17" t="inlineStr">
        <is>
          <t>Zhongtai Internati onal Securities Limited</t>
        </is>
      </c>
      <c r="B69" s="167" t="n">
        <v>1</v>
      </c>
      <c r="C69" s="173" t="n">
        <v>0</v>
      </c>
      <c r="D69" s="174" t="n">
        <v>-39.2</v>
      </c>
      <c r="E69" s="174" t="n">
        <v>-46.4</v>
      </c>
      <c r="F69" s="174" t="n">
        <v>-11.8</v>
      </c>
      <c r="G69" s="167" t="n">
        <v>1</v>
      </c>
      <c r="H69" s="174" t="n">
        <v>-63.6</v>
      </c>
      <c r="I69" s="174" t="n">
        <v>-65.59999999999999</v>
      </c>
      <c r="J69" s="174" t="n">
        <v>-68.40000000000001</v>
      </c>
      <c r="K69" s="174" t="n">
        <v>-32.1</v>
      </c>
      <c r="L69" s="174" t="n">
        <v>-35.8</v>
      </c>
      <c r="M69" s="174" t="n">
        <v>-41</v>
      </c>
      <c r="N69" s="173" t="n">
        <v>0</v>
      </c>
      <c r="O69" s="173" t="n">
        <v>100</v>
      </c>
      <c r="P69" s="167" t="n">
        <v>1</v>
      </c>
      <c r="Q69" s="176" t="n">
        <v>200</v>
      </c>
      <c r="R69" s="175"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1"/>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5" t="inlineStr">
        <is>
          <t>A. LISTING DATE AND DAY-1 CLOSE (91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0" t="inlineStr">
        <is>
          <t>9608</t>
        </is>
      </c>
      <c r="B6" s="17" t="inlineStr">
        <is>
          <t>SUNDY SERVICE</t>
        </is>
      </c>
      <c r="C6" s="177" t="inlineStr">
        <is>
          <t>2021-01-18</t>
        </is>
      </c>
      <c r="D6" s="178" t="n">
        <v>0.16</v>
      </c>
      <c r="E6" s="174" t="n">
        <v>-36</v>
      </c>
      <c r="F6" s="50">
        <f>IFERROR(BDH(TEXT(N($A6),"0")&amp;" HK Equity","PX_LAST",$C6,$C6),"run on terminal")</f>
        <v/>
      </c>
      <c r="G6" s="10">
        <f>IF(NOT(ISNUMBER($F6)),"run on terminal",IF(ABS($F6/($D6)-1)&lt;0.005,"MATCH","CHECK: BBG "&amp;TEXT($F6,"0.000")))</f>
        <v/>
      </c>
      <c r="H6" s="175" t="inlineStr">
        <is>
          <t>AAStocks listing date (was 2021-01-16); close from the local session list</t>
        </is>
      </c>
    </row>
    <row r="7">
      <c r="A7" s="170" t="inlineStr">
        <is>
          <t>2170</t>
        </is>
      </c>
      <c r="B7" s="17" t="inlineStr">
        <is>
          <t>BASECARE-B</t>
        </is>
      </c>
      <c r="C7" s="177" t="inlineStr">
        <is>
          <t>2021-02-08</t>
        </is>
      </c>
      <c r="D7" s="178" t="n">
        <v>27.699</v>
      </c>
      <c r="E7" s="174" t="n">
        <v>1.24</v>
      </c>
      <c r="F7" s="50">
        <f>IFERROR(BDH(TEXT(N($A7),"0")&amp;" HK Equity","PX_LAST",$C7,$C7),"run on terminal")</f>
        <v/>
      </c>
      <c r="G7" s="10">
        <f>IF(NOT(ISNUMBER($F7)),"run on terminal",IF(ABS($F7/($D7)-1)&lt;0.005,"MATCH","CHECK: BBG "&amp;TEXT($F7,"0.000")))</f>
        <v/>
      </c>
      <c r="H7" s="175" t="inlineStr">
        <is>
          <t>AAStocks listing date (was 2021-02-06); close from the local session list</t>
        </is>
      </c>
    </row>
    <row r="8">
      <c r="A8" s="170" t="inlineStr">
        <is>
          <t>2518</t>
        </is>
      </c>
      <c r="B8" s="17" t="inlineStr">
        <is>
          <t>AUTOHOME-S</t>
        </is>
      </c>
      <c r="C8" s="177" t="inlineStr">
        <is>
          <t>2021-03-15</t>
        </is>
      </c>
      <c r="D8" s="178" t="n">
        <v>180.002</v>
      </c>
      <c r="E8" s="174" t="n">
        <v>2.1</v>
      </c>
      <c r="F8" s="50">
        <f>IFERROR(BDH(TEXT(N($A8),"0")&amp;" HK Equity","PX_LAST",$C8,$C8),"run on terminal")</f>
        <v/>
      </c>
      <c r="G8" s="10">
        <f>IF(NOT(ISNUMBER($F8)),"run on terminal",IF(ABS($F8/($D8)-1)&lt;0.005,"MATCH","CHECK: BBG "&amp;TEXT($F8,"0.000")))</f>
        <v/>
      </c>
      <c r="H8" s="175" t="inlineStr">
        <is>
          <t>AAStocks listing date (was 2021-03-13); close from the local session list</t>
        </is>
      </c>
    </row>
    <row r="9">
      <c r="A9" s="170" t="inlineStr">
        <is>
          <t>9626</t>
        </is>
      </c>
      <c r="B9" s="17" t="inlineStr">
        <is>
          <t>BILIBILI-SW</t>
        </is>
      </c>
      <c r="C9" s="177" t="inlineStr">
        <is>
          <t>2021-03-29</t>
        </is>
      </c>
      <c r="D9" s="178" t="n">
        <v>800.001</v>
      </c>
      <c r="E9" s="174" t="n">
        <v>-0.99</v>
      </c>
      <c r="F9" s="50">
        <f>IFERROR(BDH(TEXT(N($A9),"0")&amp;" HK Equity","PX_LAST",$C9,$C9),"run on terminal")</f>
        <v/>
      </c>
      <c r="G9" s="10">
        <f>IF(NOT(ISNUMBER($F9)),"run on terminal",IF(ABS($F9/($D9)-1)&lt;0.005,"MATCH","CHECK: BBG "&amp;TEXT($F9,"0.000")))</f>
        <v/>
      </c>
      <c r="H9" s="175" t="inlineStr">
        <is>
          <t>AAStocks listing date (was 2021-03-27); close from the local session list</t>
        </is>
      </c>
    </row>
    <row r="10">
      <c r="A10" s="170" t="inlineStr">
        <is>
          <t>9961</t>
        </is>
      </c>
      <c r="B10" s="17" t="inlineStr">
        <is>
          <t>TRIP.COM-S</t>
        </is>
      </c>
      <c r="C10" s="177" t="inlineStr">
        <is>
          <t>2021-04-19</t>
        </is>
      </c>
      <c r="D10" s="178" t="n">
        <v>280.194</v>
      </c>
      <c r="E10" s="174" t="n">
        <v>4.55</v>
      </c>
      <c r="F10" s="50">
        <f>IFERROR(BDH(TEXT(N($A10),"0")&amp;" HK Equity","PX_LAST",$C10,$C10),"run on terminal")</f>
        <v/>
      </c>
      <c r="G10" s="10">
        <f>IF(NOT(ISNUMBER($F10)),"run on terminal",IF(ABS($F10/($D10)-1)&lt;0.005,"MATCH","CHECK: BBG "&amp;TEXT($F10,"0.000")))</f>
        <v/>
      </c>
      <c r="H10" s="175" t="inlineStr">
        <is>
          <t>AAStocks listing date (was 2021-04-17); close from the local session list</t>
        </is>
      </c>
    </row>
    <row r="11">
      <c r="A11" s="170" t="inlineStr">
        <is>
          <t>2191</t>
        </is>
      </c>
      <c r="B11" s="17" t="inlineStr">
        <is>
          <t>SF REIT</t>
        </is>
      </c>
      <c r="C11" s="177" t="inlineStr">
        <is>
          <t>2021-05-17</t>
        </is>
      </c>
      <c r="D11" s="178" t="n">
        <v>4.16</v>
      </c>
      <c r="E11" s="174" t="n">
        <v>-16.47</v>
      </c>
      <c r="F11" s="50">
        <f>IFERROR(BDH(TEXT(N($A11),"0")&amp;" HK Equity","PX_LAST",$C11,$C11),"run on terminal")</f>
        <v/>
      </c>
      <c r="G11" s="10">
        <f>IF(NOT(ISNUMBER($F11)),"run on terminal",IF(ABS($F11/($D11)-1)&lt;0.005,"MATCH","CHECK: BBG "&amp;TEXT($F11,"0.000")))</f>
        <v/>
      </c>
      <c r="H11" s="175" t="inlineStr">
        <is>
          <t>AAStocks listing date (was 2021-05-15); close from the local session list</t>
        </is>
      </c>
    </row>
    <row r="12">
      <c r="A12" s="170" t="inlineStr">
        <is>
          <t>9982</t>
        </is>
      </c>
      <c r="B12" s="17" t="inlineStr">
        <is>
          <t>CENTRALCHINA MT</t>
        </is>
      </c>
      <c r="C12" s="177" t="inlineStr">
        <is>
          <t>2021-05-31</t>
        </is>
      </c>
      <c r="D12" s="178" t="n">
        <v>2.64</v>
      </c>
      <c r="E12" s="174" t="n">
        <v>-12</v>
      </c>
      <c r="F12" s="50">
        <f>IFERROR(BDH(TEXT(N($A12),"0")&amp;" HK Equity","PX_LAST",$C12,$C12),"run on terminal")</f>
        <v/>
      </c>
      <c r="G12" s="10">
        <f>IF(NOT(ISNUMBER($F12)),"run on terminal",IF(ABS($F12/($D12)-1)&lt;0.005,"MATCH","CHECK: BBG "&amp;TEXT($F12,"0.000")))</f>
        <v/>
      </c>
      <c r="H12" s="175" t="inlineStr">
        <is>
          <t>AAStocks listing date (was 2021-05-29); close from the local session list</t>
        </is>
      </c>
    </row>
    <row r="13">
      <c r="A13" s="170" t="inlineStr">
        <is>
          <t>2155</t>
        </is>
      </c>
      <c r="B13" s="17" t="inlineStr">
        <is>
          <t>MORIMATSU INTL</t>
        </is>
      </c>
      <c r="C13" s="177" t="inlineStr">
        <is>
          <t>2021-06-28</t>
        </is>
      </c>
      <c r="D13" s="178" t="n">
        <v>8.9</v>
      </c>
      <c r="E13" s="174" t="n">
        <v>258.87</v>
      </c>
      <c r="F13" s="50">
        <f>IFERROR(BDH(TEXT(N($A13),"0")&amp;" HK Equity","PX_LAST",$C13,$C13),"run on terminal")</f>
        <v/>
      </c>
      <c r="G13" s="10">
        <f>IF(NOT(ISNUMBER($F13)),"run on terminal",IF(ABS($F13/($D13)-1)&lt;0.005,"MATCH","CHECK: BBG "&amp;TEXT($F13,"0.000")))</f>
        <v/>
      </c>
      <c r="H13" s="175" t="inlineStr">
        <is>
          <t>AAStocks listing date (was 2021-06-26); close from the local session list</t>
        </is>
      </c>
    </row>
    <row r="14">
      <c r="A14" s="170" t="inlineStr">
        <is>
          <t>6626</t>
        </is>
      </c>
      <c r="B14" s="17" t="inlineStr">
        <is>
          <t>YUEXIU SERVICES</t>
        </is>
      </c>
      <c r="C14" s="177" t="inlineStr">
        <is>
          <t>2021-06-28</t>
        </is>
      </c>
      <c r="D14" s="178" t="n">
        <v>4.88</v>
      </c>
      <c r="E14" s="174" t="n">
        <v>0</v>
      </c>
      <c r="F14" s="50">
        <f>IFERROR(BDH(TEXT(N($A14),"0")&amp;" HK Equity","PX_LAST",$C14,$C14),"run on terminal")</f>
        <v/>
      </c>
      <c r="G14" s="10">
        <f>IF(NOT(ISNUMBER($F14)),"run on terminal",IF(ABS($F14/($D14)-1)&lt;0.005,"MATCH","CHECK: BBG "&amp;TEXT($F14,"0.000")))</f>
        <v/>
      </c>
      <c r="H14" s="175" t="inlineStr">
        <is>
          <t>AAStocks listing date (was 2021-06-26); close from the local session list</t>
        </is>
      </c>
    </row>
    <row r="15">
      <c r="A15" s="170" t="inlineStr">
        <is>
          <t>0606</t>
        </is>
      </c>
      <c r="B15" s="17" t="inlineStr">
        <is>
          <t>SCE CM</t>
        </is>
      </c>
      <c r="C15" s="177" t="inlineStr">
        <is>
          <t>2021-07-02</t>
        </is>
      </c>
      <c r="D15" s="178" t="n">
        <v>4</v>
      </c>
      <c r="E15" s="174" t="n">
        <v>8.109999999999999</v>
      </c>
      <c r="F15" s="50">
        <f>IFERROR(BDH(TEXT(N($A15),"0")&amp;" HK Equity","PX_LAST",$C15,$C15),"run on terminal")</f>
        <v/>
      </c>
      <c r="G15" s="10">
        <f>IF(NOT(ISNUMBER($F15)),"run on terminal",IF(ABS($F15/($D15)-1)&lt;0.005,"MATCH","CHECK: BBG "&amp;TEXT($F15,"0.000")))</f>
        <v/>
      </c>
      <c r="H15" s="175" t="inlineStr">
        <is>
          <t>AAStocks listing date (was 2021-07-01); close from the local session list</t>
        </is>
      </c>
    </row>
    <row r="16">
      <c r="A16" s="170" t="inlineStr">
        <is>
          <t>2190</t>
        </is>
      </c>
      <c r="B16" s="17" t="inlineStr">
        <is>
          <t>ZYLOXTB-B</t>
        </is>
      </c>
      <c r="C16" s="177" t="inlineStr">
        <is>
          <t>2021-07-05</t>
        </is>
      </c>
      <c r="D16" s="178" t="n">
        <v>60.002</v>
      </c>
      <c r="E16" s="174" t="n">
        <v>40.52</v>
      </c>
      <c r="F16" s="50">
        <f>IFERROR(BDH(TEXT(N($A16),"0")&amp;" HK Equity","PX_LAST",$C16,$C16),"run on terminal")</f>
        <v/>
      </c>
      <c r="G16" s="10">
        <f>IF(NOT(ISNUMBER($F16)),"run on terminal",IF(ABS($F16/($D16)-1)&lt;0.005,"MATCH","CHECK: BBG "&amp;TEXT($F16,"0.000")))</f>
        <v/>
      </c>
      <c r="H16" s="175" t="inlineStr">
        <is>
          <t>AAStocks listing date (was 2021-07-03); close from the local session list</t>
        </is>
      </c>
    </row>
    <row r="17">
      <c r="A17" s="170" t="inlineStr">
        <is>
          <t>2165</t>
        </is>
      </c>
      <c r="B17" s="17" t="inlineStr">
        <is>
          <t>LING YUE SER GP</t>
        </is>
      </c>
      <c r="C17" s="177" t="inlineStr">
        <is>
          <t>2021-07-12</t>
        </is>
      </c>
      <c r="D17" s="178" t="n">
        <v>4.19</v>
      </c>
      <c r="E17" s="174" t="n">
        <v>0</v>
      </c>
      <c r="F17" s="50">
        <f>IFERROR(BDH(TEXT(N($A17),"0")&amp;" HK Equity","PX_LAST",$C17,$C17),"run on terminal")</f>
        <v/>
      </c>
      <c r="G17" s="10">
        <f>IF(NOT(ISNUMBER($F17)),"run on terminal",IF(ABS($F17/($D17)-1)&lt;0.005,"MATCH","CHECK: BBG "&amp;TEXT($F17,"0.000")))</f>
        <v/>
      </c>
      <c r="H17" s="175" t="inlineStr">
        <is>
          <t>AAStocks listing date (was 2021-07-10); close from the local session list</t>
        </is>
      </c>
    </row>
    <row r="18">
      <c r="A18" s="170" t="inlineStr">
        <is>
          <t>2177</t>
        </is>
      </c>
      <c r="B18" s="17" t="inlineStr">
        <is>
          <t>UNQ HOLDINGS</t>
        </is>
      </c>
      <c r="C18" s="177" t="inlineStr">
        <is>
          <t>2021-07-12</t>
        </is>
      </c>
      <c r="D18" s="178" t="n">
        <v>9.039999999999999</v>
      </c>
      <c r="E18" s="174" t="n">
        <v>-23.78</v>
      </c>
      <c r="F18" s="50">
        <f>IFERROR(BDH(TEXT(N($A18),"0")&amp;" HK Equity","PX_LAST",$C18,$C18),"run on terminal")</f>
        <v/>
      </c>
      <c r="G18" s="10">
        <f>IF(NOT(ISNUMBER($F18)),"run on terminal",IF(ABS($F18/($D18)-1)&lt;0.005,"MATCH","CHECK: BBG "&amp;TEXT($F18,"0.000")))</f>
        <v/>
      </c>
      <c r="H18" s="175" t="inlineStr">
        <is>
          <t>AAStocks listing date (was 2021-07-10); close from the local session list</t>
        </is>
      </c>
    </row>
    <row r="19">
      <c r="A19" s="170" t="inlineStr">
        <is>
          <t>6611</t>
        </is>
      </c>
      <c r="B19" s="17" t="inlineStr">
        <is>
          <t>SANXUN GROUP</t>
        </is>
      </c>
      <c r="C19" s="177" t="inlineStr">
        <is>
          <t>2021-07-19</t>
        </is>
      </c>
      <c r="D19" s="178" t="n">
        <v>4.75</v>
      </c>
      <c r="E19" s="174" t="n">
        <v>0</v>
      </c>
      <c r="F19" s="50">
        <f>IFERROR(BDH(TEXT(N($A19),"0")&amp;" HK Equity","PX_LAST",$C19,$C19),"run on terminal")</f>
        <v/>
      </c>
      <c r="G19" s="10">
        <f>IF(NOT(ISNUMBER($F19)),"run on terminal",IF(ABS($F19/($D19)-1)&lt;0.005,"MATCH","CHECK: BBG "&amp;TEXT($F19,"0.000")))</f>
        <v/>
      </c>
      <c r="H19" s="175" t="inlineStr">
        <is>
          <t>AAStocks listing date (was 2021-07-17); close from the local session list</t>
        </is>
      </c>
    </row>
    <row r="20">
      <c r="A20" s="170" t="inlineStr">
        <is>
          <t>2378</t>
        </is>
      </c>
      <c r="B20" s="17" t="inlineStr">
        <is>
          <t>PRU</t>
        </is>
      </c>
      <c r="C20" s="177" t="inlineStr">
        <is>
          <t>2021-10-04</t>
        </is>
      </c>
      <c r="D20" s="178" t="n">
        <v>150.602</v>
      </c>
      <c r="E20" s="174" t="n">
        <v>4.73</v>
      </c>
      <c r="F20" s="50">
        <f>IFERROR(BDH(TEXT(N($A20),"0")&amp;" HK Equity","PX_LAST",$C20,$C20),"run on terminal")</f>
        <v/>
      </c>
      <c r="G20" s="10">
        <f>IF(NOT(ISNUMBER($F20)),"run on terminal",IF(ABS($F20/($D20)-1)&lt;0.005,"MATCH","CHECK: BBG "&amp;TEXT($F20,"0.000")))</f>
        <v/>
      </c>
      <c r="H20" s="175" t="inlineStr">
        <is>
          <t>AAStocks listing date (was 2021-10-01); close from the local session list</t>
        </is>
      </c>
    </row>
    <row r="21">
      <c r="A21" s="170" t="inlineStr">
        <is>
          <t>1948</t>
        </is>
      </c>
      <c r="B21" s="17" t="inlineStr">
        <is>
          <t>UJU HOLDING</t>
        </is>
      </c>
      <c r="C21" s="177" t="inlineStr">
        <is>
          <t>2021-11-08</t>
        </is>
      </c>
      <c r="D21" s="178" t="n">
        <v>6.4</v>
      </c>
      <c r="E21" s="174" t="n">
        <v>-4.48</v>
      </c>
      <c r="F21" s="50">
        <f>IFERROR(BDH(TEXT(N($A21),"0")&amp;" HK Equity","PX_LAST",$C21,$C21),"run on terminal")</f>
        <v/>
      </c>
      <c r="G21" s="10">
        <f>IF(NOT(ISNUMBER($F21)),"run on terminal",IF(ABS($F21/($D21)-1)&lt;0.005,"MATCH","CHECK: BBG "&amp;TEXT($F21,"0.000")))</f>
        <v/>
      </c>
      <c r="H21" s="175" t="inlineStr">
        <is>
          <t>AAStocks listing date (was 2021-11-06); close from the local session list</t>
        </is>
      </c>
    </row>
    <row r="22">
      <c r="A22" s="170" t="inlineStr">
        <is>
          <t>2279</t>
        </is>
      </c>
      <c r="B22" s="17" t="inlineStr">
        <is>
          <t>YONGHE MEDICAL</t>
        </is>
      </c>
      <c r="C22" s="177" t="inlineStr">
        <is>
          <t>2021-12-13</t>
        </is>
      </c>
      <c r="D22" s="178" t="n">
        <v>16.599</v>
      </c>
      <c r="E22" s="174" t="n">
        <v>5.06</v>
      </c>
      <c r="F22" s="50">
        <f>IFERROR(BDH(TEXT(N($A22),"0")&amp;" HK Equity","PX_LAST",$C22,$C22),"run on terminal")</f>
        <v/>
      </c>
      <c r="G22" s="10">
        <f>IF(NOT(ISNUMBER($F22)),"run on terminal",IF(ABS($F22/($D22)-1)&lt;0.005,"MATCH","CHECK: BBG "&amp;TEXT($F22,"0.000")))</f>
        <v/>
      </c>
      <c r="H22" s="175" t="inlineStr">
        <is>
          <t>AAStocks listing date (was 2021-12-11); close from the local session list</t>
        </is>
      </c>
    </row>
    <row r="23">
      <c r="A23" s="170" t="inlineStr">
        <is>
          <t>2250</t>
        </is>
      </c>
      <c r="B23" s="17" t="inlineStr">
        <is>
          <t>SEMK HOLDINGS</t>
        </is>
      </c>
      <c r="C23" s="177" t="inlineStr">
        <is>
          <t>2022-01-17</t>
        </is>
      </c>
      <c r="D23" s="178" t="n">
        <v>2.39</v>
      </c>
      <c r="E23" s="174" t="n">
        <v>16.59</v>
      </c>
      <c r="F23" s="50">
        <f>IFERROR(BDH(TEXT(N($A23),"0")&amp;" HK Equity","PX_LAST",$C23,$C23),"run on terminal")</f>
        <v/>
      </c>
      <c r="G23" s="10">
        <f>IF(NOT(ISNUMBER($F23)),"run on terminal",IF(ABS($F23/($D23)-1)&lt;0.005,"MATCH","CHECK: BBG "&amp;TEXT($F23,"0.000")))</f>
        <v/>
      </c>
      <c r="H23" s="175" t="inlineStr">
        <is>
          <t>AAStocks listing date (was 2022-01-15); close from the local session list</t>
        </is>
      </c>
    </row>
    <row r="24">
      <c r="A24" s="170" t="inlineStr">
        <is>
          <t>2237</t>
        </is>
      </c>
      <c r="B24" s="17" t="inlineStr">
        <is>
          <t>CHINA GRAPHITE</t>
        </is>
      </c>
      <c r="C24" s="177" t="inlineStr">
        <is>
          <t>2022-07-18</t>
        </is>
      </c>
      <c r="D24" s="178" t="n">
        <v>0.79</v>
      </c>
      <c r="E24" s="174" t="n">
        <v>143.08</v>
      </c>
      <c r="F24" s="50">
        <f>IFERROR(BDH(TEXT(N($A24),"0")&amp;" HK Equity","PX_LAST",$C24,$C24),"run on terminal")</f>
        <v/>
      </c>
      <c r="G24" s="10">
        <f>IF(NOT(ISNUMBER($F24)),"run on terminal",IF(ABS($F24/($D24)-1)&lt;0.005,"MATCH","CHECK: BBG "&amp;TEXT($F24,"0.000")))</f>
        <v/>
      </c>
      <c r="H24" s="175" t="inlineStr">
        <is>
          <t>AAStocks listing date (was 2022-07-16); close from the local session list</t>
        </is>
      </c>
    </row>
    <row r="25">
      <c r="A25" s="170" t="inlineStr">
        <is>
          <t>2350</t>
        </is>
      </c>
      <c r="B25" s="17" t="inlineStr">
        <is>
          <t>MTT GROUP</t>
        </is>
      </c>
      <c r="C25" s="177" t="inlineStr">
        <is>
          <t>2022-09-26</t>
        </is>
      </c>
      <c r="D25" s="178" t="n">
        <v>0.62</v>
      </c>
      <c r="E25" s="174" t="n">
        <v>-27.06</v>
      </c>
      <c r="F25" s="50">
        <f>IFERROR(BDH(TEXT(N($A25),"0")&amp;" HK Equity","PX_LAST",$C25,$C25),"run on terminal")</f>
        <v/>
      </c>
      <c r="G25" s="10">
        <f>IF(NOT(ISNUMBER($F25)),"run on terminal",IF(ABS($F25/($D25/1.246)-1)&lt;0.005,"MATCH","CHECK: BBG "&amp;TEXT($F25,"0.000")))</f>
        <v/>
      </c>
      <c r="H25" s="175" t="inlineStr">
        <is>
          <t>AAStocks listing date (was 2022-09-24); close from the local session list; Bloomberg basis = raw / 1.246</t>
        </is>
      </c>
    </row>
    <row r="26">
      <c r="A26" s="170" t="inlineStr">
        <is>
          <t>9877</t>
        </is>
      </c>
      <c r="B26" s="17" t="inlineStr">
        <is>
          <t>JENSCARE-B</t>
        </is>
      </c>
      <c r="C26" s="177" t="inlineStr">
        <is>
          <t>2022-10-10</t>
        </is>
      </c>
      <c r="D26" s="178" t="n">
        <v>28.25</v>
      </c>
      <c r="E26" s="174" t="n">
        <v>1.62</v>
      </c>
      <c r="F26" s="50">
        <f>IFERROR(BDH(TEXT(N($A26),"0")&amp;" HK Equity","PX_LAST",$C26,$C26),"run on terminal")</f>
        <v/>
      </c>
      <c r="G26" s="10">
        <f>IF(NOT(ISNUMBER($F26)),"run on terminal",IF(ABS($F26/($D26)-1)&lt;0.005,"MATCH","CHECK: BBG "&amp;TEXT($F26,"0.000")))</f>
        <v/>
      </c>
      <c r="H26" s="175" t="inlineStr">
        <is>
          <t>AAStocks listing date (was 2022-10-08); close from the local session list</t>
        </is>
      </c>
    </row>
    <row r="27">
      <c r="A27" s="170" t="inlineStr">
        <is>
          <t>1489</t>
        </is>
      </c>
      <c r="B27" s="17" t="inlineStr">
        <is>
          <t>GC CONSTRUCTION</t>
        </is>
      </c>
      <c r="C27" s="177" t="inlineStr">
        <is>
          <t>2022-10-10</t>
        </is>
      </c>
      <c r="D27" s="178" t="n">
        <v>0.55</v>
      </c>
      <c r="E27" s="174" t="n">
        <v>10</v>
      </c>
      <c r="F27" s="50">
        <f>IFERROR(BDH(TEXT(N($A27),"0")&amp;" HK Equity","PX_LAST",$C27,$C27),"run on terminal")</f>
        <v/>
      </c>
      <c r="G27" s="10">
        <f>IF(NOT(ISNUMBER($F27)),"run on terminal",IF(ABS($F27/($D27)-1)&lt;0.005,"MATCH","CHECK: BBG "&amp;TEXT($F27,"0.000")))</f>
        <v/>
      </c>
      <c r="H27" s="175" t="inlineStr">
        <is>
          <t>AAStocks listing date (was 2022-10-08); close from the local session list</t>
        </is>
      </c>
    </row>
    <row r="28">
      <c r="A28" s="170" t="inlineStr">
        <is>
          <t>2422</t>
        </is>
      </c>
      <c r="B28" s="17" t="inlineStr">
        <is>
          <t>REGO INTERACT</t>
        </is>
      </c>
      <c r="C28" s="177" t="inlineStr">
        <is>
          <t>2022-10-17</t>
        </is>
      </c>
      <c r="D28" s="178" t="n">
        <v>1.35</v>
      </c>
      <c r="E28" s="174" t="n">
        <v>110.94</v>
      </c>
      <c r="F28" s="50">
        <f>IFERROR(BDH(TEXT(N($A28),"0")&amp;" HK Equity","PX_LAST",$C28,$C28),"run on terminal")</f>
        <v/>
      </c>
      <c r="G28" s="10">
        <f>IF(NOT(ISNUMBER($F28)),"run on terminal",IF(ABS($F28/($D28/1.1936)-1)&lt;0.005,"MATCH","CHECK: BBG "&amp;TEXT($F28,"0.000")))</f>
        <v/>
      </c>
      <c r="H28" s="175" t="inlineStr">
        <is>
          <t>AAStocks listing date (was 2022-10-15); close from the local session list; Bloomberg basis = raw / 1.1936</t>
        </is>
      </c>
    </row>
    <row r="29">
      <c r="A29" s="170" t="inlineStr">
        <is>
          <t>2407</t>
        </is>
      </c>
      <c r="B29" s="17" t="inlineStr">
        <is>
          <t>GAUSH MEDITECH</t>
        </is>
      </c>
      <c r="C29" s="177" t="inlineStr">
        <is>
          <t>2022-12-12</t>
        </is>
      </c>
      <c r="D29" s="178" t="n">
        <v>51.4</v>
      </c>
      <c r="E29" s="174" t="n">
        <v>0</v>
      </c>
      <c r="F29" s="50">
        <f>IFERROR(BDH(TEXT(N($A29),"0")&amp;" HK Equity","PX_LAST",$C29,$C29),"run on terminal")</f>
        <v/>
      </c>
      <c r="G29" s="10">
        <f>IF(NOT(ISNUMBER($F29)),"run on terminal",IF(ABS($F29/($D29)-1)&lt;0.005,"MATCH","CHECK: BBG "&amp;TEXT($F29,"0.000")))</f>
        <v/>
      </c>
      <c r="H29" s="175" t="inlineStr">
        <is>
          <t>AAStocks listing date (was 2022-12-10); close from the local session list</t>
        </is>
      </c>
    </row>
    <row r="30">
      <c r="A30" s="170" t="inlineStr">
        <is>
          <t>2440</t>
        </is>
      </c>
      <c r="B30" s="17" t="inlineStr">
        <is>
          <t>HOWKINGTECH</t>
        </is>
      </c>
      <c r="C30" s="177" t="inlineStr">
        <is>
          <t>2022-12-12</t>
        </is>
      </c>
      <c r="D30" s="178" t="n">
        <v>2</v>
      </c>
      <c r="E30" s="174" t="n">
        <v>-26.74</v>
      </c>
      <c r="F30" s="50">
        <f>IFERROR(BDH(TEXT(N($A30),"0")&amp;" HK Equity","PX_LAST",$C30,$C30),"run on terminal")</f>
        <v/>
      </c>
      <c r="G30" s="10">
        <f>IF(NOT(ISNUMBER($F30)),"run on terminal",IF(ABS($F30/($D30/1.22414)-1)&lt;0.005,"MATCH","CHECK: BBG "&amp;TEXT($F30,"0.000")))</f>
        <v/>
      </c>
      <c r="H30" s="175" t="inlineStr">
        <is>
          <t>AAStocks listing date (was 2022-12-10); close from the local session list; Bloomberg basis = raw / 1.22414</t>
        </is>
      </c>
    </row>
    <row r="31">
      <c r="A31" s="170" t="inlineStr">
        <is>
          <t>2469</t>
        </is>
      </c>
      <c r="B31" s="17" t="inlineStr">
        <is>
          <t>FENBI</t>
        </is>
      </c>
      <c r="C31" s="177" t="inlineStr">
        <is>
          <t>2023-01-09</t>
        </is>
      </c>
      <c r="D31" s="178" t="n">
        <v>11.1</v>
      </c>
      <c r="E31" s="174" t="n">
        <v>12.12</v>
      </c>
      <c r="F31" s="50">
        <f>IFERROR(BDH(TEXT(N($A31),"0")&amp;" HK Equity","PX_LAST",$C31,$C31),"run on terminal")</f>
        <v/>
      </c>
      <c r="G31" s="10">
        <f>IF(NOT(ISNUMBER($F31)),"run on terminal",IF(ABS($F31/($D31)-1)&lt;0.005,"MATCH","CHECK: BBG "&amp;TEXT($F31,"0.000")))</f>
        <v/>
      </c>
      <c r="H31" s="175" t="inlineStr">
        <is>
          <t>AAStocks listing date (was 2023-01-07); close from the local session list</t>
        </is>
      </c>
    </row>
    <row r="32">
      <c r="A32" s="170" t="inlineStr">
        <is>
          <t>2411</t>
        </is>
      </c>
      <c r="B32" s="17" t="inlineStr">
        <is>
          <t>PAGODA GP</t>
        </is>
      </c>
      <c r="C32" s="177" t="inlineStr">
        <is>
          <t>2023-01-16</t>
        </is>
      </c>
      <c r="D32" s="178" t="n">
        <v>6</v>
      </c>
      <c r="E32" s="174" t="n">
        <v>7.14</v>
      </c>
      <c r="F32" s="50">
        <f>IFERROR(BDH(TEXT(N($A32),"0")&amp;" HK Equity","PX_LAST",$C32,$C32),"run on terminal")</f>
        <v/>
      </c>
      <c r="G32" s="10">
        <f>IF(NOT(ISNUMBER($F32)),"run on terminal",IF(ABS($F32/($D32)-1)&lt;0.005,"MATCH","CHECK: BBG "&amp;TEXT($F32,"0.000")))</f>
        <v/>
      </c>
      <c r="H32" s="175" t="inlineStr">
        <is>
          <t>AAStocks listing date (was 2023-01-14); close from the local session list</t>
        </is>
      </c>
    </row>
    <row r="33">
      <c r="A33" s="170" t="inlineStr">
        <is>
          <t>2373</t>
        </is>
      </c>
      <c r="B33" s="17" t="inlineStr">
        <is>
          <t>BEAUTYFARM MED</t>
        </is>
      </c>
      <c r="C33" s="177" t="inlineStr">
        <is>
          <t>2023-01-16</t>
        </is>
      </c>
      <c r="D33" s="178" t="n">
        <v>29.65</v>
      </c>
      <c r="E33" s="174" t="n">
        <v>53.47</v>
      </c>
      <c r="F33" s="50">
        <f>IFERROR(BDH(TEXT(N($A33),"0")&amp;" HK Equity","PX_LAST",$C33,$C33),"run on terminal")</f>
        <v/>
      </c>
      <c r="G33" s="10">
        <f>IF(NOT(ISNUMBER($F33)),"run on terminal",IF(ABS($F33/($D33)-1)&lt;0.005,"MATCH","CHECK: BBG "&amp;TEXT($F33,"0.000")))</f>
        <v/>
      </c>
      <c r="H33" s="175" t="inlineStr">
        <is>
          <t>AAStocks listing date (was 2023-01-14); close from the local session list</t>
        </is>
      </c>
    </row>
    <row r="34">
      <c r="A34" s="170" t="inlineStr">
        <is>
          <t>2458</t>
        </is>
      </c>
      <c r="B34" s="17" t="inlineStr">
        <is>
          <t>GALA TECH HOLD</t>
        </is>
      </c>
      <c r="C34" s="177" t="inlineStr">
        <is>
          <t>2023-01-16</t>
        </is>
      </c>
      <c r="D34" s="178" t="n">
        <v>5.75</v>
      </c>
      <c r="E34" s="174" t="n">
        <v>-11.54</v>
      </c>
      <c r="F34" s="50">
        <f>IFERROR(BDH(TEXT(N($A34),"0")&amp;" HK Equity","PX_LAST",$C34,$C34),"run on terminal")</f>
        <v/>
      </c>
      <c r="G34" s="10">
        <f>IF(NOT(ISNUMBER($F34)),"run on terminal",IF(ABS($F34/($D34)-1)&lt;0.005,"MATCH","CHECK: BBG "&amp;TEXT($F34,"0.000")))</f>
        <v/>
      </c>
      <c r="H34" s="175" t="inlineStr">
        <is>
          <t>AAStocks listing date (was 2023-01-14); close from the local session list</t>
        </is>
      </c>
    </row>
    <row r="35">
      <c r="A35" s="170" t="inlineStr">
        <is>
          <t>2480</t>
        </is>
      </c>
      <c r="B35" s="17" t="inlineStr">
        <is>
          <t>LUZHU BIOTECH-B</t>
        </is>
      </c>
      <c r="C35" s="177" t="inlineStr">
        <is>
          <t>2023-05-08</t>
        </is>
      </c>
      <c r="D35" s="178" t="n">
        <v>21.999</v>
      </c>
      <c r="E35" s="174" t="n">
        <v>-32.93</v>
      </c>
      <c r="F35" s="50">
        <f>IFERROR(BDH(TEXT(N($A35),"0")&amp;" HK Equity","PX_LAST",$C35,$C35),"run on terminal")</f>
        <v/>
      </c>
      <c r="G35" s="10">
        <f>IF(NOT(ISNUMBER($F35)),"run on terminal",IF(ABS($F35/($D35)-1)&lt;0.005,"MATCH","CHECK: BBG "&amp;TEXT($F35,"0.000")))</f>
        <v/>
      </c>
      <c r="H35" s="175" t="inlineStr">
        <is>
          <t>AAStocks listing date (was 2023-05-06); close from the local session list</t>
        </is>
      </c>
    </row>
    <row r="36">
      <c r="A36" s="170" t="inlineStr">
        <is>
          <t>2487</t>
        </is>
      </c>
      <c r="B36" s="17" t="inlineStr">
        <is>
          <t>CUTIA-B</t>
        </is>
      </c>
      <c r="C36" s="177" t="inlineStr">
        <is>
          <t>2023-06-12</t>
        </is>
      </c>
      <c r="D36" s="178" t="n">
        <v>21.951</v>
      </c>
      <c r="E36" s="174" t="n">
        <v>0.46</v>
      </c>
      <c r="F36" s="50">
        <f>IFERROR(BDH(TEXT(N($A36),"0")&amp;" HK Equity","PX_LAST",$C36,$C36),"run on terminal")</f>
        <v/>
      </c>
      <c r="G36" s="10">
        <f>IF(NOT(ISNUMBER($F36)),"run on terminal",IF(ABS($F36/($D36)-1)&lt;0.005,"MATCH","CHECK: BBG "&amp;TEXT($F36,"0.000")))</f>
        <v/>
      </c>
      <c r="H36" s="175" t="inlineStr">
        <is>
          <t>AAStocks listing date (was 2023-06-10); close from the local session list</t>
        </is>
      </c>
    </row>
    <row r="37">
      <c r="A37" s="170" t="inlineStr">
        <is>
          <t>2481</t>
        </is>
      </c>
      <c r="B37" s="17" t="inlineStr">
        <is>
          <t>WISE LIVING TEC</t>
        </is>
      </c>
      <c r="C37" s="177" t="inlineStr">
        <is>
          <t>2023-07-10</t>
        </is>
      </c>
      <c r="D37" s="178" t="n">
        <v>3.6</v>
      </c>
      <c r="E37" s="174" t="n">
        <v>0</v>
      </c>
      <c r="F37" s="50">
        <f>IFERROR(BDH(TEXT(N($A37),"0")&amp;" HK Equity","PX_LAST",$C37,$C37),"run on terminal")</f>
        <v/>
      </c>
      <c r="G37" s="10">
        <f>IF(NOT(ISNUMBER($F37)),"run on terminal",IF(ABS($F37/($D37)-1)&lt;0.005,"MATCH","CHECK: BBG "&amp;TEXT($F37,"0.000")))</f>
        <v/>
      </c>
      <c r="H37" s="175" t="inlineStr">
        <is>
          <t>AAStocks listing date (was 2023-07-08); close from the local session list</t>
        </is>
      </c>
    </row>
    <row r="38">
      <c r="A38" s="170" t="inlineStr">
        <is>
          <t>1284</t>
        </is>
      </c>
      <c r="B38" s="17" t="inlineStr">
        <is>
          <t>NEW MEDIA LAB</t>
        </is>
      </c>
      <c r="C38" s="177" t="inlineStr">
        <is>
          <t>2023-07-18</t>
        </is>
      </c>
      <c r="D38" s="178" t="n">
        <v>0.93</v>
      </c>
      <c r="E38" s="174" t="n">
        <v>1.09</v>
      </c>
      <c r="F38" s="50">
        <f>IFERROR(BDH(TEXT(N($A38),"0")&amp;" HK Equity","PX_LAST",$C38,$C38),"run on terminal")</f>
        <v/>
      </c>
      <c r="G38" s="10">
        <f>IF(NOT(ISNUMBER($F38)),"run on terminal",IF(ABS($F38/($D38)-1)&lt;0.005,"MATCH","CHECK: BBG "&amp;TEXT($F38,"0.000")))</f>
        <v/>
      </c>
      <c r="H38" s="175" t="inlineStr">
        <is>
          <t>AAStocks listing date (was 2023-07-15); close from the local session list</t>
        </is>
      </c>
    </row>
    <row r="39">
      <c r="A39" s="170" t="inlineStr">
        <is>
          <t>2496</t>
        </is>
      </c>
      <c r="B39" s="17" t="inlineStr">
        <is>
          <t>YZYBIO-B</t>
        </is>
      </c>
      <c r="C39" s="177" t="inlineStr">
        <is>
          <t>2023-09-25</t>
        </is>
      </c>
      <c r="D39" s="178" t="n">
        <v>16</v>
      </c>
      <c r="E39" s="174" t="n">
        <v>0</v>
      </c>
      <c r="F39" s="50">
        <f>IFERROR(BDH(TEXT(N($A39),"0")&amp;" HK Equity","PX_LAST",$C39,$C39),"run on terminal")</f>
        <v/>
      </c>
      <c r="G39" s="10">
        <f>IF(NOT(ISNUMBER($F39)),"run on terminal",IF(ABS($F39/($D39)-1)&lt;0.005,"MATCH","CHECK: BBG "&amp;TEXT($F39,"0.000")))</f>
        <v/>
      </c>
      <c r="H39" s="175" t="inlineStr">
        <is>
          <t>AAStocks listing date (was 2023-09-23); close from the local session list</t>
        </is>
      </c>
    </row>
    <row r="40">
      <c r="A40" s="170" t="inlineStr">
        <is>
          <t>2490</t>
        </is>
      </c>
      <c r="B40" s="17" t="inlineStr">
        <is>
          <t>LC LOGISTICS</t>
        </is>
      </c>
      <c r="C40" s="177" t="inlineStr">
        <is>
          <t>2023-09-25</t>
        </is>
      </c>
      <c r="D40" s="178" t="n">
        <v>5.1</v>
      </c>
      <c r="E40" s="174" t="n">
        <v>-0.58</v>
      </c>
      <c r="F40" s="50">
        <f>IFERROR(BDH(TEXT(N($A40),"0")&amp;" HK Equity","PX_LAST",$C40,$C40),"run on terminal")</f>
        <v/>
      </c>
      <c r="G40" s="10">
        <f>IF(NOT(ISNUMBER($F40)),"run on terminal",IF(ABS($F40/($D40/2.0)-1)&lt;0.005,"MATCH","CHECK: BBG "&amp;TEXT($F40,"0.000")))</f>
        <v/>
      </c>
      <c r="H40" s="175" t="inlineStr">
        <is>
          <t>AAStocks listing date (was 2023-09-23); close from the local session list; Bloomberg basis = raw / 2</t>
        </is>
      </c>
    </row>
    <row r="41">
      <c r="A41" s="170" t="inlineStr">
        <is>
          <t>0666</t>
        </is>
      </c>
      <c r="B41" s="17" t="inlineStr">
        <is>
          <t>REPT BATTERO</t>
        </is>
      </c>
      <c r="C41" s="177" t="inlineStr">
        <is>
          <t>2023-12-18</t>
        </is>
      </c>
      <c r="D41" s="178" t="n">
        <v>18.779</v>
      </c>
      <c r="E41" s="174" t="n">
        <v>2.62</v>
      </c>
      <c r="F41" s="50">
        <f>IFERROR(BDH(TEXT(N($A41),"0")&amp;" HK Equity","PX_LAST",$C41,$C41),"run on terminal")</f>
        <v/>
      </c>
      <c r="G41" s="10">
        <f>IF(NOT(ISNUMBER($F41)),"run on terminal",IF(ABS($F41/($D41)-1)&lt;0.005,"MATCH","CHECK: BBG "&amp;TEXT($F41,"0.000")))</f>
        <v/>
      </c>
      <c r="H41" s="175" t="inlineStr">
        <is>
          <t>AAStocks listing date (was 2023-12-16); close from the local session list</t>
        </is>
      </c>
    </row>
    <row r="42">
      <c r="A42" s="170" t="inlineStr">
        <is>
          <t>2556</t>
        </is>
      </c>
      <c r="B42" s="17" t="inlineStr">
        <is>
          <t>MARKETINGFORCE</t>
        </is>
      </c>
      <c r="C42" s="177" t="inlineStr">
        <is>
          <t>2024-05-16</t>
        </is>
      </c>
      <c r="D42" s="178" t="n">
        <v>51.649</v>
      </c>
      <c r="E42" s="174" t="n">
        <v>18.46</v>
      </c>
      <c r="F42" s="50">
        <f>IFERROR(BDH(TEXT(N($A42),"0")&amp;" HK Equity","PX_LAST",$C42,$C42),"run on terminal")</f>
        <v/>
      </c>
      <c r="G42" s="10">
        <f>IF(NOT(ISNUMBER($F42)),"run on terminal",IF(ABS($F42/($D42)-1)&lt;0.005,"MATCH","CHECK: BBG "&amp;TEXT($F42,"0.000")))</f>
        <v/>
      </c>
      <c r="H42" s="175" t="inlineStr">
        <is>
          <t>AAStocks listing date (was 2024-05-15); close from the local session list</t>
        </is>
      </c>
    </row>
    <row r="43">
      <c r="A43" s="170" t="inlineStr">
        <is>
          <t>0917</t>
        </is>
      </c>
      <c r="B43" s="17" t="inlineStr">
        <is>
          <t>QUNABOX GROUP</t>
        </is>
      </c>
      <c r="C43" s="177" t="inlineStr">
        <is>
          <t>2024-05-27</t>
        </is>
      </c>
      <c r="D43" s="178" t="n">
        <v>35</v>
      </c>
      <c r="E43" s="174" t="n">
        <v>40</v>
      </c>
      <c r="F43" s="50">
        <f>IFERROR(BDH(TEXT(N($A43),"0")&amp;" HK Equity","PX_LAST",$C43,$C43),"run on terminal")</f>
        <v/>
      </c>
      <c r="G43" s="10">
        <f>IF(NOT(ISNUMBER($F43)),"run on terminal",IF(ABS($F43/($D43)-1)&lt;0.005,"MATCH","CHECK: BBG "&amp;TEXT($F43,"0.000")))</f>
        <v/>
      </c>
      <c r="H43" s="175" t="inlineStr">
        <is>
          <t>AAStocks listing date (was 2024-05-25); close from the local session list</t>
        </is>
      </c>
    </row>
    <row r="44">
      <c r="A44" s="170" t="inlineStr">
        <is>
          <t>2531</t>
        </is>
      </c>
      <c r="B44" s="17" t="inlineStr">
        <is>
          <t>CARLINK TECH</t>
        </is>
      </c>
      <c r="C44" s="177" t="inlineStr">
        <is>
          <t>2024-07-15</t>
        </is>
      </c>
      <c r="D44" s="178" t="n">
        <v>4.8</v>
      </c>
      <c r="E44" s="174" t="n">
        <v>2.13</v>
      </c>
      <c r="F44" s="50">
        <f>IFERROR(BDH(TEXT(N($A44),"0")&amp;" HK Equity","PX_LAST",$C44,$C44),"run on terminal")</f>
        <v/>
      </c>
      <c r="G44" s="10">
        <f>IF(NOT(ISNUMBER($F44)),"run on terminal",IF(ABS($F44/($D44)-1)&lt;0.005,"MATCH","CHECK: BBG "&amp;TEXT($F44,"0.000")))</f>
        <v/>
      </c>
      <c r="H44" s="175" t="inlineStr">
        <is>
          <t>AAStocks listing date (was 2024-07-13); close from the local session list</t>
        </is>
      </c>
    </row>
    <row r="45">
      <c r="A45" s="170" t="inlineStr">
        <is>
          <t>2549</t>
        </is>
      </c>
      <c r="B45" s="17" t="inlineStr">
        <is>
          <t>CAROTE LTD</t>
        </is>
      </c>
      <c r="C45" s="177" t="inlineStr">
        <is>
          <t>2024-10-02</t>
        </is>
      </c>
      <c r="D45" s="178" t="n">
        <v>9.15</v>
      </c>
      <c r="E45" s="174" t="n">
        <v>58.3</v>
      </c>
      <c r="F45" s="50">
        <f>IFERROR(BDH(TEXT(N($A45),"0")&amp;" HK Equity","PX_LAST",$C45,$C45),"run on terminal")</f>
        <v/>
      </c>
      <c r="G45" s="10">
        <f>IF(NOT(ISNUMBER($F45)),"run on terminal",IF(ABS($F45/($D45)-1)&lt;0.005,"MATCH","CHECK: BBG "&amp;TEXT($F45,"0.000")))</f>
        <v/>
      </c>
      <c r="H45" s="175" t="inlineStr">
        <is>
          <t>AAStocks listing date (was 2024-10-01); close from the local session list</t>
        </is>
      </c>
    </row>
    <row r="46">
      <c r="A46" s="170" t="inlineStr">
        <is>
          <t>2432</t>
        </is>
      </c>
      <c r="B46" s="17" t="inlineStr">
        <is>
          <t>DOBOT</t>
        </is>
      </c>
      <c r="C46" s="177" t="inlineStr">
        <is>
          <t>2024-12-23</t>
        </is>
      </c>
      <c r="D46" s="178" t="n">
        <v>18.939</v>
      </c>
      <c r="E46" s="174" t="n">
        <v>0.74</v>
      </c>
      <c r="F46" s="50">
        <f>IFERROR(BDH(TEXT(N($A46),"0")&amp;" HK Equity","PX_LAST",$C46,$C46),"run on terminal")</f>
        <v/>
      </c>
      <c r="G46" s="10">
        <f>IF(NOT(ISNUMBER($F46)),"run on terminal",IF(ABS($F46/($D46)-1)&lt;0.005,"MATCH","CHECK: BBG "&amp;TEXT($F46,"0.000")))</f>
        <v/>
      </c>
      <c r="H46" s="175" t="inlineStr">
        <is>
          <t>AAStocks listing date (was 2024-12-21); close from the local session list</t>
        </is>
      </c>
    </row>
    <row r="47">
      <c r="A47" s="170" t="inlineStr">
        <is>
          <t>2431</t>
        </is>
      </c>
      <c r="B47" s="17" t="inlineStr">
        <is>
          <t>MINIEYE</t>
        </is>
      </c>
      <c r="C47" s="177" t="inlineStr">
        <is>
          <t>2024-12-27</t>
        </is>
      </c>
      <c r="D47" s="178" t="n">
        <v>19.4</v>
      </c>
      <c r="E47" s="174" t="n">
        <v>14.12</v>
      </c>
      <c r="F47" s="50">
        <f>IFERROR(BDH(TEXT(N($A47),"0")&amp;" HK Equity","PX_LAST",$C47,$C47),"run on terminal")</f>
        <v/>
      </c>
      <c r="G47" s="10">
        <f>IF(NOT(ISNUMBER($F47)),"run on terminal",IF(ABS($F47/($D47)-1)&lt;0.005,"MATCH","CHECK: BBG "&amp;TEXT($F47,"0.000")))</f>
        <v/>
      </c>
      <c r="H47" s="175" t="inlineStr">
        <is>
          <t>AAStocks listing date (was 2024-12-25); close from the local session list</t>
        </is>
      </c>
    </row>
    <row r="48">
      <c r="A48" s="170" t="inlineStr">
        <is>
          <t>2587</t>
        </is>
      </c>
      <c r="B48" s="17" t="inlineStr">
        <is>
          <t>HEALTHYWAY INC</t>
        </is>
      </c>
      <c r="C48" s="177" t="inlineStr">
        <is>
          <t>2024-12-30</t>
        </is>
      </c>
      <c r="D48" s="178" t="n">
        <v>10.66</v>
      </c>
      <c r="E48" s="174" t="n">
        <v>36.67</v>
      </c>
      <c r="F48" s="50">
        <f>IFERROR(BDH(TEXT(N($A48),"0")&amp;" HK Equity","PX_LAST",$C48,$C48),"run on terminal")</f>
        <v/>
      </c>
      <c r="G48" s="10">
        <f>IF(NOT(ISNUMBER($F48)),"run on terminal",IF(ABS($F48/($D48)-1)&lt;0.005,"MATCH","CHECK: BBG "&amp;TEXT($F48,"0.000")))</f>
        <v/>
      </c>
      <c r="H48" s="175" t="inlineStr">
        <is>
          <t>AAStocks listing date (was 2024-12-28); close from the local session list</t>
        </is>
      </c>
    </row>
    <row r="49">
      <c r="A49" s="170" t="inlineStr">
        <is>
          <t>2577</t>
        </is>
      </c>
      <c r="B49" s="17" t="inlineStr">
        <is>
          <t>INNOSCIENCE</t>
        </is>
      </c>
      <c r="C49" s="177" t="inlineStr">
        <is>
          <t>2024-12-30</t>
        </is>
      </c>
      <c r="D49" s="178" t="n">
        <v>30.999</v>
      </c>
      <c r="E49" s="174" t="n">
        <v>0.45</v>
      </c>
      <c r="F49" s="50">
        <f>IFERROR(BDH(TEXT(N($A49),"0")&amp;" HK Equity","PX_LAST",$C49,$C49),"run on terminal")</f>
        <v/>
      </c>
      <c r="G49" s="10">
        <f>IF(NOT(ISNUMBER($F49)),"run on terminal",IF(ABS($F49/($D49)-1)&lt;0.005,"MATCH","CHECK: BBG "&amp;TEXT($F49,"0.000")))</f>
        <v/>
      </c>
      <c r="H49" s="175" t="inlineStr">
        <is>
          <t>AAStocks listing date (was 2024-12-28); close from the local session list</t>
        </is>
      </c>
    </row>
    <row r="50">
      <c r="A50" s="170" t="inlineStr">
        <is>
          <t>2506</t>
        </is>
      </c>
      <c r="B50" s="17" t="inlineStr">
        <is>
          <t>XUNFEIHEALTH</t>
        </is>
      </c>
      <c r="C50" s="177" t="inlineStr">
        <is>
          <t>2024-12-30</t>
        </is>
      </c>
      <c r="D50" s="178" t="n">
        <v>86.998</v>
      </c>
      <c r="E50" s="174" t="n">
        <v>5.07</v>
      </c>
      <c r="F50" s="50">
        <f>IFERROR(BDH(TEXT(N($A50),"0")&amp;" HK Equity","PX_LAST",$C50,$C50),"run on terminal")</f>
        <v/>
      </c>
      <c r="G50" s="10">
        <f>IF(NOT(ISNUMBER($F50)),"run on terminal",IF(ABS($F50/($D50)-1)&lt;0.005,"MATCH","CHECK: BBG "&amp;TEXT($F50,"0.000")))</f>
        <v/>
      </c>
      <c r="H50" s="175" t="inlineStr">
        <is>
          <t>AAStocks listing date (was 2024-12-28); close from the local session list</t>
        </is>
      </c>
    </row>
    <row r="51">
      <c r="A51" s="170" t="inlineStr">
        <is>
          <t>2596</t>
        </is>
      </c>
      <c r="B51" s="17" t="inlineStr">
        <is>
          <t>YIBIN BANK</t>
        </is>
      </c>
      <c r="C51" s="177" t="inlineStr">
        <is>
          <t>2025-01-13</t>
        </is>
      </c>
      <c r="D51" s="178" t="n">
        <v>2.61</v>
      </c>
      <c r="E51" s="174" t="n">
        <v>0.77</v>
      </c>
      <c r="F51" s="50">
        <f>IFERROR(BDH(TEXT(N($A51),"0")&amp;" HK Equity","PX_LAST",$C51,$C51),"run on terminal")</f>
        <v/>
      </c>
      <c r="G51" s="10">
        <f>IF(NOT(ISNUMBER($F51)),"run on terminal",IF(ABS($F51/($D51)-1)&lt;0.005,"MATCH","CHECK: BBG "&amp;TEXT($F51,"0.000")))</f>
        <v/>
      </c>
      <c r="H51" s="175" t="inlineStr">
        <is>
          <t>AAStocks listing date (was 2025-01-11); close from the local session list</t>
        </is>
      </c>
    </row>
    <row r="52">
      <c r="A52" s="170" t="inlineStr">
        <is>
          <t>2097</t>
        </is>
      </c>
      <c r="B52" s="17" t="inlineStr">
        <is>
          <t>MIXUE GROUP</t>
        </is>
      </c>
      <c r="C52" s="177" t="inlineStr">
        <is>
          <t>2025-03-03</t>
        </is>
      </c>
      <c r="D52" s="178" t="n">
        <v>290</v>
      </c>
      <c r="E52" s="174" t="n">
        <v>43.21</v>
      </c>
      <c r="F52" s="50">
        <f>IFERROR(BDH(TEXT(N($A52),"0")&amp;" HK Equity","PX_LAST",$C52,$C52),"run on terminal")</f>
        <v/>
      </c>
      <c r="G52" s="10">
        <f>IF(NOT(ISNUMBER($F52)),"run on terminal",IF(ABS($F52/($D52)-1)&lt;0.005,"MATCH","CHECK: BBG "&amp;TEXT($F52,"0.000")))</f>
        <v/>
      </c>
      <c r="H52" s="175" t="inlineStr">
        <is>
          <t>AAStocks listing date (was 2025-03-01); close from the local session list</t>
        </is>
      </c>
    </row>
    <row r="53">
      <c r="A53" s="170" t="inlineStr">
        <is>
          <t>6693</t>
        </is>
      </c>
      <c r="B53" s="17" t="inlineStr">
        <is>
          <t>CHIFENG GOLD</t>
        </is>
      </c>
      <c r="C53" s="177" t="inlineStr">
        <is>
          <t>2025-03-10</t>
        </is>
      </c>
      <c r="D53" s="178" t="n">
        <v>13.72</v>
      </c>
      <c r="E53" s="174" t="n">
        <v>0</v>
      </c>
      <c r="F53" s="50">
        <f>IFERROR(BDH(TEXT(N($A53),"0")&amp;" HK Equity","PX_LAST",$C53,$C53),"run on terminal")</f>
        <v/>
      </c>
      <c r="G53" s="10">
        <f>IF(NOT(ISNUMBER($F53)),"run on terminal",IF(ABS($F53/($D53)-1)&lt;0.005,"MATCH","CHECK: BBG "&amp;TEXT($F53,"0.000")))</f>
        <v/>
      </c>
      <c r="H53" s="175" t="inlineStr">
        <is>
          <t>AAStocks listing date (was 2025-03-08); close from the local session list</t>
        </is>
      </c>
    </row>
    <row r="54">
      <c r="A54" s="170" t="inlineStr">
        <is>
          <t>2625</t>
        </is>
      </c>
      <c r="B54" s="17" t="inlineStr">
        <is>
          <t>JIANGSU HORIZON</t>
        </is>
      </c>
      <c r="C54" s="177" t="inlineStr">
        <is>
          <t>2025-03-31</t>
        </is>
      </c>
      <c r="D54" s="178" t="n">
        <v>2.5</v>
      </c>
      <c r="E54" s="174" t="n">
        <v>0</v>
      </c>
      <c r="F54" s="50">
        <f>IFERROR(BDH(TEXT(N($A54),"0")&amp;" HK Equity","PX_LAST",$C54,$C54),"run on terminal")</f>
        <v/>
      </c>
      <c r="G54" s="10">
        <f>IF(NOT(ISNUMBER($F54)),"run on terminal",IF(ABS($F54/($D54)-1)&lt;0.005,"MATCH","CHECK: BBG "&amp;TEXT($F54,"0.000")))</f>
        <v/>
      </c>
      <c r="H54" s="175" t="inlineStr">
        <is>
          <t>AAStocks listing date (was 2025-03-29); close from the local session list</t>
        </is>
      </c>
    </row>
    <row r="55">
      <c r="A55" s="170" t="inlineStr">
        <is>
          <t>3677</t>
        </is>
      </c>
      <c r="B55" s="17" t="inlineStr">
        <is>
          <t>ZENERGY</t>
        </is>
      </c>
      <c r="C55" s="177" t="inlineStr">
        <is>
          <t>2025-04-14</t>
        </is>
      </c>
      <c r="D55" s="178" t="n">
        <v>8.390000000000001</v>
      </c>
      <c r="E55" s="174" t="n">
        <v>1.45</v>
      </c>
      <c r="F55" s="50">
        <f>IFERROR(BDH(TEXT(N($A55),"0")&amp;" HK Equity","PX_LAST",$C55,$C55),"run on terminal")</f>
        <v/>
      </c>
      <c r="G55" s="10">
        <f>IF(NOT(ISNUMBER($F55)),"run on terminal",IF(ABS($F55/($D55)-1)&lt;0.005,"MATCH","CHECK: BBG "&amp;TEXT($F55,"0.000")))</f>
        <v/>
      </c>
      <c r="H55" s="175" t="inlineStr">
        <is>
          <t>AAStocks listing date (was 2025-04-12); close from the local session list</t>
        </is>
      </c>
    </row>
    <row r="56">
      <c r="A56" s="170" t="inlineStr">
        <is>
          <t>2609</t>
        </is>
      </c>
      <c r="B56" s="17" t="inlineStr">
        <is>
          <t>BAYZED HEALTH</t>
        </is>
      </c>
      <c r="C56" s="177" t="inlineStr">
        <is>
          <t>2025-06-23</t>
        </is>
      </c>
      <c r="D56" s="178" t="n">
        <v>6</v>
      </c>
      <c r="E56" s="174" t="n">
        <v>42.18</v>
      </c>
      <c r="F56" s="50">
        <f>IFERROR(BDH(TEXT(N($A56),"0")&amp;" HK Equity","PX_LAST",$C56,$C56),"run on terminal")</f>
        <v/>
      </c>
      <c r="G56" s="10">
        <f>IF(NOT(ISNUMBER($F56)),"run on terminal",IF(ABS($F56/($D56)-1)&lt;0.005,"MATCH","CHECK: BBG "&amp;TEXT($F56,"0.000")))</f>
        <v/>
      </c>
      <c r="H56" s="175" t="inlineStr">
        <is>
          <t>AAStocks listing date (was 2025-06-21); close from the local session list</t>
        </is>
      </c>
    </row>
    <row r="57">
      <c r="A57" s="170" t="inlineStr">
        <is>
          <t>2050</t>
        </is>
      </c>
      <c r="B57" s="17" t="inlineStr">
        <is>
          <t>SANHUA</t>
        </is>
      </c>
      <c r="C57" s="177" t="inlineStr">
        <is>
          <t>2025-06-23</t>
        </is>
      </c>
      <c r="D57" s="178" t="n">
        <v>22.501</v>
      </c>
      <c r="E57" s="174" t="n">
        <v>-0.13</v>
      </c>
      <c r="F57" s="50">
        <f>IFERROR(BDH(TEXT(N($A57),"0")&amp;" HK Equity","PX_LAST",$C57,$C57),"run on terminal")</f>
        <v/>
      </c>
      <c r="G57" s="10">
        <f>IF(NOT(ISNUMBER($F57)),"run on terminal",IF(ABS($F57/($D57)-1)&lt;0.005,"MATCH","CHECK: BBG "&amp;TEXT($F57,"0.000")))</f>
        <v/>
      </c>
      <c r="H57" s="175" t="inlineStr">
        <is>
          <t>AAStocks listing date (was 2025-06-21); close from the local session list</t>
        </is>
      </c>
    </row>
    <row r="58">
      <c r="A58" s="170" t="inlineStr">
        <is>
          <t>2617</t>
        </is>
      </c>
      <c r="B58" s="17" t="inlineStr">
        <is>
          <t>TRANSTHERA-B</t>
        </is>
      </c>
      <c r="C58" s="177" t="inlineStr">
        <is>
          <t>2025-06-23</t>
        </is>
      </c>
      <c r="D58" s="178" t="n">
        <v>23.5</v>
      </c>
      <c r="E58" s="174" t="n">
        <v>78.70999999999999</v>
      </c>
      <c r="F58" s="50">
        <f>IFERROR(BDH(TEXT(N($A58),"0")&amp;" HK Equity","PX_LAST",$C58,$C58),"run on terminal")</f>
        <v/>
      </c>
      <c r="G58" s="10">
        <f>IF(NOT(ISNUMBER($F58)),"run on terminal",IF(ABS($F58/($D58)-1)&lt;0.005,"MATCH","CHECK: BBG "&amp;TEXT($F58,"0.000")))</f>
        <v/>
      </c>
      <c r="H58" s="175" t="inlineStr">
        <is>
          <t>AAStocks listing date (was 2025-06-21); close from the local session list</t>
        </is>
      </c>
    </row>
    <row r="59">
      <c r="A59" s="170" t="inlineStr">
        <is>
          <t>6883</t>
        </is>
      </c>
      <c r="B59" s="17" t="inlineStr">
        <is>
          <t>ETERNAL BEAUTY</t>
        </is>
      </c>
      <c r="C59" s="177" t="inlineStr">
        <is>
          <t>2025-06-26</t>
        </is>
      </c>
      <c r="D59" s="178" t="n">
        <v>2.4</v>
      </c>
      <c r="E59" s="174" t="n">
        <v>-16.67</v>
      </c>
      <c r="F59" s="50">
        <f>IFERROR(BDH(TEXT(N($A59),"0")&amp;" HK Equity","PX_LAST",$C59,$C59),"run on terminal")</f>
        <v/>
      </c>
      <c r="G59" s="10">
        <f>IF(NOT(ISNUMBER($F59)),"run on terminal",IF(ABS($F59/($D59)-1)&lt;0.005,"MATCH","CHECK: BBG "&amp;TEXT($F59,"0.000")))</f>
        <v/>
      </c>
      <c r="H59" s="175" t="inlineStr">
        <is>
          <t>AAStocks listing date (was 2025-06-27); close from the local session list</t>
        </is>
      </c>
    </row>
    <row r="60">
      <c r="A60" s="170" t="inlineStr">
        <is>
          <t>9678</t>
        </is>
      </c>
      <c r="B60" s="17" t="inlineStr">
        <is>
          <t>UNISOUND</t>
        </is>
      </c>
      <c r="C60" s="177" t="inlineStr">
        <is>
          <t>2025-06-30</t>
        </is>
      </c>
      <c r="D60" s="178" t="n">
        <v>296.409</v>
      </c>
      <c r="E60" s="174" t="n">
        <v>44.59</v>
      </c>
      <c r="F60" s="50">
        <f>IFERROR(BDH(TEXT(N($A60),"0")&amp;" HK Equity","PX_LAST",$C60,$C60),"run on terminal")</f>
        <v/>
      </c>
      <c r="G60" s="10">
        <f>IF(NOT(ISNUMBER($F60)),"run on terminal",IF(ABS($F60/($D60)-1)&lt;0.005,"MATCH","CHECK: BBG "&amp;TEXT($F60,"0.000")))</f>
        <v/>
      </c>
      <c r="H60" s="175" t="inlineStr">
        <is>
          <t>AAStocks listing date (was 2025-06-28); close from the local session list</t>
        </is>
      </c>
    </row>
    <row r="61">
      <c r="A61" s="170" t="inlineStr">
        <is>
          <t>3880</t>
        </is>
      </c>
      <c r="B61" s="17" t="inlineStr">
        <is>
          <t>MEDTIDE</t>
        </is>
      </c>
      <c r="C61" s="177" t="inlineStr">
        <is>
          <t>2025-06-30</t>
        </is>
      </c>
      <c r="D61" s="178" t="n">
        <v>30.799</v>
      </c>
      <c r="E61" s="174" t="n">
        <v>0.65</v>
      </c>
      <c r="F61" s="50">
        <f>IFERROR(BDH(TEXT(N($A61),"0")&amp;" HK Equity","PX_LAST",$C61,$C61),"run on terminal")</f>
        <v/>
      </c>
      <c r="G61" s="10">
        <f>IF(NOT(ISNUMBER($F61)),"run on terminal",IF(ABS($F61/($D61)-1)&lt;0.005,"MATCH","CHECK: BBG "&amp;TEXT($F61,"0.000")))</f>
        <v/>
      </c>
      <c r="H61" s="175" t="inlineStr">
        <is>
          <t>AAStocks listing date (was 2025-06-28); close from the local session list</t>
        </is>
      </c>
    </row>
    <row r="62">
      <c r="A62" s="170" t="inlineStr">
        <is>
          <t>6603</t>
        </is>
      </c>
      <c r="B62" s="17" t="inlineStr">
        <is>
          <t>IFBH</t>
        </is>
      </c>
      <c r="C62" s="177" t="inlineStr">
        <is>
          <t>2025-06-30</t>
        </is>
      </c>
      <c r="D62" s="178" t="n">
        <v>39.501</v>
      </c>
      <c r="E62" s="174" t="n">
        <v>42.09</v>
      </c>
      <c r="F62" s="50">
        <f>IFERROR(BDH(TEXT(N($A62),"0")&amp;" HK Equity","PX_LAST",$C62,$C62),"run on terminal")</f>
        <v/>
      </c>
      <c r="G62" s="10">
        <f>IF(NOT(ISNUMBER($F62)),"run on terminal",IF(ABS($F62/($D62)-1)&lt;0.005,"MATCH","CHECK: BBG "&amp;TEXT($F62,"0.000")))</f>
        <v/>
      </c>
      <c r="H62" s="175" t="inlineStr">
        <is>
          <t>AAStocks listing date (was 2025-06-28); close from the local session list</t>
        </is>
      </c>
    </row>
    <row r="63">
      <c r="A63" s="170" t="inlineStr">
        <is>
          <t>1828</t>
        </is>
      </c>
      <c r="B63" s="17" t="inlineStr">
        <is>
          <t>FWD</t>
        </is>
      </c>
      <c r="C63" s="177" t="inlineStr">
        <is>
          <t>2025-07-07</t>
        </is>
      </c>
      <c r="D63" s="178" t="n">
        <v>38.399</v>
      </c>
      <c r="E63" s="174" t="n">
        <v>1.05</v>
      </c>
      <c r="F63" s="50">
        <f>IFERROR(BDH(TEXT(N($A63),"0")&amp;" HK Equity","PX_LAST",$C63,$C63),"run on terminal")</f>
        <v/>
      </c>
      <c r="G63" s="10">
        <f>IF(NOT(ISNUMBER($F63)),"run on terminal",IF(ABS($F63/($D63)-1)&lt;0.005,"MATCH","CHECK: BBG "&amp;TEXT($F63,"0.000")))</f>
        <v/>
      </c>
      <c r="H63" s="175" t="inlineStr">
        <is>
          <t>AAStocks listing date (was 2025-07-05); close from the local session list</t>
        </is>
      </c>
    </row>
    <row r="64">
      <c r="A64" s="170" t="inlineStr">
        <is>
          <t>2627</t>
        </is>
      </c>
      <c r="B64" s="17" t="inlineStr">
        <is>
          <t>AB&amp;B BIO-TECH-B</t>
        </is>
      </c>
      <c r="C64" s="177" t="inlineStr">
        <is>
          <t>2025-08-11</t>
        </is>
      </c>
      <c r="D64" s="178" t="n">
        <v>33.279</v>
      </c>
      <c r="E64" s="174" t="n">
        <v>157.98</v>
      </c>
      <c r="F64" s="50">
        <f>IFERROR(BDH(TEXT(N($A64),"0")&amp;" HK Equity","PX_LAST",$C64,$C64),"run on terminal")</f>
        <v/>
      </c>
      <c r="G64" s="10">
        <f>IF(NOT(ISNUMBER($F64)),"run on terminal",IF(ABS($F64/($D64)-1)&lt;0.005,"MATCH","CHECK: BBG "&amp;TEXT($F64,"0.000")))</f>
        <v/>
      </c>
      <c r="H64" s="175" t="inlineStr">
        <is>
          <t>AAStocks listing date (was 2025-08-09); close from the local session list</t>
        </is>
      </c>
    </row>
    <row r="65">
      <c r="A65" s="170" t="inlineStr">
        <is>
          <t>2652</t>
        </is>
      </c>
      <c r="B65" s="17" t="inlineStr">
        <is>
          <t>CF PHARMTECH</t>
        </is>
      </c>
      <c r="C65" s="177" t="inlineStr">
        <is>
          <t>2025-10-08</t>
        </is>
      </c>
      <c r="D65" s="178" t="n">
        <v>38.5</v>
      </c>
      <c r="E65" s="174" t="n">
        <v>161.02</v>
      </c>
      <c r="F65" s="50">
        <f>IFERROR(BDH(TEXT(N($A65),"0")&amp;" HK Equity","PX_LAST",$C65,$C65),"run on terminal")</f>
        <v/>
      </c>
      <c r="G65" s="10">
        <f>IF(NOT(ISNUMBER($F65)),"run on terminal",IF(ABS($F65/($D65)-1)&lt;0.005,"MATCH","CHECK: BBG "&amp;TEXT($F65,"0.000")))</f>
        <v/>
      </c>
      <c r="H65" s="175" t="inlineStr">
        <is>
          <t>AAStocks listing date (was 2025-10-07); close from the local session list</t>
        </is>
      </c>
    </row>
    <row r="66">
      <c r="A66" s="170" t="inlineStr">
        <is>
          <t>2637</t>
        </is>
      </c>
      <c r="B66" s="17" t="inlineStr">
        <is>
          <t>HAIXI PHARMA</t>
        </is>
      </c>
      <c r="C66" s="177" t="inlineStr">
        <is>
          <t>2025-10-20</t>
        </is>
      </c>
      <c r="D66" s="178" t="n">
        <v>104.198</v>
      </c>
      <c r="E66" s="174" t="n">
        <v>20.6</v>
      </c>
      <c r="F66" s="50">
        <f>IFERROR(BDH(TEXT(N($A66),"0")&amp;" HK Equity","PX_LAST",$C66,$C66),"run on terminal")</f>
        <v/>
      </c>
      <c r="G66" s="10">
        <f>IF(NOT(ISNUMBER($F66)),"run on terminal",IF(ABS($F66/($D66)-1)&lt;0.005,"MATCH","CHECK: BBG "&amp;TEXT($F66,"0.000")))</f>
        <v/>
      </c>
      <c r="H66" s="175" t="inlineStr">
        <is>
          <t>AAStocks listing date (was 2025-10-18); close from the local session list</t>
        </is>
      </c>
    </row>
    <row r="67">
      <c r="A67" s="170" t="inlineStr">
        <is>
          <t>2718</t>
        </is>
      </c>
      <c r="B67" s="17" t="inlineStr">
        <is>
          <t>MININGLAMP-W</t>
        </is>
      </c>
      <c r="C67" s="177" t="inlineStr">
        <is>
          <t>2025-11-03</t>
        </is>
      </c>
      <c r="D67" s="178" t="n">
        <v>290.601</v>
      </c>
      <c r="E67" s="174" t="n">
        <v>106.1</v>
      </c>
      <c r="F67" s="50">
        <f>IFERROR(BDH(TEXT(N($A67),"0")&amp;" HK Equity","PX_LAST",$C67,$C67),"run on terminal")</f>
        <v/>
      </c>
      <c r="G67" s="10">
        <f>IF(NOT(ISNUMBER($F67)),"run on terminal",IF(ABS($F67/($D67)-1)&lt;0.005,"MATCH","CHECK: BBG "&amp;TEXT($F67,"0.000")))</f>
        <v/>
      </c>
      <c r="H67" s="175" t="inlineStr">
        <is>
          <t>AAStocks listing date (was 2025-11-01); close from the local session list</t>
        </is>
      </c>
    </row>
    <row r="68">
      <c r="A68" s="170" t="inlineStr">
        <is>
          <t>2698</t>
        </is>
      </c>
      <c r="B68" s="17" t="inlineStr">
        <is>
          <t>SOFTCARE</t>
        </is>
      </c>
      <c r="C68" s="177" t="inlineStr">
        <is>
          <t>2025-11-10</t>
        </is>
      </c>
      <c r="D68" s="178" t="n">
        <v>32.999</v>
      </c>
      <c r="E68" s="174" t="n">
        <v>25.95</v>
      </c>
      <c r="F68" s="50">
        <f>IFERROR(BDH(TEXT(N($A68),"0")&amp;" HK Equity","PX_LAST",$C68,$C68),"run on terminal")</f>
        <v/>
      </c>
      <c r="G68" s="10">
        <f>IF(NOT(ISNUMBER($F68)),"run on terminal",IF(ABS($F68/($D68)-1)&lt;0.005,"MATCH","CHECK: BBG "&amp;TEXT($F68,"0.000")))</f>
        <v/>
      </c>
      <c r="H68" s="175" t="inlineStr">
        <is>
          <t>AAStocks listing date (was 2025-11-08); close from the local session list</t>
        </is>
      </c>
    </row>
    <row r="69">
      <c r="A69" s="170" t="inlineStr">
        <is>
          <t>2788</t>
        </is>
      </c>
      <c r="B69" s="17" t="inlineStr">
        <is>
          <t>CHUANGXIN IND</t>
        </is>
      </c>
      <c r="C69" s="177" t="inlineStr">
        <is>
          <t>2025-11-24</t>
        </is>
      </c>
      <c r="D69" s="178" t="n">
        <v>14.59</v>
      </c>
      <c r="E69" s="174" t="n">
        <v>32.76</v>
      </c>
      <c r="F69" s="50">
        <f>IFERROR(BDH(TEXT(N($A69),"0")&amp;" HK Equity","PX_LAST",$C69,$C69),"run on terminal")</f>
        <v/>
      </c>
      <c r="G69" s="10">
        <f>IF(NOT(ISNUMBER($F69)),"run on terminal",IF(ABS($F69/($D69)-1)&lt;0.005,"MATCH","CHECK: BBG "&amp;TEXT($F69,"0.000")))</f>
        <v/>
      </c>
      <c r="H69" s="175" t="inlineStr">
        <is>
          <t>AAStocks listing date (was 2025-11-22); close from the local session list</t>
        </is>
      </c>
    </row>
    <row r="70">
      <c r="A70" s="170" t="inlineStr">
        <is>
          <t>2676</t>
        </is>
      </c>
      <c r="B70" s="17" t="inlineStr">
        <is>
          <t>NOVOSENSE</t>
        </is>
      </c>
      <c r="C70" s="177" t="inlineStr">
        <is>
          <t>2025-12-08</t>
        </is>
      </c>
      <c r="D70" s="178" t="n">
        <v>111</v>
      </c>
      <c r="E70" s="174" t="n">
        <v>-4.31</v>
      </c>
      <c r="F70" s="50">
        <f>IFERROR(BDH(TEXT(N($A70),"0")&amp;" HK Equity","PX_LAST",$C70,$C70),"run on terminal")</f>
        <v/>
      </c>
      <c r="G70" s="10">
        <f>IF(NOT(ISNUMBER($F70)),"run on terminal",IF(ABS($F70/($D70)-1)&lt;0.005,"MATCH","CHECK: BBG "&amp;TEXT($F70,"0.000")))</f>
        <v/>
      </c>
      <c r="H70" s="175" t="inlineStr">
        <is>
          <t>AAStocks listing date (was 2025-12-06); close from the local session list</t>
        </is>
      </c>
    </row>
    <row r="71">
      <c r="A71" s="170" t="inlineStr">
        <is>
          <t>2687</t>
        </is>
      </c>
      <c r="B71" s="17" t="inlineStr">
        <is>
          <t>ABLE DIGITAL</t>
        </is>
      </c>
      <c r="C71" s="177" t="inlineStr">
        <is>
          <t>2025-12-08</t>
        </is>
      </c>
      <c r="D71" s="178" t="n">
        <v>126.401</v>
      </c>
      <c r="E71" s="174" t="n">
        <v>87.26000000000001</v>
      </c>
      <c r="F71" s="50">
        <f>IFERROR(BDH(TEXT(N($A71),"0")&amp;" HK Equity","PX_LAST",$C71,$C71),"run on terminal")</f>
        <v/>
      </c>
      <c r="G71" s="10">
        <f>IF(NOT(ISNUMBER($F71)),"run on terminal",IF(ABS($F71/($D71)-1)&lt;0.005,"MATCH","CHECK: BBG "&amp;TEXT($F71,"0.000")))</f>
        <v/>
      </c>
      <c r="H71" s="175" t="inlineStr">
        <is>
          <t>AAStocks listing date (was 2025-12-06); close from the local session list</t>
        </is>
      </c>
    </row>
    <row r="72">
      <c r="A72" s="170" t="inlineStr">
        <is>
          <t>2695</t>
        </is>
      </c>
      <c r="B72" s="17" t="inlineStr">
        <is>
          <t>IMPRESSION DHP</t>
        </is>
      </c>
      <c r="C72" s="177" t="inlineStr">
        <is>
          <t>2025-12-22</t>
        </is>
      </c>
      <c r="D72" s="178" t="n">
        <v>2.33</v>
      </c>
      <c r="E72" s="174" t="n">
        <v>-35.28</v>
      </c>
      <c r="F72" s="50">
        <f>IFERROR(BDH(TEXT(N($A72),"0")&amp;" HK Equity","PX_LAST",$C72,$C72),"run on terminal")</f>
        <v/>
      </c>
      <c r="G72" s="10">
        <f>IF(NOT(ISNUMBER($F72)),"run on terminal",IF(ABS($F72/($D72)-1)&lt;0.005,"MATCH","CHECK: BBG "&amp;TEXT($F72,"0.000")))</f>
        <v/>
      </c>
      <c r="H72" s="175" t="inlineStr">
        <is>
          <t>AAStocks listing date (was 2025-12-20); close from the local session list</t>
        </is>
      </c>
    </row>
    <row r="73">
      <c r="A73" s="170" t="inlineStr">
        <is>
          <t>2396</t>
        </is>
      </c>
      <c r="B73" s="17" t="inlineStr">
        <is>
          <t>B&amp;K CORP-B</t>
        </is>
      </c>
      <c r="C73" s="177" t="inlineStr">
        <is>
          <t>2025-12-22</t>
        </is>
      </c>
      <c r="D73" s="178" t="n">
        <v>27</v>
      </c>
      <c r="E73" s="174" t="n">
        <v>-29.32</v>
      </c>
      <c r="F73" s="50">
        <f>IFERROR(BDH(TEXT(N($A73),"0")&amp;" HK Equity","PX_LAST",$C73,$C73),"run on terminal")</f>
        <v/>
      </c>
      <c r="G73" s="10">
        <f>IF(NOT(ISNUMBER($F73)),"run on terminal",IF(ABS($F73/($D73)-1)&lt;0.005,"MATCH","CHECK: BBG "&amp;TEXT($F73,"0.000")))</f>
        <v/>
      </c>
      <c r="H73" s="175" t="inlineStr">
        <is>
          <t>AAStocks listing date (was 2025-12-20); close from the local session list</t>
        </is>
      </c>
    </row>
    <row r="74">
      <c r="A74" s="170" t="inlineStr">
        <is>
          <t>2581</t>
        </is>
      </c>
      <c r="B74" s="17" t="inlineStr">
        <is>
          <t>BENQ HOLDING</t>
        </is>
      </c>
      <c r="C74" s="177" t="inlineStr">
        <is>
          <t>2025-12-22</t>
        </is>
      </c>
      <c r="D74" s="178" t="n">
        <v>4.72</v>
      </c>
      <c r="E74" s="174" t="n">
        <v>-49.46</v>
      </c>
      <c r="F74" s="50">
        <f>IFERROR(BDH(TEXT(N($A74),"0")&amp;" HK Equity","PX_LAST",$C74,$C74),"run on terminal")</f>
        <v/>
      </c>
      <c r="G74" s="10">
        <f>IF(NOT(ISNUMBER($F74)),"run on terminal",IF(ABS($F74/($D74)-1)&lt;0.005,"MATCH","CHECK: BBG "&amp;TEXT($F74,"0.000")))</f>
        <v/>
      </c>
      <c r="H74" s="175" t="inlineStr">
        <is>
          <t>AAStocks listing date (was 2025-12-20); close from the local session list</t>
        </is>
      </c>
    </row>
    <row r="75">
      <c r="A75" s="170" t="inlineStr">
        <is>
          <t>2691</t>
        </is>
      </c>
      <c r="B75" s="17" t="inlineStr">
        <is>
          <t>NANHUA FUTURES</t>
        </is>
      </c>
      <c r="C75" s="177" t="inlineStr">
        <is>
          <t>2025-12-22</t>
        </is>
      </c>
      <c r="D75" s="178" t="n">
        <v>9.1</v>
      </c>
      <c r="E75" s="174" t="n">
        <v>-24.17</v>
      </c>
      <c r="F75" s="50">
        <f>IFERROR(BDH(TEXT(N($A75),"0")&amp;" HK Equity","PX_LAST",$C75,$C75),"run on terminal")</f>
        <v/>
      </c>
      <c r="G75" s="10">
        <f>IF(NOT(ISNUMBER($F75)),"run on terminal",IF(ABS($F75/($D75/1.45)-1)&lt;0.005,"MATCH","CHECK: BBG "&amp;TEXT($F75,"0.000")))</f>
        <v/>
      </c>
      <c r="H75" s="175" t="inlineStr">
        <is>
          <t>AAStocks listing date (was 2025-12-20); close from the local session list; Bloomberg basis = raw / 1.45</t>
        </is>
      </c>
    </row>
    <row r="76">
      <c r="A76" s="170" t="inlineStr">
        <is>
          <t>6082</t>
        </is>
      </c>
      <c r="B76" s="17" t="inlineStr">
        <is>
          <t>BIREN TECH</t>
        </is>
      </c>
      <c r="C76" s="177" t="inlineStr">
        <is>
          <t>2026-01-02</t>
        </is>
      </c>
      <c r="D76" s="178" t="n">
        <v>34.461</v>
      </c>
      <c r="E76" s="174" t="n">
        <v>75.81999999999999</v>
      </c>
      <c r="F76" s="50">
        <f>IFERROR(BDH(TEXT(N($A76),"0")&amp;" HK Equity","PX_LAST",$C76,$C76),"run on terminal")</f>
        <v/>
      </c>
      <c r="G76" s="10">
        <f>IF(NOT(ISNUMBER($F76)),"run on terminal",IF(ABS($F76/($D76)-1)&lt;0.005,"MATCH","CHECK: BBG "&amp;TEXT($F76,"0.000")))</f>
        <v/>
      </c>
      <c r="H76" s="175" t="inlineStr">
        <is>
          <t>AAStocks listing date (was 2026-01-01); close from the local session list</t>
        </is>
      </c>
    </row>
    <row r="77">
      <c r="A77" s="170" t="inlineStr">
        <is>
          <t>0501</t>
        </is>
      </c>
      <c r="B77" s="17" t="inlineStr">
        <is>
          <t>OMNIVISION</t>
        </is>
      </c>
      <c r="C77" s="177" t="inlineStr">
        <is>
          <t>2026-01-12</t>
        </is>
      </c>
      <c r="D77" s="178" t="n">
        <v>121.799</v>
      </c>
      <c r="E77" s="174" t="n">
        <v>16.22</v>
      </c>
      <c r="F77" s="50">
        <f>IFERROR(BDH(TEXT(N($A77),"0")&amp;" HK Equity","PX_LAST",$C77,$C77),"run on terminal")</f>
        <v/>
      </c>
      <c r="G77" s="10">
        <f>IF(NOT(ISNUMBER($F77)),"run on terminal",IF(ABS($F77/($D77)-1)&lt;0.005,"MATCH","CHECK: BBG "&amp;TEXT($F77,"0.000")))</f>
        <v/>
      </c>
      <c r="H77" s="175" t="inlineStr">
        <is>
          <t>AAStocks listing date (was 2026-01-10); close from the local session list</t>
        </is>
      </c>
    </row>
    <row r="78">
      <c r="A78" s="170" t="inlineStr">
        <is>
          <t>6809</t>
        </is>
      </c>
      <c r="B78" s="17" t="inlineStr">
        <is>
          <t>MONTAGE TECH</t>
        </is>
      </c>
      <c r="C78" s="177" t="inlineStr">
        <is>
          <t>2026-02-09</t>
        </is>
      </c>
      <c r="D78" s="178" t="n">
        <v>175</v>
      </c>
      <c r="E78" s="174" t="n">
        <v>63.72</v>
      </c>
      <c r="F78" s="50">
        <f>IFERROR(BDH(TEXT(N($A78),"0")&amp;" HK Equity","PX_LAST",$C78,$C78),"run on terminal")</f>
        <v/>
      </c>
      <c r="G78" s="10">
        <f>IF(NOT(ISNUMBER($F78)),"run on terminal",IF(ABS($F78/($D78)-1)&lt;0.005,"MATCH","CHECK: BBG "&amp;TEXT($F78,"0.000")))</f>
        <v/>
      </c>
      <c r="H78" s="175" t="inlineStr">
        <is>
          <t>AAStocks listing date (was 2026-02-07); close from the local session list</t>
        </is>
      </c>
    </row>
    <row r="79">
      <c r="A79" s="170" t="inlineStr">
        <is>
          <t>2715</t>
        </is>
      </c>
      <c r="B79" s="17" t="inlineStr">
        <is>
          <t>ESTUN</t>
        </is>
      </c>
      <c r="C79" s="177" t="inlineStr">
        <is>
          <t>2026-03-09</t>
        </is>
      </c>
      <c r="D79" s="178" t="n">
        <v>12.899</v>
      </c>
      <c r="E79" s="174" t="n">
        <v>-16.02</v>
      </c>
      <c r="F79" s="50">
        <f>IFERROR(BDH(TEXT(N($A79),"0")&amp;" HK Equity","PX_LAST",$C79,$C79),"run on terminal")</f>
        <v/>
      </c>
      <c r="G79" s="10">
        <f>IF(NOT(ISNUMBER($F79)),"run on terminal",IF(ABS($F79/($D79)-1)&lt;0.005,"MATCH","CHECK: BBG "&amp;TEXT($F79,"0.000")))</f>
        <v/>
      </c>
      <c r="H79" s="175" t="inlineStr">
        <is>
          <t>AAStocks listing date (was 2026-03-07); close from the local session list</t>
        </is>
      </c>
    </row>
    <row r="80">
      <c r="A80" s="170" t="inlineStr">
        <is>
          <t>2649</t>
        </is>
      </c>
      <c r="B80" s="17" t="inlineStr">
        <is>
          <t>ALSCO POOLING</t>
        </is>
      </c>
      <c r="C80" s="177" t="inlineStr">
        <is>
          <t>2026-03-09</t>
        </is>
      </c>
      <c r="D80" s="178" t="n">
        <v>6.2</v>
      </c>
      <c r="E80" s="174" t="n">
        <v>-43.64</v>
      </c>
      <c r="F80" s="50">
        <f>IFERROR(BDH(TEXT(N($A80),"0")&amp;" HK Equity","PX_LAST",$C80,$C80),"run on terminal")</f>
        <v/>
      </c>
      <c r="G80" s="10">
        <f>IF(NOT(ISNUMBER($F80)),"run on terminal",IF(ABS($F80/($D80)-1)&lt;0.005,"MATCH","CHECK: BBG "&amp;TEXT($F80,"0.000")))</f>
        <v/>
      </c>
      <c r="H80" s="175" t="inlineStr">
        <is>
          <t>AAStocks listing date (was 2026-03-07); close from the local session list</t>
        </is>
      </c>
    </row>
    <row r="81">
      <c r="A81" s="170" t="inlineStr">
        <is>
          <t>2692</t>
        </is>
      </c>
      <c r="B81" s="17" t="inlineStr">
        <is>
          <t>ZHAOWEI</t>
        </is>
      </c>
      <c r="C81" s="177" t="inlineStr">
        <is>
          <t>2026-03-09</t>
        </is>
      </c>
      <c r="D81" s="178" t="n">
        <v>72.998</v>
      </c>
      <c r="E81" s="174" t="n">
        <v>2.41</v>
      </c>
      <c r="F81" s="50">
        <f>IFERROR(BDH(TEXT(N($A81),"0")&amp;" HK Equity","PX_LAST",$C81,$C81),"run on terminal")</f>
        <v/>
      </c>
      <c r="G81" s="10">
        <f>IF(NOT(ISNUMBER($F81)),"run on terminal",IF(ABS($F81/($D81)-1)&lt;0.005,"MATCH","CHECK: BBG "&amp;TEXT($F81,"0.000")))</f>
        <v/>
      </c>
      <c r="H81" s="175" t="inlineStr">
        <is>
          <t>AAStocks listing date (was 2026-03-07); close from the local session list</t>
        </is>
      </c>
    </row>
    <row r="82">
      <c r="A82" s="170" t="inlineStr">
        <is>
          <t>2701</t>
        </is>
      </c>
      <c r="B82" s="17" t="inlineStr">
        <is>
          <t>NSING TECH</t>
        </is>
      </c>
      <c r="C82" s="177" t="inlineStr">
        <is>
          <t>2026-03-23</t>
        </is>
      </c>
      <c r="D82" s="178" t="n">
        <v>11.25</v>
      </c>
      <c r="E82" s="174" t="n">
        <v>4.17</v>
      </c>
      <c r="F82" s="50">
        <f>IFERROR(BDH(TEXT(N($A82),"0")&amp;" HK Equity","PX_LAST",$C82,$C82),"run on terminal")</f>
        <v/>
      </c>
      <c r="G82" s="10">
        <f>IF(NOT(ISNUMBER($F82)),"run on terminal",IF(ABS($F82/($D82)-1)&lt;0.005,"MATCH","CHECK: BBG "&amp;TEXT($F82,"0.000")))</f>
        <v/>
      </c>
      <c r="H82" s="175" t="inlineStr">
        <is>
          <t>AAStocks listing date (was 2026-03-21); close from the local session list</t>
        </is>
      </c>
    </row>
    <row r="83">
      <c r="A83" s="170" t="inlineStr">
        <is>
          <t>3355</t>
        </is>
      </c>
      <c r="B83" s="17" t="inlineStr">
        <is>
          <t>FS.COM</t>
        </is>
      </c>
      <c r="C83" s="177" t="inlineStr">
        <is>
          <t>2026-03-23</t>
        </is>
      </c>
      <c r="D83" s="178" t="n">
        <v>47.199</v>
      </c>
      <c r="E83" s="174" t="n">
        <v>13.46</v>
      </c>
      <c r="F83" s="50">
        <f>IFERROR(BDH(TEXT(N($A83),"0")&amp;" HK Equity","PX_LAST",$C83,$C83),"run on terminal")</f>
        <v/>
      </c>
      <c r="G83" s="10">
        <f>IF(NOT(ISNUMBER($F83)),"run on terminal",IF(ABS($F83/($D83)-1)&lt;0.005,"MATCH","CHECK: BBG "&amp;TEXT($F83,"0.000")))</f>
        <v/>
      </c>
      <c r="H83" s="175" t="inlineStr">
        <is>
          <t>AAStocks listing date (was 2026-03-21); close from the local session list</t>
        </is>
      </c>
    </row>
    <row r="84">
      <c r="A84" s="170" t="inlineStr">
        <is>
          <t>2726</t>
        </is>
      </c>
      <c r="B84" s="17" t="inlineStr">
        <is>
          <t>EPIWORLD</t>
        </is>
      </c>
      <c r="C84" s="177" t="inlineStr">
        <is>
          <t>2026-03-30</t>
        </is>
      </c>
      <c r="D84" s="178" t="n">
        <v>102.997</v>
      </c>
      <c r="E84" s="174" t="n">
        <v>35.06</v>
      </c>
      <c r="F84" s="50">
        <f>IFERROR(BDH(TEXT(N($A84),"0")&amp;" HK Equity","PX_LAST",$C84,$C84),"run on terminal")</f>
        <v/>
      </c>
      <c r="G84" s="10">
        <f>IF(NOT(ISNUMBER($F84)),"run on terminal",IF(ABS($F84/($D84)-1)&lt;0.005,"MATCH","CHECK: BBG "&amp;TEXT($F84,"0.000")))</f>
        <v/>
      </c>
      <c r="H84" s="175" t="inlineStr">
        <is>
          <t>AAStocks listing date (was 2026-03-28); close from the local session list</t>
        </is>
      </c>
    </row>
    <row r="85">
      <c r="A85" s="170" t="inlineStr">
        <is>
          <t>2526</t>
        </is>
      </c>
      <c r="B85" s="17" t="inlineStr">
        <is>
          <t>DIAGENS-B</t>
        </is>
      </c>
      <c r="C85" s="177" t="inlineStr">
        <is>
          <t>2026-03-30</t>
        </is>
      </c>
      <c r="D85" s="178" t="n">
        <v>209.603</v>
      </c>
      <c r="E85" s="174" t="n">
        <v>111.72</v>
      </c>
      <c r="F85" s="50">
        <f>IFERROR(BDH(TEXT(N($A85),"0")&amp;" HK Equity","PX_LAST",$C85,$C85),"run on terminal")</f>
        <v/>
      </c>
      <c r="G85" s="10">
        <f>IF(NOT(ISNUMBER($F85)),"run on terminal",IF(ABS($F85/($D85)-1)&lt;0.005,"MATCH","CHECK: BBG "&amp;TEXT($F85,"0.000")))</f>
        <v/>
      </c>
      <c r="H85" s="175" t="inlineStr">
        <is>
          <t>AAStocks listing date (was 2026-03-28); close from the local session list</t>
        </is>
      </c>
    </row>
    <row r="86">
      <c r="A86" s="170" t="inlineStr">
        <is>
          <t>6636</t>
        </is>
      </c>
      <c r="B86" s="17" t="inlineStr">
        <is>
          <t>EXTREME VISION</t>
        </is>
      </c>
      <c r="C86" s="177" t="inlineStr">
        <is>
          <t>2026-03-30</t>
        </is>
      </c>
      <c r="D86" s="178" t="n">
        <v>100</v>
      </c>
      <c r="E86" s="174" t="n">
        <v>150</v>
      </c>
      <c r="F86" s="50">
        <f>IFERROR(BDH(TEXT(N($A86),"0")&amp;" HK Equity","PX_LAST",$C86,$C86),"run on terminal")</f>
        <v/>
      </c>
      <c r="G86" s="10">
        <f>IF(NOT(ISNUMBER($F86)),"run on terminal",IF(ABS($F86/($D86)-1)&lt;0.005,"MATCH","CHECK: BBG "&amp;TEXT($F86,"0.000")))</f>
        <v/>
      </c>
      <c r="H86" s="175" t="inlineStr">
        <is>
          <t>AAStocks listing date (was 2026-03-28); close from the local session list</t>
        </is>
      </c>
    </row>
    <row r="87">
      <c r="A87" s="170" t="inlineStr">
        <is>
          <t>1021</t>
        </is>
      </c>
      <c r="B87" s="17" t="inlineStr">
        <is>
          <t>HUAYAN ROBOTICS</t>
        </is>
      </c>
      <c r="C87" s="177" t="inlineStr">
        <is>
          <t>2026-03-30</t>
        </is>
      </c>
      <c r="D87" s="178" t="n">
        <v>18.401</v>
      </c>
      <c r="E87" s="174" t="n">
        <v>8.24</v>
      </c>
      <c r="F87" s="50">
        <f>IFERROR(BDH(TEXT(N($A87),"0")&amp;" HK Equity","PX_LAST",$C87,$C87),"run on terminal")</f>
        <v/>
      </c>
      <c r="G87" s="10">
        <f>IF(NOT(ISNUMBER($F87)),"run on terminal",IF(ABS($F87/($D87)-1)&lt;0.005,"MATCH","CHECK: BBG "&amp;TEXT($F87,"0.000")))</f>
        <v/>
      </c>
      <c r="H87" s="175" t="inlineStr">
        <is>
          <t>AAStocks listing date (was 2026-03-28); close from the local session list</t>
        </is>
      </c>
    </row>
    <row r="88">
      <c r="A88" s="170" t="inlineStr">
        <is>
          <t>1236</t>
        </is>
      </c>
      <c r="B88" s="17" t="inlineStr">
        <is>
          <t>LDROBOT</t>
        </is>
      </c>
      <c r="C88" s="177" t="inlineStr">
        <is>
          <t>2026-05-11</t>
        </is>
      </c>
      <c r="D88" s="178" t="n">
        <v>60.001</v>
      </c>
      <c r="E88" s="174" t="n">
        <v>127.62</v>
      </c>
      <c r="F88" s="50">
        <f>IFERROR(BDH(TEXT(N($A88),"0")&amp;" HK Equity","PX_LAST",$C88,$C88),"run on terminal")</f>
        <v/>
      </c>
      <c r="G88" s="10">
        <f>IF(NOT(ISNUMBER($F88)),"run on terminal",IF(ABS($F88/($D88)-1)&lt;0.005,"MATCH","CHECK: BBG "&amp;TEXT($F88,"0.000")))</f>
        <v/>
      </c>
      <c r="H88" s="175" t="inlineStr">
        <is>
          <t>AAStocks listing date (was 2026-05-09); close from the local session list</t>
        </is>
      </c>
    </row>
    <row r="89">
      <c r="A89" s="170" t="inlineStr">
        <is>
          <t>6871</t>
        </is>
      </c>
      <c r="B89" s="17" t="inlineStr">
        <is>
          <t>ROBOTPHOENIX</t>
        </is>
      </c>
      <c r="C89" s="177" t="inlineStr">
        <is>
          <t>2026-05-18</t>
        </is>
      </c>
      <c r="D89" s="178" t="n">
        <v>53.75</v>
      </c>
      <c r="E89" s="174" t="n">
        <v>76.23</v>
      </c>
      <c r="F89" s="50">
        <f>IFERROR(BDH(TEXT(N($A89),"0")&amp;" HK Equity","PX_LAST",$C89,$C89),"run on terminal")</f>
        <v/>
      </c>
      <c r="G89" s="10">
        <f>IF(NOT(ISNUMBER($F89)),"run on terminal",IF(ABS($F89/($D89)-1)&lt;0.005,"MATCH","CHECK: BBG "&amp;TEXT($F89,"0.000")))</f>
        <v/>
      </c>
      <c r="H89" s="175" t="inlineStr">
        <is>
          <t>AAStocks listing date (was 2026-05-16); close from the local session list</t>
        </is>
      </c>
    </row>
    <row r="90">
      <c r="A90" s="170" t="inlineStr">
        <is>
          <t>6658</t>
        </is>
      </c>
      <c r="B90" s="17" t="inlineStr">
        <is>
          <t>LIULIUMEI</t>
        </is>
      </c>
      <c r="C90" s="177" t="inlineStr">
        <is>
          <t>2026-06-15</t>
        </is>
      </c>
      <c r="D90" s="178" t="n">
        <v>127.999</v>
      </c>
      <c r="E90" s="174" t="n">
        <v>193.71</v>
      </c>
      <c r="F90" s="50">
        <f>IFERROR(BDH(TEXT(N($A90),"0")&amp;" HK Equity","PX_LAST",$C90,$C90),"run on terminal")</f>
        <v/>
      </c>
      <c r="G90" s="10">
        <f>IF(NOT(ISNUMBER($F90)),"run on terminal",IF(ABS($F90/($D90)-1)&lt;0.005,"MATCH","CHECK: BBG "&amp;TEXT($F90,"0.000")))</f>
        <v/>
      </c>
      <c r="H90" s="175" t="inlineStr">
        <is>
          <t>AAStocks listing date (was 2026-06-13); close from the local session list</t>
        </is>
      </c>
    </row>
    <row r="91">
      <c r="A91" s="170" t="inlineStr">
        <is>
          <t>1392</t>
        </is>
      </c>
      <c r="B91" s="17" t="inlineStr">
        <is>
          <t>HQVT</t>
        </is>
      </c>
      <c r="C91" s="177" t="inlineStr">
        <is>
          <t>2026-06-22</t>
        </is>
      </c>
      <c r="D91" s="178" t="n">
        <v>26.7</v>
      </c>
      <c r="E91" s="174" t="n">
        <v>270.83</v>
      </c>
      <c r="F91" s="50">
        <f>IFERROR(BDH(TEXT(N($A91),"0")&amp;" HK Equity","PX_LAST",$C91,$C91),"run on terminal")</f>
        <v/>
      </c>
      <c r="G91" s="10">
        <f>IF(NOT(ISNUMBER($F91)),"run on terminal",IF(ABS($F91/($D91)-1)&lt;0.005,"MATCH","CHECK: BBG "&amp;TEXT($F91,"0.000")))</f>
        <v/>
      </c>
      <c r="H91" s="175" t="inlineStr">
        <is>
          <t>AAStocks listing date (was 2026-06-19); close from the local session list</t>
        </is>
      </c>
    </row>
    <row r="92">
      <c r="A92" s="170" t="inlineStr">
        <is>
          <t>2672</t>
        </is>
      </c>
      <c r="B92" s="17" t="inlineStr">
        <is>
          <t>BAIGE DIGITAL</t>
        </is>
      </c>
      <c r="C92" s="177" t="inlineStr">
        <is>
          <t>2026-06-29</t>
        </is>
      </c>
      <c r="D92" s="178" t="n">
        <v>73</v>
      </c>
      <c r="E92" s="174" t="n">
        <v>367.95</v>
      </c>
      <c r="F92" s="50">
        <f>IFERROR(BDH(TEXT(N($A92),"0")&amp;" HK Equity","PX_LAST",$C92,$C92),"run on terminal")</f>
        <v/>
      </c>
      <c r="G92" s="10">
        <f>IF(NOT(ISNUMBER($F92)),"run on terminal",IF(ABS($F92/($D92)-1)&lt;0.005,"MATCH","CHECK: BBG "&amp;TEXT($F92,"0.000")))</f>
        <v/>
      </c>
      <c r="H92" s="175" t="inlineStr">
        <is>
          <t>AAStocks listing date (was 2026-06-27); close from the local session list</t>
        </is>
      </c>
    </row>
    <row r="93">
      <c r="A93" s="170" t="inlineStr">
        <is>
          <t>1191</t>
        </is>
      </c>
      <c r="B93" s="17" t="inlineStr">
        <is>
          <t>CREALIGHTS</t>
        </is>
      </c>
      <c r="C93" s="177" t="inlineStr">
        <is>
          <t>2026-06-29</t>
        </is>
      </c>
      <c r="D93" s="178" t="n">
        <v>165.004</v>
      </c>
      <c r="E93" s="174" t="n">
        <v>44.74</v>
      </c>
      <c r="F93" s="50">
        <f>IFERROR(BDH(TEXT(N($A93),"0")&amp;" HK Equity","PX_LAST",$C93,$C93),"run on terminal")</f>
        <v/>
      </c>
      <c r="G93" s="10">
        <f>IF(NOT(ISNUMBER($F93)),"run on terminal",IF(ABS($F93/($D93)-1)&lt;0.005,"MATCH","CHECK: BBG "&amp;TEXT($F93,"0.000")))</f>
        <v/>
      </c>
      <c r="H93" s="175" t="inlineStr">
        <is>
          <t>AAStocks listing date (was 2026-06-27); close from the local session list</t>
        </is>
      </c>
    </row>
    <row r="94">
      <c r="A94" s="170" t="inlineStr">
        <is>
          <t>9637</t>
        </is>
      </c>
      <c r="B94" s="17" t="inlineStr">
        <is>
          <t>ALEBUND-B</t>
        </is>
      </c>
      <c r="C94" s="177" t="inlineStr">
        <is>
          <t>2026-06-29</t>
        </is>
      </c>
      <c r="D94" s="178" t="n">
        <v>46</v>
      </c>
      <c r="E94" s="174" t="n">
        <v>103.54</v>
      </c>
      <c r="F94" s="50">
        <f>IFERROR(BDH(TEXT(N($A94),"0")&amp;" HK Equity","PX_LAST",$C94,$C94),"run on terminal")</f>
        <v/>
      </c>
      <c r="G94" s="10">
        <f>IF(NOT(ISNUMBER($F94)),"run on terminal",IF(ABS($F94/($D94)-1)&lt;0.005,"MATCH","CHECK: BBG "&amp;TEXT($F94,"0.000")))</f>
        <v/>
      </c>
      <c r="H94" s="175" t="inlineStr">
        <is>
          <t>AAStocks listing date (was 2026-06-27); close from the local session list</t>
        </is>
      </c>
    </row>
    <row r="95">
      <c r="A95" s="170" t="inlineStr">
        <is>
          <t>0668</t>
        </is>
      </c>
      <c r="B95" s="17" t="inlineStr">
        <is>
          <t>ANKER</t>
        </is>
      </c>
      <c r="C95" s="177" t="inlineStr">
        <is>
          <t>2026-07-02</t>
        </is>
      </c>
      <c r="D95" s="178" t="n">
        <v>114.903</v>
      </c>
      <c r="E95" s="174" t="n">
        <v>15.69</v>
      </c>
      <c r="F95" s="50">
        <f>IFERROR(BDH(TEXT(N($A95),"0")&amp;" HK Equity","PX_LAST",$C95,$C95),"run on terminal")</f>
        <v/>
      </c>
      <c r="G95" s="10">
        <f>IF(NOT(ISNUMBER($F95)),"run on terminal",IF(ABS($F95/($D95)-1)&lt;0.005,"MATCH","CHECK: BBG "&amp;TEXT($F95,"0.000")))</f>
        <v/>
      </c>
      <c r="H95" s="175" t="inlineStr">
        <is>
          <t>AAStocks listing date (was 2026-07-01); close from the local session list</t>
        </is>
      </c>
    </row>
    <row r="96">
      <c r="A96" s="170" t="inlineStr">
        <is>
          <t>2041</t>
        </is>
      </c>
      <c r="B96" s="17" t="inlineStr">
        <is>
          <t>MEDCAPTAIN</t>
        </is>
      </c>
      <c r="C96" s="177" t="inlineStr">
        <is>
          <t>2026-09-07</t>
        </is>
      </c>
      <c r="D96" s="178" t="n">
        <v>8.800000000000001</v>
      </c>
      <c r="E96" s="174" t="n">
        <v>-42.93</v>
      </c>
      <c r="F96" s="50">
        <f>IFERROR(BDH(TEXT(N($A96),"0")&amp;" HK Equity","PX_LAST",$C96,$C96),"run on terminal")</f>
        <v/>
      </c>
      <c r="G96" s="10">
        <f>IF(NOT(ISNUMBER($F96)),"run on terminal",IF(ABS($F96/($D96)-1)&lt;0.005,"MATCH","CHECK: BBG "&amp;TEXT($F96,"0.000")))</f>
        <v/>
      </c>
      <c r="H96" s="175" t="inlineStr">
        <is>
          <t>AAStocks listing date (was 2026-09-05); close from the local session list</t>
        </is>
      </c>
    </row>
    <row r="97"/>
    <row r="98">
      <c r="A98" s="165" t="inlineStr">
        <is>
          <t>B. OFFER PRICE (11 deals ruled against the filing parse)</t>
        </is>
      </c>
    </row>
    <row r="99">
      <c r="A99" s="12" t="inlineStr">
        <is>
          <t>Code</t>
        </is>
      </c>
      <c r="B99" s="12" t="inlineStr">
        <is>
          <t>Name</t>
        </is>
      </c>
      <c r="C99" s="12" t="inlineStr">
        <is>
          <t>Our offer price</t>
        </is>
      </c>
      <c r="D99" s="12" t="inlineStr"/>
      <c r="E99" s="12" t="inlineStr"/>
      <c r="F99" s="12" t="inlineStr">
        <is>
          <t>BBG offer price</t>
        </is>
      </c>
      <c r="G99" s="12" t="inlineStr">
        <is>
          <t>VERDICT</t>
        </is>
      </c>
      <c r="H99" s="12" t="inlineStr">
        <is>
          <t>What we relied on</t>
        </is>
      </c>
    </row>
    <row r="100">
      <c r="A100" s="170" t="inlineStr">
        <is>
          <t>2672</t>
        </is>
      </c>
      <c r="B100" s="17" t="inlineStr">
        <is>
          <t>BAIGE DIGITAL</t>
        </is>
      </c>
      <c r="C100" s="178" t="n">
        <v>15.6</v>
      </c>
      <c r="F100" s="175" t="inlineStr">
        <is>
          <t>no BDP field; check the DES IPO screen</t>
        </is>
      </c>
      <c r="G100" s="10">
        <f>IF(ISNUMBER($F100),IF(ABS($F100/$C100-1)&lt;0.005,"MATCH","CHECK"),"see section A: day-1 close matches Bloomberg at this price")</f>
        <v/>
      </c>
      <c r="H100" s="175" t="inlineStr">
        <is>
          <t xml:space="preserve">OFFER PRICE: 10jqka 2026-06-29 + ifeng: 发行价15.6港元, 收报73港元 首日+367.95%, 全球发售3334.44万股, 募资总额5.2亿港元. The parse's 54,382,183 was the LISTING EXPENSES line </t>
        </is>
      </c>
    </row>
    <row r="101">
      <c r="A101" s="170" t="inlineStr">
        <is>
          <t>2525</t>
        </is>
      </c>
      <c r="B101" s="17" t="inlineStr">
        <is>
          <t>HESAI-W</t>
        </is>
      </c>
      <c r="C101" s="178" t="n">
        <v>212.8</v>
      </c>
      <c r="F101" s="175" t="inlineStr">
        <is>
          <t>no BDP field; check the DES IPO screen</t>
        </is>
      </c>
      <c r="G101" s="10">
        <f>IF(ISNUMBER($F101),IF(ABS($F101/$C101-1)&lt;0.005,"MATCH","CHECK"),"see section A: day-1 close matches Bloomberg at this price")</f>
        <v/>
      </c>
      <c r="H101" s="175" t="inlineStr">
        <is>
          <t>OFFER PRICE: STCN + HKEX allotment 2025-09-15 (2025091501458.pdf): 发行价212.80港元, 收报234港元 +9.96%, 19,550,000 offer shares incl. fully-exercised offer-si</t>
        </is>
      </c>
    </row>
    <row r="102">
      <c r="A102" s="170" t="inlineStr">
        <is>
          <t>2026</t>
        </is>
      </c>
      <c r="B102" s="17" t="inlineStr">
        <is>
          <t>PONY-W</t>
        </is>
      </c>
      <c r="C102" s="178" t="n">
        <v>139</v>
      </c>
      <c r="F102" s="175" t="inlineStr">
        <is>
          <t>no BDP field; check the DES IPO screen</t>
        </is>
      </c>
      <c r="G102" s="10">
        <f>IF(ISNUMBER($F102),IF(ABS($F102/$C102-1)&lt;0.005,"MATCH","CHECK"),"see section A: day-1 close matches Bloomberg at this price")</f>
        <v/>
      </c>
      <c r="H102" s="175" t="inlineStr">
        <is>
          <t>OFFER PRICE: Sina 2025-11-04 pricing + 2025-11-06 debut: 每股139.00港元 (22.8% below the HK$180 max), 收报126.10港元 -9.28%, 48,249,000 shares incl. full offe</t>
        </is>
      </c>
    </row>
    <row r="103">
      <c r="A103" s="170" t="inlineStr">
        <is>
          <t>6656</t>
        </is>
      </c>
      <c r="B103" s="17" t="inlineStr">
        <is>
          <t>SIGENERGY</t>
        </is>
      </c>
      <c r="C103" s="178" t="n">
        <v>324.2</v>
      </c>
      <c r="F103" s="175" t="inlineStr">
        <is>
          <t>no BDP field; check the DES IPO screen</t>
        </is>
      </c>
      <c r="G103" s="10">
        <f>IF(ISNUMBER($F103),IF(ABS($F103/$C103-1)&lt;0.005,"MATCH","CHECK"),"see section A: day-1 close matches Bloomberg at this price")</f>
        <v/>
      </c>
      <c r="H103" s="175" t="inlineStr">
        <is>
          <t>OFFER PRICE: AAStocks debut report: opened HK$581 (+79.2%) from listing price HK$324.20, closed HK$659.5 +103.4%; 13,573,900 H shares, gross ≈HK$4.4bn</t>
        </is>
      </c>
    </row>
    <row r="104">
      <c r="A104" s="170" t="inlineStr">
        <is>
          <t>9630</t>
        </is>
      </c>
      <c r="B104" s="17" t="inlineStr">
        <is>
          <t>CFMEE</t>
        </is>
      </c>
      <c r="C104" s="178" t="n">
        <v>252.73</v>
      </c>
      <c r="F104" s="175" t="inlineStr">
        <is>
          <t>no BDP field; check the DES IPO screen</t>
        </is>
      </c>
      <c r="G104" s="10">
        <f>IF(ISNUMBER($F104),IF(ABS($F104/$C104-1)&lt;0.005,"MATCH","CHECK"),"see section A: day-1 close matches Bloomberg at this price")</f>
        <v/>
      </c>
      <c r="H104" s="175" t="inlineStr">
        <is>
          <t>OFFER PRICE: Sina 2026-06-26: 发行价252.73港元 (top of range), 收报515.00港元 +103.77%, 发行1283.865万股, 募资总额32.45亿港元. NOT the midday 445.8 snapshot.</t>
        </is>
      </c>
    </row>
    <row r="105">
      <c r="A105" s="170" t="inlineStr">
        <is>
          <t>6090</t>
        </is>
      </c>
      <c r="B105" s="17" t="inlineStr">
        <is>
          <t>BUTONG GROUP</t>
        </is>
      </c>
      <c r="C105" s="178" t="n">
        <v>71.2</v>
      </c>
      <c r="F105" s="175" t="inlineStr">
        <is>
          <t>no BDP field; check the DES IPO screen</t>
        </is>
      </c>
      <c r="G105" s="10">
        <f>IF(ISNUMBER($F105),IF(ABS($F105/$C105-1)&lt;0.005,"MATCH","CHECK"),"see section A: day-1 close matches Bloomberg at this price")</f>
        <v/>
      </c>
      <c r="H105" s="175" t="inlineStr">
        <is>
          <t>OFFER PRICE: Sina 2025-09-23: 发售价每股71.20港元 (top of the 62.01-71.20 range), 收报102.50港元 +43.96%, 全球发售1098.09万股.</t>
        </is>
      </c>
    </row>
    <row r="106">
      <c r="A106" s="170" t="inlineStr">
        <is>
          <t>3223</t>
        </is>
      </c>
      <c r="B106" s="17" t="inlineStr">
        <is>
          <t>INGENIC</t>
        </is>
      </c>
      <c r="C106" s="178" t="n">
        <v>100</v>
      </c>
      <c r="F106" s="175" t="inlineStr">
        <is>
          <t>no BDP field; check the DES IPO screen</t>
        </is>
      </c>
      <c r="G106" s="10">
        <f>IF(ISNUMBER($F106),IF(ABS($F106/$C106-1)&lt;0.005,"MATCH","CHECK"),"see section A: day-1 close matches Bloomberg at this price")</f>
        <v/>
      </c>
      <c r="H106" s="175" t="inlineStr">
        <is>
          <t>Ingenic FY2025 A-share AR (300223.SZ, 2026-03-28): revenue RMB4,741m, attributable NI RMB376m; x1.10 to HKD. Listed 2026-08-25; trailing basis for th</t>
        </is>
      </c>
    </row>
    <row r="107">
      <c r="A107" s="170" t="inlineStr">
        <is>
          <t>9615</t>
        </is>
      </c>
      <c r="B107" s="17" t="inlineStr">
        <is>
          <t>MECH-MIND ROBOT</t>
        </is>
      </c>
      <c r="C107" s="178" t="n">
        <v>101.7</v>
      </c>
      <c r="F107" s="175" t="inlineStr">
        <is>
          <t>no BDP field; check the DES IPO screen</t>
        </is>
      </c>
      <c r="G107" s="10">
        <f>IF(ISNUMBER($F107),IF(ABS($F107/$C107-1)&lt;0.005,"MATCH","CHECK"),"see section A: day-1 close matches Bloomberg at this price")</f>
        <v/>
      </c>
      <c r="H107" s="175" t="inlineStr">
        <is>
          <t>HKEX allotment results 2026-08-31 (2026083102433.pdf): final offer price HK$101.70 = the CAP (range HK$95.30-101.70, 'Offer Price adjustment exercised</t>
        </is>
      </c>
    </row>
    <row r="108">
      <c r="A108" s="170" t="inlineStr">
        <is>
          <t>0625</t>
        </is>
      </c>
      <c r="B108" s="17" t="inlineStr">
        <is>
          <t>SHEIN-W</t>
        </is>
      </c>
      <c r="C108" s="178" t="n">
        <v>48.56</v>
      </c>
      <c r="F108" s="175" t="inlineStr">
        <is>
          <t>no BDP field; check the DES IPO screen</t>
        </is>
      </c>
      <c r="G108" s="10">
        <f>IF(ISNUMBER($F108),IF(ABS($F108/$C108-1)&lt;0.005,"MATCH","CHECK"),"see section A: day-1 close matches Bloomberg at this price")</f>
        <v/>
      </c>
      <c r="H108" s="175" t="inlineStr">
        <is>
          <t>HKEX allotment results 2026-08-31 (2026083102409.pdf): final offer price HK$48.56 against a HK$47.60-49.50 range (max HK$49.50); priced 1.9% below th</t>
        </is>
      </c>
    </row>
    <row r="109">
      <c r="A109" s="170" t="inlineStr">
        <is>
          <t>2392</t>
        </is>
      </c>
      <c r="B109" s="17" t="inlineStr">
        <is>
          <t>XUANWU CLOUD</t>
        </is>
      </c>
      <c r="C109" s="178" t="n">
        <v>6.24</v>
      </c>
      <c r="F109" s="175" t="inlineStr">
        <is>
          <t>no BDP field; check the DES IPO screen</t>
        </is>
      </c>
      <c r="G109" s="10">
        <f>IF(ISNUMBER($F109),IF(ABS($F109/$C109-1)&lt;0.005,"MATCH","CHECK"),"see section A: day-1 close matches Bloomberg at this price")</f>
        <v/>
      </c>
      <c r="H109" s="175" t="inlineStr">
        <is>
          <t xml:space="preserve">filing parse returned 6.91 = EXACTLY the stated Maximum Offer Price (the known bad-anchor line, wrong 6/6 in the v20 price research). AAStocks prints </t>
        </is>
      </c>
    </row>
    <row r="110">
      <c r="A110" s="170" t="inlineStr">
        <is>
          <t>9877</t>
        </is>
      </c>
      <c r="B110" s="17" t="inlineStr">
        <is>
          <t>JENSCARE-B</t>
        </is>
      </c>
      <c r="C110" s="178" t="n">
        <v>27.8</v>
      </c>
      <c r="F110" s="175" t="inlineStr">
        <is>
          <t>no BDP field; check the DES IPO screen</t>
        </is>
      </c>
      <c r="G110" s="10">
        <f>IF(ISNUMBER($F110),IF(ABS($F110/$C110-1)&lt;0.005,"MATCH","CHECK"),"see section A: day-1 close matches Bloomberg at this price")</f>
        <v/>
      </c>
      <c r="H110" s="175" t="inlineStr">
        <is>
          <t>filing parse returned 28.80 = EXACTLY the stated Maximum Offer Price. AAStocks prints 27.80, and the ingested day-1 (+1.62%) matches 28.25/27.80-1 exa</t>
        </is>
      </c>
    </row>
    <row r="111"/>
    <row r="112">
      <c r="A112" s="165" t="inlineStr">
        <is>
          <t>C. CORPORATE ACTIONS (29 deals; our day-1 close / cumulative factor should equal Bloomberg's adjusted print)</t>
        </is>
      </c>
    </row>
    <row r="113">
      <c r="A113" s="12" t="inlineStr">
        <is>
          <t>Code</t>
        </is>
      </c>
      <c r="B113" s="12" t="inlineStr">
        <is>
          <t>Name</t>
        </is>
      </c>
      <c r="C113" s="12" t="inlineStr">
        <is>
          <t>Listing date</t>
        </is>
      </c>
      <c r="D113" s="12" t="inlineStr">
        <is>
          <t>Our day-1 close</t>
        </is>
      </c>
      <c r="E113" s="12" t="inlineStr">
        <is>
          <t>÷ factor = expected</t>
        </is>
      </c>
      <c r="F113" s="12" t="inlineStr">
        <is>
          <t>BBG close that day</t>
        </is>
      </c>
      <c r="G113" s="12" t="inlineStr">
        <is>
          <t>VERDICT</t>
        </is>
      </c>
      <c r="H113" s="12" t="inlineStr">
        <is>
          <t>Action applied</t>
        </is>
      </c>
    </row>
    <row r="114">
      <c r="A114" s="170" t="inlineStr">
        <is>
          <t>1413</t>
        </is>
      </c>
      <c r="B114" s="17" t="inlineStr">
        <is>
          <t>KWONG LUEN ENG</t>
        </is>
      </c>
      <c r="C114" s="177" t="inlineStr">
        <is>
          <t>2021-03-11</t>
        </is>
      </c>
      <c r="D114" s="178" t="n">
        <v>0.42</v>
      </c>
      <c r="E114" s="50">
        <f>IFERROR($D114/0.2,"")</f>
        <v/>
      </c>
      <c r="F114" s="50">
        <f>IFERROR(BDH(TEXT(N($A114),"0")&amp;" HK Equity","PX_LAST",$C114,$C114),"run on terminal")</f>
        <v/>
      </c>
      <c r="G114" s="10">
        <f>IF(NOT(ISNUMBER($F114)),"run on terminal",IF(ABS($F114/$E114-1)&lt;0.02,"MATCH","CHECK: BBG "&amp;TEXT($F114,"0.000")))</f>
        <v/>
      </c>
      <c r="H114" s="175" t="inlineStr">
        <is>
          <t>2025-12-16 x0.2 (Bloomberg basis x0.2)</t>
        </is>
      </c>
    </row>
    <row r="115">
      <c r="A115" s="170" t="inlineStr">
        <is>
          <t>1855</t>
        </is>
      </c>
      <c r="B115" s="17" t="inlineStr">
        <is>
          <t>ZONBONG ENVIRO</t>
        </is>
      </c>
      <c r="C115" s="177" t="inlineStr">
        <is>
          <t>2021-01-06</t>
        </is>
      </c>
      <c r="D115" s="178" t="n">
        <v>2.05</v>
      </c>
      <c r="E115" s="50">
        <f>IFERROR($D115/3.0,"")</f>
        <v/>
      </c>
      <c r="F115" s="50">
        <f>IFERROR(BDH(TEXT(N($A115),"0")&amp;" HK Equity","PX_LAST",$C115,$C115),"run on terminal")</f>
        <v/>
      </c>
      <c r="G115" s="10">
        <f>IF(NOT(ISNUMBER($F115)),"run on terminal",IF(ABS($F115/$E115-1)&lt;0.02,"MATCH","CHECK: BBG "&amp;TEXT($F115,"0.000")))</f>
        <v/>
      </c>
      <c r="H115" s="175" t="inlineStr">
        <is>
          <t>2024-08-01 x3 (Bloomberg basis x3)</t>
        </is>
      </c>
    </row>
    <row r="116">
      <c r="A116" s="170" t="inlineStr">
        <is>
          <t>2147</t>
        </is>
      </c>
      <c r="B116" s="17" t="inlineStr">
        <is>
          <t>ZHENGWEI GROUP</t>
        </is>
      </c>
      <c r="C116" s="177" t="inlineStr">
        <is>
          <t>2023-01-13</t>
        </is>
      </c>
      <c r="D116" s="178" t="n">
        <v>0.5600000000000001</v>
      </c>
      <c r="E116" s="50">
        <f>IFERROR($D116/0.05,"")</f>
        <v/>
      </c>
      <c r="F116" s="50">
        <f>IFERROR(BDH(TEXT(N($A116),"0")&amp;" HK Equity","PX_LAST",$C116,$C116),"run on terminal")</f>
        <v/>
      </c>
      <c r="G116" s="10">
        <f>IF(NOT(ISNUMBER($F116)),"run on terminal",IF(ABS($F116/$E116-1)&lt;0.02,"MATCH","CHECK: BBG "&amp;TEXT($F116,"0.000")))</f>
        <v/>
      </c>
      <c r="H116" s="175" t="inlineStr">
        <is>
          <t>2025-12-30 x0.05 (Bloomberg basis x0.05)</t>
        </is>
      </c>
    </row>
    <row r="117">
      <c r="A117" s="170" t="inlineStr">
        <is>
          <t>2160</t>
        </is>
      </c>
      <c r="B117" s="17" t="inlineStr">
        <is>
          <t>CARDIOFLOW-B</t>
        </is>
      </c>
      <c r="C117" s="177" t="inlineStr">
        <is>
          <t>2021-02-04</t>
        </is>
      </c>
      <c r="D117" s="178" t="n">
        <v>18.82</v>
      </c>
      <c r="E117" s="50">
        <f>IFERROR($D117/0.2,"")</f>
        <v/>
      </c>
      <c r="F117" s="50">
        <f>IFERROR(BDH(TEXT(N($A117),"0")&amp;" HK Equity","PX_LAST",$C117,$C117),"run on terminal")</f>
        <v/>
      </c>
      <c r="G117" s="10">
        <f>IF(NOT(ISNUMBER($F117)),"run on terminal",IF(ABS($F117/$E117-1)&lt;0.02,"MATCH","CHECK: BBG "&amp;TEXT($F117,"0.000")))</f>
        <v/>
      </c>
      <c r="H117" s="175" t="inlineStr">
        <is>
          <t>2026-02-24 x0.2 (Bloomberg basis x0.2)</t>
        </is>
      </c>
    </row>
    <row r="118">
      <c r="A118" s="170" t="inlineStr">
        <is>
          <t>2195</t>
        </is>
      </c>
      <c r="B118" s="17" t="inlineStr">
        <is>
          <t>UNITY ENT</t>
        </is>
      </c>
      <c r="C118" s="177" t="inlineStr">
        <is>
          <t>2021-03-31</t>
        </is>
      </c>
      <c r="D118" s="178" t="n">
        <v>0.33</v>
      </c>
      <c r="E118" s="50">
        <f>IFERROR($D118/0.1,"")</f>
        <v/>
      </c>
      <c r="F118" s="50">
        <f>IFERROR(BDH(TEXT(N($A118),"0")&amp;" HK Equity","PX_LAST",$C118,$C118),"run on terminal")</f>
        <v/>
      </c>
      <c r="G118" s="10">
        <f>IF(NOT(ISNUMBER($F118)),"run on terminal",IF(ABS($F118/$E118-1)&lt;0.02,"MATCH","CHECK: BBG "&amp;TEXT($F118,"0.000")))</f>
        <v/>
      </c>
      <c r="H118" s="175" t="inlineStr">
        <is>
          <t>2025-10-30 x0.1 (Bloomberg basis x0.1)</t>
        </is>
      </c>
    </row>
    <row r="119">
      <c r="A119" s="170" t="inlineStr">
        <is>
          <t>2246</t>
        </is>
      </c>
      <c r="B119" s="17" t="inlineStr">
        <is>
          <t>GOGOX</t>
        </is>
      </c>
      <c r="C119" s="177" t="inlineStr">
        <is>
          <t>2022-06-24</t>
        </is>
      </c>
      <c r="D119" s="178" t="n">
        <v>16.721</v>
      </c>
      <c r="E119" s="50">
        <f>IFERROR($D119/0.1,"")</f>
        <v/>
      </c>
      <c r="F119" s="50">
        <f>IFERROR(BDH(TEXT(N($A119),"0")&amp;" HK Equity","PX_LAST",$C119,$C119),"run on terminal")</f>
        <v/>
      </c>
      <c r="G119" s="10">
        <f>IF(NOT(ISNUMBER($F119)),"run on terminal",IF(ABS($F119/$E119-1)&lt;0.02,"MATCH","CHECK: BBG "&amp;TEXT($F119,"0.000")))</f>
        <v/>
      </c>
      <c r="H119" s="175" t="inlineStr">
        <is>
          <t>2025-04-25 x0.1 (Bloomberg basis x0.1)</t>
        </is>
      </c>
    </row>
    <row r="120">
      <c r="A120" s="170" t="inlineStr">
        <is>
          <t>2350</t>
        </is>
      </c>
      <c r="B120" s="17" t="inlineStr">
        <is>
          <t>MTT GROUP</t>
        </is>
      </c>
      <c r="C120" s="177" t="inlineStr">
        <is>
          <t>2022-09-26</t>
        </is>
      </c>
      <c r="D120" s="178" t="n">
        <v>0.62</v>
      </c>
      <c r="E120" s="50">
        <f>IFERROR($D120/1.246,"")</f>
        <v/>
      </c>
      <c r="F120" s="50">
        <f>IFERROR(BDH(TEXT(N($A120),"0")&amp;" HK Equity","PX_LAST",$C120,$C120),"run on terminal")</f>
        <v/>
      </c>
      <c r="G120" s="10">
        <f>IF(NOT(ISNUMBER($F120)),"run on terminal",IF(ABS($F120/$E120-1)&lt;0.02,"MATCH","CHECK: BBG "&amp;TEXT($F120,"0.000")))</f>
        <v/>
      </c>
      <c r="H120" s="175" t="inlineStr">
        <is>
          <t>2026-06-15 rights 2-for-5 @ HK$0.275 (BBG-only x1.246) (Bloomberg basis x1.246)</t>
        </is>
      </c>
    </row>
    <row r="121">
      <c r="A121" s="170" t="inlineStr">
        <is>
          <t>2402</t>
        </is>
      </c>
      <c r="B121" s="17" t="inlineStr">
        <is>
          <t>SINOHYTEC</t>
        </is>
      </c>
      <c r="C121" s="177" t="inlineStr">
        <is>
          <t>2023-01-12</t>
        </is>
      </c>
      <c r="D121" s="178" t="n">
        <v>60</v>
      </c>
      <c r="E121" s="50">
        <f>IFERROR($D121/1.9599999999999997,"")</f>
        <v/>
      </c>
      <c r="F121" s="50">
        <f>IFERROR(BDH(TEXT(N($A121),"0")&amp;" HK Equity","PX_LAST",$C121,$C121),"run on terminal")</f>
        <v/>
      </c>
      <c r="G121" s="10">
        <f>IF(NOT(ISNUMBER($F121)),"run on terminal",IF(ABS($F121/$E121-1)&lt;0.02,"MATCH","CHECK: BBG "&amp;TEXT($F121,"0.000")))</f>
        <v/>
      </c>
      <c r="H121" s="175" t="inlineStr">
        <is>
          <t>2023-06-21 x1.4; 2024-07-04 x1.4 (Bloomberg basis x1.96)</t>
        </is>
      </c>
    </row>
    <row r="122">
      <c r="A122" s="170" t="inlineStr">
        <is>
          <t>2422</t>
        </is>
      </c>
      <c r="B122" s="17" t="inlineStr">
        <is>
          <t>REGO INTERACT</t>
        </is>
      </c>
      <c r="C122" s="177" t="inlineStr">
        <is>
          <t>2022-10-17</t>
        </is>
      </c>
      <c r="D122" s="178" t="n">
        <v>1.35</v>
      </c>
      <c r="E122" s="50">
        <f>IFERROR($D122/1.1936,"")</f>
        <v/>
      </c>
      <c r="F122" s="50">
        <f>IFERROR(BDH(TEXT(N($A122),"0")&amp;" HK Equity","PX_LAST",$C122,$C122),"run on terminal")</f>
        <v/>
      </c>
      <c r="G122" s="10">
        <f>IF(NOT(ISNUMBER($F122)),"run on terminal",IF(ABS($F122/$E122-1)&lt;0.02,"MATCH","CHECK: BBG "&amp;TEXT($F122,"0.000")))</f>
        <v/>
      </c>
      <c r="H122" s="175" t="inlineStr">
        <is>
          <t>2022-11 UNVERIFIED entitlement-class adjustment (BBG-only x1.1936) (Bloomberg basis x1.1936)</t>
        </is>
      </c>
    </row>
    <row r="123">
      <c r="A123" s="170" t="inlineStr">
        <is>
          <t>2440</t>
        </is>
      </c>
      <c r="B123" s="17" t="inlineStr">
        <is>
          <t>HOWKINGTECH</t>
        </is>
      </c>
      <c r="C123" s="177" t="inlineStr">
        <is>
          <t>2022-12-12</t>
        </is>
      </c>
      <c r="D123" s="178" t="n">
        <v>2</v>
      </c>
      <c r="E123" s="50">
        <f>IFERROR($D123/1.22414,"")</f>
        <v/>
      </c>
      <c r="F123" s="50">
        <f>IFERROR(BDH(TEXT(N($A123),"0")&amp;" HK Equity","PX_LAST",$C123,$C123),"run on terminal")</f>
        <v/>
      </c>
      <c r="G123" s="10">
        <f>IF(NOT(ISNUMBER($F123)),"run on terminal",IF(ABS($F123/$E123-1)&lt;0.02,"MATCH","CHECK: BBG "&amp;TEXT($F123,"0.000")))</f>
        <v/>
      </c>
      <c r="H123" s="175" t="inlineStr">
        <is>
          <t>2025-06-24 rights 1-for-2 @ HK$1.262 (now MemeStrategy) (BBG-only x1.22414) (Bloomberg basis x1.22414)</t>
        </is>
      </c>
    </row>
    <row r="124">
      <c r="A124" s="170" t="inlineStr">
        <is>
          <t>2459</t>
        </is>
      </c>
      <c r="B124" s="17" t="inlineStr">
        <is>
          <t>SANERGY GROUP</t>
        </is>
      </c>
      <c r="C124" s="177" t="inlineStr">
        <is>
          <t>2023-01-17</t>
        </is>
      </c>
      <c r="D124" s="178" t="n">
        <v>1.78</v>
      </c>
      <c r="E124" s="50">
        <f>IFERROR($D124/0.1195431,"")</f>
        <v/>
      </c>
      <c r="F124" s="50">
        <f>IFERROR(BDH(TEXT(N($A124),"0")&amp;" HK Equity","PX_LAST",$C124,$C124),"run on terminal")</f>
        <v/>
      </c>
      <c r="G124" s="10">
        <f>IF(NOT(ISNUMBER($F124)),"run on terminal",IF(ABS($F124/$E124-1)&lt;0.02,"MATCH","CHECK: BBG "&amp;TEXT($F124,"0.000")))</f>
        <v/>
      </c>
      <c r="H124" s="175" t="inlineStr">
        <is>
          <t>2026-05-14 x0.1; 2025-07-16 rights 1-for-2 @ HK$0.08 (pre-consolidation) (BBG-only x1.19543) (Bloomberg basis x0.119543)</t>
        </is>
      </c>
    </row>
    <row r="125">
      <c r="A125" s="170" t="inlineStr">
        <is>
          <t>2473</t>
        </is>
      </c>
      <c r="B125" s="17" t="inlineStr">
        <is>
          <t>XXF</t>
        </is>
      </c>
      <c r="C125" s="177" t="inlineStr">
        <is>
          <t>2023-11-09</t>
        </is>
      </c>
      <c r="D125" s="178" t="n">
        <v>1.64</v>
      </c>
      <c r="E125" s="50">
        <f>IFERROR($D125/3.0,"")</f>
        <v/>
      </c>
      <c r="F125" s="50">
        <f>IFERROR(BDH(TEXT(N($A125),"0")&amp;" HK Equity","PX_LAST",$C125,$C125),"run on terminal")</f>
        <v/>
      </c>
      <c r="G125" s="10">
        <f>IF(NOT(ISNUMBER($F125)),"run on terminal",IF(ABS($F125/$E125-1)&lt;0.02,"MATCH","CHECK: BBG "&amp;TEXT($F125,"0.000")))</f>
        <v/>
      </c>
      <c r="H125" s="175" t="inlineStr">
        <is>
          <t>2024-12-06 x3 (Bloomberg basis x3)</t>
        </is>
      </c>
    </row>
    <row r="126">
      <c r="A126" s="170" t="inlineStr">
        <is>
          <t>2477</t>
        </is>
      </c>
      <c r="B126" s="17" t="inlineStr">
        <is>
          <t>WELLCELL HOLD</t>
        </is>
      </c>
      <c r="C126" s="177" t="inlineStr">
        <is>
          <t>2024-01-12</t>
        </is>
      </c>
      <c r="D126" s="178" t="n">
        <v>2.64</v>
      </c>
      <c r="E126" s="50">
        <f>IFERROR($D126/8.0,"")</f>
        <v/>
      </c>
      <c r="F126" s="50">
        <f>IFERROR(BDH(TEXT(N($A126),"0")&amp;" HK Equity","PX_LAST",$C126,$C126),"run on terminal")</f>
        <v/>
      </c>
      <c r="G126" s="10">
        <f>IF(NOT(ISNUMBER($F126)),"run on terminal",IF(ABS($F126/$E126-1)&lt;0.02,"MATCH","CHECK: BBG "&amp;TEXT($F126,"0.000")))</f>
        <v/>
      </c>
      <c r="H126" s="175" t="inlineStr">
        <is>
          <t>2025-03-31 x2; 2026-04-21 x4 (Bloomberg basis x8)</t>
        </is>
      </c>
    </row>
    <row r="127">
      <c r="A127" s="170" t="inlineStr">
        <is>
          <t>2490</t>
        </is>
      </c>
      <c r="B127" s="17" t="inlineStr">
        <is>
          <t>LC LOGISTICS</t>
        </is>
      </c>
      <c r="C127" s="177" t="inlineStr">
        <is>
          <t>2023-09-25</t>
        </is>
      </c>
      <c r="D127" s="178" t="n">
        <v>5.1</v>
      </c>
      <c r="E127" s="50">
        <f>IFERROR($D127/2.0,"")</f>
        <v/>
      </c>
      <c r="F127" s="50">
        <f>IFERROR(BDH(TEXT(N($A127),"0")&amp;" HK Equity","PX_LAST",$C127,$C127),"run on terminal")</f>
        <v/>
      </c>
      <c r="G127" s="10">
        <f>IF(NOT(ISNUMBER($F127)),"run on terminal",IF(ABS($F127/$E127-1)&lt;0.02,"MATCH","CHECK: BBG "&amp;TEXT($F127,"0.000")))</f>
        <v/>
      </c>
      <c r="H127" s="175" t="inlineStr">
        <is>
          <t>2025-07-28 x2 (Bloomberg basis x2)</t>
        </is>
      </c>
    </row>
    <row r="128">
      <c r="A128" s="170" t="inlineStr">
        <is>
          <t>2525</t>
        </is>
      </c>
      <c r="B128" s="17" t="inlineStr">
        <is>
          <t>HESAI-W</t>
        </is>
      </c>
      <c r="C128" s="177" t="inlineStr">
        <is>
          <t>2025-09-16</t>
        </is>
      </c>
      <c r="D128" s="178" t="n">
        <v>233.995</v>
      </c>
      <c r="E128" s="50">
        <f>IFERROR($D128/8.0,"")</f>
        <v/>
      </c>
      <c r="F128" s="50">
        <f>IFERROR(BDH(TEXT(N($A128),"0")&amp;" HK Equity","PX_LAST",$C128,$C128),"run on terminal")</f>
        <v/>
      </c>
      <c r="G128" s="10">
        <f>IF(NOT(ISNUMBER($F128)),"run on terminal",IF(ABS($F128/$E128-1)&lt;0.02,"MATCH","CHECK: BBG "&amp;TEXT($F128,"0.000")))</f>
        <v/>
      </c>
      <c r="H128" s="175" t="inlineStr">
        <is>
          <t>2026-07-10 x8 (Bloomberg basis x8)</t>
        </is>
      </c>
    </row>
    <row r="129">
      <c r="A129" s="170" t="inlineStr">
        <is>
          <t>2635</t>
        </is>
      </c>
      <c r="B129" s="17" t="inlineStr">
        <is>
          <t>NUOBIKAN</t>
        </is>
      </c>
      <c r="C129" s="177" t="inlineStr">
        <is>
          <t>2025-12-23</t>
        </is>
      </c>
      <c r="D129" s="178" t="n">
        <v>371</v>
      </c>
      <c r="E129" s="50">
        <f>IFERROR($D129/10.0,"")</f>
        <v/>
      </c>
      <c r="F129" s="50">
        <f>IFERROR(BDH(TEXT(N($A129),"0")&amp;" HK Equity","PX_LAST",$C129,$C129),"run on terminal")</f>
        <v/>
      </c>
      <c r="G129" s="10">
        <f>IF(NOT(ISNUMBER($F129)),"run on terminal",IF(ABS($F129/$E129-1)&lt;0.02,"MATCH","CHECK: BBG "&amp;TEXT($F129,"0.000")))</f>
        <v/>
      </c>
      <c r="H129" s="175" t="inlineStr">
        <is>
          <t>2026-03-11 x10 (Bloomberg basis x10)</t>
        </is>
      </c>
    </row>
    <row r="130">
      <c r="A130" s="170" t="inlineStr">
        <is>
          <t>2650</t>
        </is>
      </c>
      <c r="B130" s="17" t="inlineStr">
        <is>
          <t>ZHIDA TECH</t>
        </is>
      </c>
      <c r="C130" s="177" t="inlineStr">
        <is>
          <t>2025-10-10</t>
        </is>
      </c>
      <c r="D130" s="178" t="n">
        <v>195.5</v>
      </c>
      <c r="E130" s="50">
        <f>IFERROR($D130/5.0,"")</f>
        <v/>
      </c>
      <c r="F130" s="50">
        <f>IFERROR(BDH(TEXT(N($A130),"0")&amp;" HK Equity","PX_LAST",$C130,$C130),"run on terminal")</f>
        <v/>
      </c>
      <c r="G130" s="10">
        <f>IF(NOT(ISNUMBER($F130)),"run on terminal",IF(ABS($F130/$E130-1)&lt;0.02,"MATCH","CHECK: BBG "&amp;TEXT($F130,"0.000")))</f>
        <v/>
      </c>
      <c r="H130" s="175" t="inlineStr">
        <is>
          <t>2026-03-03 x5 (Bloomberg basis x5)</t>
        </is>
      </c>
    </row>
    <row r="131">
      <c r="A131" s="170" t="inlineStr">
        <is>
          <t>2691</t>
        </is>
      </c>
      <c r="B131" s="17" t="inlineStr">
        <is>
          <t>NANHUA FUTURES</t>
        </is>
      </c>
      <c r="C131" s="177" t="inlineStr">
        <is>
          <t>2025-12-22</t>
        </is>
      </c>
      <c r="D131" s="178" t="n">
        <v>9.1</v>
      </c>
      <c r="E131" s="50">
        <f>IFERROR($D131/1.45,"")</f>
        <v/>
      </c>
      <c r="F131" s="50">
        <f>IFERROR(BDH(TEXT(N($A131),"0")&amp;" HK Equity","PX_LAST",$C131,$C131),"run on terminal")</f>
        <v/>
      </c>
      <c r="G131" s="10">
        <f>IF(NOT(ISNUMBER($F131)),"run on terminal",IF(ABS($F131/$E131-1)&lt;0.02,"MATCH","CHECK: BBG "&amp;TEXT($F131,"0.000")))</f>
        <v/>
      </c>
      <c r="H131" s="175" t="inlineStr">
        <is>
          <t>2026-06-17 x1.45 (Bloomberg basis x1.45)</t>
        </is>
      </c>
    </row>
    <row r="132">
      <c r="A132" s="170" t="inlineStr">
        <is>
          <t>2768</t>
        </is>
      </c>
      <c r="B132" s="17" t="inlineStr">
        <is>
          <t>GON TECHNOLOGY</t>
        </is>
      </c>
      <c r="C132" s="177" t="inlineStr">
        <is>
          <t>2026-02-04</t>
        </is>
      </c>
      <c r="D132" s="178" t="n">
        <v>40.162</v>
      </c>
      <c r="E132" s="50">
        <f>IFERROR($D132/1.48,"")</f>
        <v/>
      </c>
      <c r="F132" s="50">
        <f>IFERROR(BDH(TEXT(N($A132),"0")&amp;" HK Equity","PX_LAST",$C132,$C132),"run on terminal")</f>
        <v/>
      </c>
      <c r="G132" s="10">
        <f>IF(NOT(ISNUMBER($F132)),"run on terminal",IF(ABS($F132/$E132-1)&lt;0.02,"MATCH","CHECK: BBG "&amp;TEXT($F132,"0.000")))</f>
        <v/>
      </c>
      <c r="H132" s="175" t="inlineStr">
        <is>
          <t>2026-06-17 x1.48 (Bloomberg basis x1.48)</t>
        </is>
      </c>
    </row>
    <row r="133">
      <c r="A133" s="170" t="inlineStr">
        <is>
          <t>3296</t>
        </is>
      </c>
      <c r="B133" s="17" t="inlineStr">
        <is>
          <t>HUAQIN</t>
        </is>
      </c>
      <c r="C133" s="177" t="inlineStr">
        <is>
          <t>2026-04-23</t>
        </is>
      </c>
      <c r="D133" s="178" t="n">
        <v>88.003</v>
      </c>
      <c r="E133" s="50">
        <f>IFERROR($D133/1.4,"")</f>
        <v/>
      </c>
      <c r="F133" s="50">
        <f>IFERROR(BDH(TEXT(N($A133),"0")&amp;" HK Equity","PX_LAST",$C133,$C133),"run on terminal")</f>
        <v/>
      </c>
      <c r="G133" s="10">
        <f>IF(NOT(ISNUMBER($F133)),"run on terminal",IF(ABS($F133/$E133-1)&lt;0.02,"MATCH","CHECK: BBG "&amp;TEXT($F133,"0.000")))</f>
        <v/>
      </c>
      <c r="H133" s="175" t="inlineStr">
        <is>
          <t>2026-05-22 x1.4 (Bloomberg basis x1.4)</t>
        </is>
      </c>
    </row>
    <row r="134">
      <c r="A134" s="170" t="inlineStr">
        <is>
          <t>3881</t>
        </is>
      </c>
      <c r="B134" s="17" t="inlineStr">
        <is>
          <t>CIDI</t>
        </is>
      </c>
      <c r="C134" s="177" t="inlineStr">
        <is>
          <t>2025-12-19</t>
        </is>
      </c>
      <c r="D134" s="178" t="n">
        <v>226.995</v>
      </c>
      <c r="E134" s="50">
        <f>IFERROR($D134/10.0,"")</f>
        <v/>
      </c>
      <c r="F134" s="50">
        <f>IFERROR(BDH(TEXT(N($A134),"0")&amp;" HK Equity","PX_LAST",$C134,$C134),"run on terminal")</f>
        <v/>
      </c>
      <c r="G134" s="10">
        <f>IF(NOT(ISNUMBER($F134)),"run on terminal",IF(ABS($F134/$E134-1)&lt;0.02,"MATCH","CHECK: BBG "&amp;TEXT($F134,"0.000")))</f>
        <v/>
      </c>
      <c r="H134" s="175" t="inlineStr">
        <is>
          <t>2026-03-02 x10 (Bloomberg basis x10)</t>
        </is>
      </c>
    </row>
    <row r="135">
      <c r="A135" s="170" t="inlineStr">
        <is>
          <t>6127</t>
        </is>
      </c>
      <c r="B135" s="17" t="inlineStr">
        <is>
          <t>JOINN</t>
        </is>
      </c>
      <c r="C135" s="177" t="inlineStr">
        <is>
          <t>2021-02-26</t>
        </is>
      </c>
      <c r="D135" s="178" t="n">
        <v>137.999</v>
      </c>
      <c r="E135" s="50">
        <f>IFERROR($D135/2.7439999999999993,"")</f>
        <v/>
      </c>
      <c r="F135" s="50">
        <f>IFERROR(BDH(TEXT(N($A135),"0")&amp;" HK Equity","PX_LAST",$C135,$C135),"run on terminal")</f>
        <v/>
      </c>
      <c r="G135" s="10">
        <f>IF(NOT(ISNUMBER($F135)),"run on terminal",IF(ABS($F135/$E135-1)&lt;0.02,"MATCH","CHECK: BBG "&amp;TEXT($F135,"0.000")))</f>
        <v/>
      </c>
      <c r="H135" s="175" t="inlineStr">
        <is>
          <t>2021-06-23 x1.4; 2022-07-28 x1.4; 2023-06-20 x1.4 (Bloomberg basis x2.744)</t>
        </is>
      </c>
    </row>
    <row r="136">
      <c r="A136" s="170" t="inlineStr">
        <is>
          <t>6610</t>
        </is>
      </c>
      <c r="B136" s="17" t="inlineStr">
        <is>
          <t>FLOWING CLOUD</t>
        </is>
      </c>
      <c r="C136" s="177" t="inlineStr">
        <is>
          <t>2022-10-18</t>
        </is>
      </c>
      <c r="D136" s="178" t="n">
        <v>2.12</v>
      </c>
      <c r="E136" s="50">
        <f>IFERROR($D136/0.05,"")</f>
        <v/>
      </c>
      <c r="F136" s="50">
        <f>IFERROR(BDH(TEXT(N($A136),"0")&amp;" HK Equity","PX_LAST",$C136,$C136),"run on terminal")</f>
        <v/>
      </c>
      <c r="G136" s="10">
        <f>IF(NOT(ISNUMBER($F136)),"run on terminal",IF(ABS($F136/$E136-1)&lt;0.02,"MATCH","CHECK: BBG "&amp;TEXT($F136,"0.000")))</f>
        <v/>
      </c>
      <c r="H136" s="175" t="inlineStr">
        <is>
          <t>2025-12-05 x0.05 (Bloomberg basis x0.05)</t>
        </is>
      </c>
    </row>
    <row r="137">
      <c r="A137" s="170" t="inlineStr">
        <is>
          <t>6680</t>
        </is>
      </c>
      <c r="B137" s="17" t="inlineStr">
        <is>
          <t>JLMAG</t>
        </is>
      </c>
      <c r="C137" s="177" t="inlineStr">
        <is>
          <t>2022-01-14</t>
        </is>
      </c>
      <c r="D137" s="178" t="n">
        <v>28.199</v>
      </c>
      <c r="E137" s="50">
        <f>IFERROR($D137/1.6,"")</f>
        <v/>
      </c>
      <c r="F137" s="50">
        <f>IFERROR(BDH(TEXT(N($A137),"0")&amp;" HK Equity","PX_LAST",$C137,$C137),"run on terminal")</f>
        <v/>
      </c>
      <c r="G137" s="10">
        <f>IF(NOT(ISNUMBER($F137)),"run on terminal",IF(ABS($F137/$E137-1)&lt;0.02,"MATCH","CHECK: BBG "&amp;TEXT($F137,"0.000")))</f>
        <v/>
      </c>
      <c r="H137" s="175" t="inlineStr">
        <is>
          <t>2023-06-26 x1.6 (Bloomberg basis x1.6)</t>
        </is>
      </c>
    </row>
    <row r="138">
      <c r="A138" s="170" t="inlineStr">
        <is>
          <t>6686</t>
        </is>
      </c>
      <c r="B138" s="17" t="inlineStr">
        <is>
          <t>NOAH HOLDINGS-S</t>
        </is>
      </c>
      <c r="C138" s="177" t="inlineStr">
        <is>
          <t>2022-07-13</t>
        </is>
      </c>
      <c r="D138" s="178" t="n">
        <v>279.006</v>
      </c>
      <c r="E138" s="50">
        <f>IFERROR($D138/10.0,"")</f>
        <v/>
      </c>
      <c r="F138" s="50">
        <f>IFERROR(BDH(TEXT(N($A138),"0")&amp;" HK Equity","PX_LAST",$C138,$C138),"run on terminal")</f>
        <v/>
      </c>
      <c r="G138" s="10">
        <f>IF(NOT(ISNUMBER($F138)),"run on terminal",IF(ABS($F138/$E138-1)&lt;0.02,"MATCH","CHECK: BBG "&amp;TEXT($F138,"0.000")))</f>
        <v/>
      </c>
      <c r="H138" s="175" t="inlineStr">
        <is>
          <t>2023-10-30 x10 (Bloomberg basis x10)</t>
        </is>
      </c>
    </row>
    <row r="139">
      <c r="A139" s="170" t="inlineStr">
        <is>
          <t>6696</t>
        </is>
      </c>
      <c r="B139" s="17" t="inlineStr">
        <is>
          <t>MANY IDEA CLOUD</t>
        </is>
      </c>
      <c r="C139" s="177" t="inlineStr">
        <is>
          <t>2022-11-09</t>
        </is>
      </c>
      <c r="D139" s="178" t="n">
        <v>2</v>
      </c>
      <c r="E139" s="50">
        <f>IFERROR($D139/0.06211222837500001,"")</f>
        <v/>
      </c>
      <c r="F139" s="50">
        <f>IFERROR(BDH(TEXT(N($A139),"0")&amp;" HK Equity","PX_LAST",$C139,$C139),"run on terminal")</f>
        <v/>
      </c>
      <c r="G139" s="10">
        <f>IF(NOT(ISNUMBER($F139)),"run on terminal",IF(ABS($F139/$E139-1)&lt;0.02,"MATCH","CHECK: BBG "&amp;TEXT($F139,"0.000")))</f>
        <v/>
      </c>
      <c r="H139" s="175" t="inlineStr">
        <is>
          <t>2025-02-12 x0.05; 2024-03-12 open offer 1-for-2 @ HK$0.15 (BBG-only x1.13235); 2025-11-26 rights 6-for-1 @ HK$0.4753 (post-consolidation) (BBG-only x1.09705) (Bloomberg basis x0.0621122)</t>
        </is>
      </c>
    </row>
    <row r="140">
      <c r="A140" s="170" t="inlineStr">
        <is>
          <t>6821</t>
        </is>
      </c>
      <c r="B140" s="17" t="inlineStr">
        <is>
          <t>ASYMCHEM</t>
        </is>
      </c>
      <c r="C140" s="177" t="inlineStr">
        <is>
          <t>2021-12-10</t>
        </is>
      </c>
      <c r="D140" s="178" t="n">
        <v>369.997</v>
      </c>
      <c r="E140" s="50">
        <f>IFERROR($D140/1.4,"")</f>
        <v/>
      </c>
      <c r="F140" s="50">
        <f>IFERROR(BDH(TEXT(N($A140),"0")&amp;" HK Equity","PX_LAST",$C140,$C140),"run on terminal")</f>
        <v/>
      </c>
      <c r="G140" s="10">
        <f>IF(NOT(ISNUMBER($F140)),"run on terminal",IF(ABS($F140/$E140-1)&lt;0.02,"MATCH","CHECK: BBG "&amp;TEXT($F140,"0.000")))</f>
        <v/>
      </c>
      <c r="H140" s="175" t="inlineStr">
        <is>
          <t>2022-07-11 x1.4 (Bloomberg basis x1.4)</t>
        </is>
      </c>
    </row>
    <row r="141">
      <c r="A141" s="170" t="inlineStr">
        <is>
          <t>6911</t>
        </is>
      </c>
      <c r="B141" s="17" t="inlineStr">
        <is>
          <t>LANCANG TEA</t>
        </is>
      </c>
      <c r="C141" s="177" t="inlineStr">
        <is>
          <t>2023-12-22</t>
        </is>
      </c>
      <c r="D141" s="178" t="n">
        <v>8.699999999999999</v>
      </c>
      <c r="E141" s="50">
        <f>IFERROR($D141/1.5,"")</f>
        <v/>
      </c>
      <c r="F141" s="50">
        <f>IFERROR(BDH(TEXT(N($A141),"0")&amp;" HK Equity","PX_LAST",$C141,$C141),"run on terminal")</f>
        <v/>
      </c>
      <c r="G141" s="10">
        <f>IF(NOT(ISNUMBER($F141)),"run on terminal",IF(ABS($F141/$E141-1)&lt;0.02,"MATCH","CHECK: BBG "&amp;TEXT($F141,"0.000")))</f>
        <v/>
      </c>
      <c r="H141" s="175" t="inlineStr">
        <is>
          <t>2024-06-11 x1.5 (Bloomberg basis x1.5)</t>
        </is>
      </c>
    </row>
    <row r="142">
      <c r="A142" s="170" t="inlineStr">
        <is>
          <t>9980</t>
        </is>
      </c>
      <c r="B142" s="17" t="inlineStr">
        <is>
          <t>EASTROC</t>
        </is>
      </c>
      <c r="C142" s="177" t="inlineStr">
        <is>
          <t>2026-02-03</t>
        </is>
      </c>
      <c r="D142" s="178" t="n">
        <v>251.794</v>
      </c>
      <c r="E142" s="50">
        <f>IFERROR($D142/1.3,"")</f>
        <v/>
      </c>
      <c r="F142" s="50">
        <f>IFERROR(BDH(TEXT(N($A142),"0")&amp;" HK Equity","PX_LAST",$C142,$C142),"run on terminal")</f>
        <v/>
      </c>
      <c r="G142" s="10">
        <f>IF(NOT(ISNUMBER($F142)),"run on terminal",IF(ABS($F142/$E142-1)&lt;0.02,"MATCH","CHECK: BBG "&amp;TEXT($F142,"0.000")))</f>
        <v/>
      </c>
      <c r="H142" s="175" t="inlineStr">
        <is>
          <t>2026-05-05 x1.3 (Bloomberg basis x1.3)</t>
        </is>
      </c>
    </row>
    <row r="143"/>
    <row r="144">
      <c r="A144" s="165" t="inlineStr">
        <is>
          <t>D. DEAL SIZE (16 deals whose stated gross was below net proceeds)</t>
        </is>
      </c>
    </row>
    <row r="145">
      <c r="A145" s="12" t="inlineStr">
        <is>
          <t>Code</t>
        </is>
      </c>
      <c r="B145" s="12" t="inlineStr">
        <is>
          <t>Name</t>
        </is>
      </c>
      <c r="C145" s="12" t="inlineStr">
        <is>
          <t>Our deal size (HK$m)</t>
        </is>
      </c>
      <c r="D145" s="12" t="inlineStr">
        <is>
          <t>Basis</t>
        </is>
      </c>
      <c r="E145" s="12" t="inlineStr"/>
      <c r="F145" s="12" t="inlineStr">
        <is>
          <t>BBG offering size</t>
        </is>
      </c>
      <c r="G145" s="12" t="inlineStr">
        <is>
          <t>VERDICT</t>
        </is>
      </c>
      <c r="H145" s="12" t="inlineStr">
        <is>
          <t>What we relied on</t>
        </is>
      </c>
    </row>
    <row r="146">
      <c r="A146" s="170" t="inlineStr">
        <is>
          <t>2209</t>
        </is>
      </c>
      <c r="B146" s="17" t="inlineStr">
        <is>
          <t>YESASIA HLDGS</t>
        </is>
      </c>
      <c r="C146" s="176" t="n">
        <v>91</v>
      </c>
      <c r="D146" s="175" t="inlineStr">
        <is>
          <t>net proceeds</t>
        </is>
      </c>
      <c r="F146" s="175" t="inlineStr">
        <is>
          <t>no BDP field; check CACS</t>
        </is>
      </c>
      <c r="G146" s="10" t="inlineStr">
        <is>
          <t>"check on CACS; rebuilt as shares x price or net proceeds"</t>
        </is>
      </c>
      <c r="H146" s="175" t="inlineStr">
        <is>
          <t>stated gross HK$4.5m rejected, below the net proceeds of HK$91.0m</t>
        </is>
      </c>
    </row>
    <row r="147">
      <c r="A147" s="170" t="inlineStr">
        <is>
          <t>2235</t>
        </is>
      </c>
      <c r="B147" s="17" t="inlineStr">
        <is>
          <t>MICROTECH MED-B</t>
        </is>
      </c>
      <c r="C147" s="176" t="n">
        <v>1937.6</v>
      </c>
      <c r="D147" s="175" t="inlineStr">
        <is>
          <t>gross (price x shares)</t>
        </is>
      </c>
      <c r="F147" s="175" t="inlineStr">
        <is>
          <t>no BDP field; check CACS</t>
        </is>
      </c>
      <c r="G147" s="10" t="inlineStr">
        <is>
          <t>"check on CACS; rebuilt as shares x price or net proceeds"</t>
        </is>
      </c>
      <c r="H147" s="175" t="inlineStr">
        <is>
          <t>stated gross HK$75.7m rejected, below the net proceeds of HK$1,815.1m</t>
        </is>
      </c>
    </row>
    <row r="148">
      <c r="A148" s="170" t="inlineStr">
        <is>
          <t>2185</t>
        </is>
      </c>
      <c r="B148" s="17" t="inlineStr">
        <is>
          <t>BIOHEART-B</t>
        </is>
      </c>
      <c r="C148" s="176" t="n">
        <v>508.7</v>
      </c>
      <c r="D148" s="175" t="inlineStr">
        <is>
          <t>gross (price x shares)</t>
        </is>
      </c>
      <c r="F148" s="175" t="inlineStr">
        <is>
          <t>no BDP field; check CACS</t>
        </is>
      </c>
      <c r="G148" s="10" t="inlineStr">
        <is>
          <t>"check on CACS; rebuilt as shares x price or net proceeds"</t>
        </is>
      </c>
      <c r="H148" s="175" t="inlineStr">
        <is>
          <t>stated gross HK$26.5m rejected, below the net proceeds of HK$441.7m</t>
        </is>
      </c>
    </row>
    <row r="149">
      <c r="A149" s="170" t="inlineStr">
        <is>
          <t>2157</t>
        </is>
      </c>
      <c r="B149" s="17" t="inlineStr">
        <is>
          <t>LEPU BIO-B</t>
        </is>
      </c>
      <c r="C149" s="176" t="n">
        <v>904.6</v>
      </c>
      <c r="D149" s="175" t="inlineStr">
        <is>
          <t>gross (price x shares)</t>
        </is>
      </c>
      <c r="F149" s="175" t="inlineStr">
        <is>
          <t>no BDP field; check CACS</t>
        </is>
      </c>
      <c r="G149" s="10" t="inlineStr">
        <is>
          <t>"check on CACS; rebuilt as shares x price or net proceeds"</t>
        </is>
      </c>
      <c r="H149" s="175" t="inlineStr">
        <is>
          <t>stated gross HK$36.2m rejected, below the net proceeds of HK$804.2m</t>
        </is>
      </c>
    </row>
    <row r="150">
      <c r="A150" s="170" t="inlineStr">
        <is>
          <t>2179</t>
        </is>
      </c>
      <c r="B150" s="17" t="inlineStr">
        <is>
          <t>RECBIO-B</t>
        </is>
      </c>
      <c r="C150" s="176" t="n">
        <v>672.4</v>
      </c>
      <c r="D150" s="175" t="inlineStr">
        <is>
          <t>net proceeds</t>
        </is>
      </c>
      <c r="F150" s="175" t="inlineStr">
        <is>
          <t>no BDP field; check CACS</t>
        </is>
      </c>
      <c r="G150" s="10" t="inlineStr">
        <is>
          <t>"check on CACS; rebuilt as shares x price or net proceeds"</t>
        </is>
      </c>
      <c r="H150" s="175" t="inlineStr">
        <is>
          <t>stated gross HK$32.5m rejected, below the net proceeds of HK$672.4m</t>
        </is>
      </c>
    </row>
    <row r="151">
      <c r="A151" s="170" t="inlineStr">
        <is>
          <t>2315</t>
        </is>
      </c>
      <c r="B151" s="17" t="inlineStr">
        <is>
          <t>BIOCYTOGEN-B</t>
        </is>
      </c>
      <c r="C151" s="176" t="n">
        <v>548.7</v>
      </c>
      <c r="D151" s="175" t="inlineStr">
        <is>
          <t>gross (price x shares)</t>
        </is>
      </c>
      <c r="F151" s="175" t="inlineStr">
        <is>
          <t>no BDP field; check CACS</t>
        </is>
      </c>
      <c r="G151" s="10" t="inlineStr">
        <is>
          <t>"check on CACS; rebuilt as shares x price or net proceeds"</t>
        </is>
      </c>
      <c r="H151" s="175" t="inlineStr">
        <is>
          <t>stated gross HK$16.9m rejected, below the net proceeds of HK$471.1m</t>
        </is>
      </c>
    </row>
    <row r="152">
      <c r="A152" s="170" t="inlineStr">
        <is>
          <t>6979</t>
        </is>
      </c>
      <c r="B152" s="17" t="inlineStr">
        <is>
          <t>ZJLD</t>
        </is>
      </c>
      <c r="C152" s="176" t="n">
        <v>5309.4</v>
      </c>
      <c r="D152" s="175" t="inlineStr">
        <is>
          <t>gross (price x shares)</t>
        </is>
      </c>
      <c r="F152" s="175" t="inlineStr">
        <is>
          <t>no BDP field; check CACS</t>
        </is>
      </c>
      <c r="G152" s="10" t="inlineStr">
        <is>
          <t>"check on CACS; rebuilt as shares x price or net proceeds"</t>
        </is>
      </c>
      <c r="H152" s="175" t="inlineStr">
        <is>
          <t>stated gross HK$795.0m rejected, below the net proceeds of HK$4,990.0m</t>
        </is>
      </c>
    </row>
    <row r="153">
      <c r="A153" s="170" t="inlineStr">
        <is>
          <t>2415</t>
        </is>
      </c>
      <c r="B153" s="17" t="inlineStr">
        <is>
          <t>MEDSCI</t>
        </is>
      </c>
      <c r="C153" s="176" t="n">
        <v>607.8</v>
      </c>
      <c r="D153" s="175" t="inlineStr">
        <is>
          <t>gross (price x shares)</t>
        </is>
      </c>
      <c r="F153" s="175" t="inlineStr">
        <is>
          <t>no BDP field; check CACS</t>
        </is>
      </c>
      <c r="G153" s="10" t="inlineStr">
        <is>
          <t>"check on CACS; rebuilt as shares x price or net proceeds"</t>
        </is>
      </c>
      <c r="H153" s="175" t="inlineStr">
        <is>
          <t>stated gross HK$18.2m rejected, below the net proceeds of HK$538.2m</t>
        </is>
      </c>
    </row>
    <row r="154">
      <c r="A154" s="170" t="inlineStr">
        <is>
          <t>2487</t>
        </is>
      </c>
      <c r="B154" s="17" t="inlineStr">
        <is>
          <t>CUTIA-B</t>
        </is>
      </c>
      <c r="C154" s="176" t="n">
        <v>465</v>
      </c>
      <c r="D154" s="175" t="inlineStr">
        <is>
          <t>gross (price x shares)</t>
        </is>
      </c>
      <c r="F154" s="175" t="inlineStr">
        <is>
          <t>no BDP field; check CACS</t>
        </is>
      </c>
      <c r="G154" s="10" t="inlineStr">
        <is>
          <t>"check on CACS; rebuilt as shares x price or net proceeds"</t>
        </is>
      </c>
      <c r="H154" s="175" t="inlineStr">
        <is>
          <t>stated gross HK$23.9m rejected, below the net proceeds of HK$392.7m</t>
        </is>
      </c>
    </row>
    <row r="155">
      <c r="A155" s="170" t="inlineStr">
        <is>
          <t>6990</t>
        </is>
      </c>
      <c r="B155" s="17" t="inlineStr">
        <is>
          <t>SKB BIO-B</t>
        </is>
      </c>
      <c r="C155" s="176" t="n">
        <v>1360.2</v>
      </c>
      <c r="D155" s="175" t="inlineStr">
        <is>
          <t>gross (price x shares)</t>
        </is>
      </c>
      <c r="F155" s="175" t="inlineStr">
        <is>
          <t>no BDP field; check CACS</t>
        </is>
      </c>
      <c r="G155" s="10" t="inlineStr">
        <is>
          <t>"check on CACS; rebuilt as shares x price or net proceeds"</t>
        </is>
      </c>
      <c r="H155" s="175" t="inlineStr">
        <is>
          <t>stated gross HK$54.5m rejected, below the net proceeds of HK$1,258.9m</t>
        </is>
      </c>
    </row>
    <row r="156">
      <c r="A156" s="170" t="inlineStr">
        <is>
          <t>2490</t>
        </is>
      </c>
      <c r="B156" s="17" t="inlineStr">
        <is>
          <t>LC LOGISTICS</t>
        </is>
      </c>
      <c r="C156" s="176" t="n">
        <v>145.6</v>
      </c>
      <c r="D156" s="175" t="inlineStr">
        <is>
          <t>gross (price x shares)</t>
        </is>
      </c>
      <c r="F156" s="175" t="inlineStr">
        <is>
          <t>no BDP field; check CACS</t>
        </is>
      </c>
      <c r="G156" s="10" t="inlineStr">
        <is>
          <t>"check on CACS; rebuilt as shares x price or net proceeds"</t>
        </is>
      </c>
      <c r="H156" s="175" t="inlineStr">
        <is>
          <t>stated gross HK$5.9m rejected, below the net proceeds of HK$83.5m</t>
        </is>
      </c>
    </row>
    <row r="157">
      <c r="A157" s="170" t="inlineStr">
        <is>
          <t>9686</t>
        </is>
      </c>
      <c r="B157" s="17" t="inlineStr">
        <is>
          <t>NEUSOFT XIKANG</t>
        </is>
      </c>
      <c r="C157" s="176" t="n">
        <v>636.9</v>
      </c>
      <c r="D157" s="175" t="inlineStr">
        <is>
          <t>gross (price x shares)</t>
        </is>
      </c>
      <c r="F157" s="175" t="inlineStr">
        <is>
          <t>no BDP field; check CACS</t>
        </is>
      </c>
      <c r="G157" s="10" t="inlineStr">
        <is>
          <t>"check on CACS; rebuilt as shares x price or net proceeds"</t>
        </is>
      </c>
      <c r="H157" s="175" t="inlineStr">
        <is>
          <t>stated gross HK$21.6m rejected, below the net proceeds of HK$554.5m</t>
        </is>
      </c>
    </row>
    <row r="158">
      <c r="A158" s="170" t="inlineStr">
        <is>
          <t>9890</t>
        </is>
      </c>
      <c r="B158" s="17" t="inlineStr">
        <is>
          <t>ZX INC</t>
        </is>
      </c>
      <c r="C158" s="176" t="n">
        <v>265.7</v>
      </c>
      <c r="D158" s="175" t="inlineStr">
        <is>
          <t>gross (price x shares)</t>
        </is>
      </c>
      <c r="F158" s="175" t="inlineStr">
        <is>
          <t>no BDP field; check CACS</t>
        </is>
      </c>
      <c r="G158" s="10" t="inlineStr">
        <is>
          <t>"check on CACS; rebuilt as shares x price or net proceeds"</t>
        </is>
      </c>
      <c r="H158" s="175" t="inlineStr">
        <is>
          <t>stated gross HK$29.5m rejected, below the net proceeds of HK$138.1m</t>
        </is>
      </c>
    </row>
    <row r="159">
      <c r="A159" s="170" t="inlineStr">
        <is>
          <t>2451</t>
        </is>
      </c>
      <c r="B159" s="17" t="inlineStr">
        <is>
          <t>LUYUAN GP HLDG</t>
        </is>
      </c>
      <c r="C159" s="176" t="n">
        <v>786.1</v>
      </c>
      <c r="D159" s="175" t="inlineStr">
        <is>
          <t>gross (price x shares)</t>
        </is>
      </c>
      <c r="F159" s="175" t="inlineStr">
        <is>
          <t>no BDP field; check CACS</t>
        </is>
      </c>
      <c r="G159" s="10" t="inlineStr">
        <is>
          <t>"check on CACS; rebuilt as shares x price or net proceeds"</t>
        </is>
      </c>
      <c r="H159" s="175" t="inlineStr">
        <is>
          <t>stated gross HK$31.5m rejected, below the net proceeds of HK$706.4m</t>
        </is>
      </c>
    </row>
    <row r="160">
      <c r="A160" s="170" t="inlineStr">
        <is>
          <t>2517</t>
        </is>
      </c>
      <c r="B160" s="17" t="inlineStr">
        <is>
          <t>GUOQUAN</t>
        </is>
      </c>
      <c r="C160" s="176" t="n">
        <v>411.4</v>
      </c>
      <c r="D160" s="175" t="inlineStr">
        <is>
          <t>gross (price x shares)</t>
        </is>
      </c>
      <c r="F160" s="175" t="inlineStr">
        <is>
          <t>no BDP field; check CACS</t>
        </is>
      </c>
      <c r="G160" s="10" t="inlineStr">
        <is>
          <t>"check on CACS; rebuilt as shares x price or net proceeds"</t>
        </is>
      </c>
      <c r="H160" s="175" t="inlineStr">
        <is>
          <t>stated gross HK$16.5m rejected, below the net proceeds of HK$356.5m</t>
        </is>
      </c>
    </row>
    <row r="161">
      <c r="A161" s="170" t="inlineStr">
        <is>
          <t>1111</t>
        </is>
      </c>
      <c r="B161" s="17" t="inlineStr">
        <is>
          <t>HUASHI GROUP</t>
        </is>
      </c>
      <c r="C161" s="176" t="n">
        <v>130</v>
      </c>
      <c r="D161" s="175" t="inlineStr">
        <is>
          <t>gross (price x shares)</t>
        </is>
      </c>
      <c r="F161" s="175" t="inlineStr">
        <is>
          <t>no BDP field; check CACS</t>
        </is>
      </c>
      <c r="G161" s="10" t="inlineStr">
        <is>
          <t>"check on CACS; rebuilt as shares x price or net proceeds"</t>
        </is>
      </c>
      <c r="H161" s="175"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517 deals with a listing-day price, 2021-2026. Hit-rate = share that closed above the offer. Check n before trusting a cell.</t>
        </is>
      </c>
    </row>
    <row r="3"/>
    <row r="4">
      <c r="A4" s="165"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67" t="n">
        <v>166</v>
      </c>
      <c r="C6" s="179" t="n">
        <v>0</v>
      </c>
      <c r="D6" s="173" t="n">
        <v>40</v>
      </c>
      <c r="E6" s="179" t="n">
        <v>-5.4</v>
      </c>
      <c r="F6" s="179" t="n">
        <v>3.1</v>
      </c>
    </row>
    <row r="7">
      <c r="A7" s="17" t="inlineStr">
        <is>
          <t>10-100x</t>
        </is>
      </c>
      <c r="B7" s="167" t="n">
        <v>125</v>
      </c>
      <c r="C7" s="179" t="n">
        <v>0.8</v>
      </c>
      <c r="D7" s="173" t="n">
        <v>53</v>
      </c>
      <c r="E7" s="179" t="n">
        <v>-13.7</v>
      </c>
      <c r="F7" s="179" t="n">
        <v>15.7</v>
      </c>
    </row>
    <row r="8">
      <c r="A8" s="17" t="inlineStr">
        <is>
          <t>100-1000x</t>
        </is>
      </c>
      <c r="B8" s="167" t="n">
        <v>120</v>
      </c>
      <c r="C8" s="179" t="n">
        <v>3.2</v>
      </c>
      <c r="D8" s="173" t="n">
        <v>58</v>
      </c>
      <c r="E8" s="179" t="n">
        <v>-8.6</v>
      </c>
      <c r="F8" s="179" t="n">
        <v>26.9</v>
      </c>
    </row>
    <row r="9">
      <c r="A9" s="17" t="inlineStr">
        <is>
          <t>&gt;=1000x</t>
        </is>
      </c>
      <c r="B9" s="167" t="n">
        <v>106</v>
      </c>
      <c r="C9" s="179" t="n">
        <v>76</v>
      </c>
      <c r="D9" s="173" t="n">
        <v>92</v>
      </c>
      <c r="E9" s="179" t="n">
        <v>21.3</v>
      </c>
      <c r="F9" s="179" t="n">
        <v>127.1</v>
      </c>
    </row>
    <row r="10"/>
    <row r="11">
      <c r="A11" s="165"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67" t="n">
        <v>3</v>
      </c>
      <c r="D13" s="179" t="n">
        <v>5.2</v>
      </c>
      <c r="E13" s="173" t="n">
        <v>67</v>
      </c>
      <c r="G13" s="2" t="inlineStr">
        <is>
          <t>AI application / agent software|10-100x</t>
        </is>
      </c>
    </row>
    <row r="14">
      <c r="A14" s="17" t="inlineStr">
        <is>
          <t>AI application / agent software</t>
        </is>
      </c>
      <c r="B14" s="17" t="inlineStr">
        <is>
          <t>100-1000x</t>
        </is>
      </c>
      <c r="C14" s="167" t="n">
        <v>2</v>
      </c>
      <c r="D14" s="179" t="n">
        <v>3.3</v>
      </c>
      <c r="E14" s="173" t="n">
        <v>50</v>
      </c>
      <c r="G14" s="2" t="inlineStr">
        <is>
          <t>AI application / agent software|100-1000x</t>
        </is>
      </c>
    </row>
    <row r="15">
      <c r="A15" s="17" t="inlineStr">
        <is>
          <t>AI application / agent software</t>
        </is>
      </c>
      <c r="B15" s="17" t="inlineStr">
        <is>
          <t>&lt;10x</t>
        </is>
      </c>
      <c r="C15" s="167" t="n">
        <v>2</v>
      </c>
      <c r="D15" s="179" t="n">
        <v>22.7</v>
      </c>
      <c r="E15" s="173" t="n">
        <v>100</v>
      </c>
      <c r="G15" s="2" t="inlineStr">
        <is>
          <t>AI application / agent software|&lt;10x</t>
        </is>
      </c>
    </row>
    <row r="16">
      <c r="A16" s="17" t="inlineStr">
        <is>
          <t>AI application / agent software</t>
        </is>
      </c>
      <c r="B16" s="17" t="inlineStr">
        <is>
          <t>&gt;=1000x</t>
        </is>
      </c>
      <c r="C16" s="167" t="n">
        <v>10</v>
      </c>
      <c r="D16" s="179" t="n">
        <v>150.3</v>
      </c>
      <c r="E16" s="173" t="n">
        <v>90</v>
      </c>
      <c r="G16" s="2" t="inlineStr">
        <is>
          <t>AI application / agent software|&gt;=1000x</t>
        </is>
      </c>
    </row>
    <row r="17">
      <c r="A17" s="17" t="inlineStr">
        <is>
          <t>AI chips &amp; semis</t>
        </is>
      </c>
      <c r="B17" s="17" t="inlineStr">
        <is>
          <t>10-100x</t>
        </is>
      </c>
      <c r="C17" s="167" t="n">
        <v>5</v>
      </c>
      <c r="D17" s="179" t="n">
        <v>2.8</v>
      </c>
      <c r="E17" s="173" t="n">
        <v>60</v>
      </c>
      <c r="G17" s="2" t="inlineStr">
        <is>
          <t>AI chips &amp; semis|10-100x</t>
        </is>
      </c>
    </row>
    <row r="18">
      <c r="A18" s="17" t="inlineStr">
        <is>
          <t>AI chips &amp; semis</t>
        </is>
      </c>
      <c r="B18" s="17" t="inlineStr">
        <is>
          <t>100-1000x</t>
        </is>
      </c>
      <c r="C18" s="167" t="n">
        <v>9</v>
      </c>
      <c r="D18" s="179" t="n">
        <v>8.4</v>
      </c>
      <c r="E18" s="173" t="n">
        <v>67</v>
      </c>
      <c r="G18" s="2" t="inlineStr">
        <is>
          <t>AI chips &amp; semis|100-1000x</t>
        </is>
      </c>
    </row>
    <row r="19">
      <c r="A19" s="17" t="inlineStr">
        <is>
          <t>AI chips &amp; semis</t>
        </is>
      </c>
      <c r="B19" s="17" t="inlineStr">
        <is>
          <t>&lt;10x</t>
        </is>
      </c>
      <c r="C19" s="167" t="n">
        <v>4</v>
      </c>
      <c r="D19" s="179" t="n">
        <v>-8.5</v>
      </c>
      <c r="E19" s="173" t="n">
        <v>50</v>
      </c>
      <c r="G19" s="2" t="inlineStr">
        <is>
          <t>AI chips &amp; semis|&lt;10x</t>
        </is>
      </c>
    </row>
    <row r="20">
      <c r="A20" s="17" t="inlineStr">
        <is>
          <t>AI chips &amp; semis</t>
        </is>
      </c>
      <c r="B20" s="17" t="inlineStr">
        <is>
          <t>&gt;=1000x</t>
        </is>
      </c>
      <c r="C20" s="167" t="n">
        <v>9</v>
      </c>
      <c r="D20" s="179" t="n">
        <v>75.8</v>
      </c>
      <c r="E20" s="173" t="n">
        <v>100</v>
      </c>
      <c r="G20" s="2" t="inlineStr">
        <is>
          <t>AI chips &amp; semis|&gt;=1000x</t>
        </is>
      </c>
    </row>
    <row r="21">
      <c r="A21" s="17" t="inlineStr">
        <is>
          <t>Apparel / luxury</t>
        </is>
      </c>
      <c r="B21" s="17" t="inlineStr">
        <is>
          <t>10-100x</t>
        </is>
      </c>
      <c r="C21" s="167" t="n">
        <v>1</v>
      </c>
      <c r="D21" s="179" t="n">
        <v>7.5</v>
      </c>
      <c r="E21" s="173" t="n">
        <v>100</v>
      </c>
      <c r="G21" s="2" t="inlineStr">
        <is>
          <t>Apparel / luxury|10-100x</t>
        </is>
      </c>
    </row>
    <row r="22">
      <c r="A22" s="17" t="inlineStr">
        <is>
          <t>Apparel / luxury</t>
        </is>
      </c>
      <c r="B22" s="17" t="inlineStr">
        <is>
          <t>100-1000x</t>
        </is>
      </c>
      <c r="C22" s="167" t="n">
        <v>2</v>
      </c>
      <c r="D22" s="179" t="n">
        <v>48.9</v>
      </c>
      <c r="E22" s="173" t="n">
        <v>100</v>
      </c>
      <c r="G22" s="2" t="inlineStr">
        <is>
          <t>Apparel / luxury|100-1000x</t>
        </is>
      </c>
    </row>
    <row r="23">
      <c r="A23" s="17" t="inlineStr">
        <is>
          <t>Apparel / luxury</t>
        </is>
      </c>
      <c r="B23" s="17" t="inlineStr">
        <is>
          <t>&lt;10x</t>
        </is>
      </c>
      <c r="C23" s="167" t="n">
        <v>2</v>
      </c>
      <c r="D23" s="179" t="n">
        <v>-0.1</v>
      </c>
      <c r="E23" s="173" t="n">
        <v>0</v>
      </c>
      <c r="G23" s="2" t="inlineStr">
        <is>
          <t>Apparel / luxury|&lt;10x</t>
        </is>
      </c>
    </row>
    <row r="24">
      <c r="A24" s="17" t="inlineStr">
        <is>
          <t>Apparel / luxury</t>
        </is>
      </c>
      <c r="B24" s="17" t="inlineStr">
        <is>
          <t>&gt;=1000x</t>
        </is>
      </c>
      <c r="C24" s="167" t="n">
        <v>1</v>
      </c>
      <c r="D24" s="179" t="n">
        <v>258.1</v>
      </c>
      <c r="E24" s="173" t="n">
        <v>100</v>
      </c>
      <c r="G24" s="2" t="inlineStr">
        <is>
          <t>Apparel / luxury|&gt;=1000x</t>
        </is>
      </c>
    </row>
    <row r="25">
      <c r="A25" s="17" t="inlineStr">
        <is>
          <t>Auto parts / supply chain</t>
        </is>
      </c>
      <c r="B25" s="17" t="inlineStr">
        <is>
          <t>10-100x</t>
        </is>
      </c>
      <c r="C25" s="167" t="n">
        <v>3</v>
      </c>
      <c r="D25" s="179" t="n">
        <v>-36.9</v>
      </c>
      <c r="E25" s="173" t="n">
        <v>33</v>
      </c>
      <c r="G25" s="2" t="inlineStr">
        <is>
          <t>Auto parts / supply chain|10-100x</t>
        </is>
      </c>
    </row>
    <row r="26">
      <c r="A26" s="17" t="inlineStr">
        <is>
          <t>Auto parts / supply chain</t>
        </is>
      </c>
      <c r="B26" s="17" t="inlineStr">
        <is>
          <t>100-1000x</t>
        </is>
      </c>
      <c r="C26" s="167" t="n">
        <v>3</v>
      </c>
      <c r="D26" s="179" t="n">
        <v>-0.1</v>
      </c>
      <c r="E26" s="173" t="n">
        <v>33</v>
      </c>
      <c r="G26" s="2" t="inlineStr">
        <is>
          <t>Auto parts / supply chain|100-1000x</t>
        </is>
      </c>
    </row>
    <row r="27">
      <c r="A27" s="17" t="inlineStr">
        <is>
          <t>Auto parts / supply chain</t>
        </is>
      </c>
      <c r="B27" s="17" t="inlineStr">
        <is>
          <t>&lt;10x</t>
        </is>
      </c>
      <c r="C27" s="167" t="n">
        <v>1</v>
      </c>
      <c r="D27" s="179" t="n">
        <v>2.1</v>
      </c>
      <c r="E27" s="173" t="n">
        <v>100</v>
      </c>
      <c r="G27" s="2" t="inlineStr">
        <is>
          <t>Auto parts / supply chain|&lt;10x</t>
        </is>
      </c>
    </row>
    <row r="28">
      <c r="A28" s="17" t="inlineStr">
        <is>
          <t>Auto parts / supply chain</t>
        </is>
      </c>
      <c r="B28" s="17" t="inlineStr">
        <is>
          <t>&gt;=1000x</t>
        </is>
      </c>
      <c r="C28" s="167" t="n">
        <v>2</v>
      </c>
      <c r="D28" s="179" t="n">
        <v>128.1</v>
      </c>
      <c r="E28" s="173" t="n">
        <v>100</v>
      </c>
      <c r="G28" s="2" t="inlineStr">
        <is>
          <t>Auto parts / supply chain|&gt;=1000x</t>
        </is>
      </c>
    </row>
    <row r="29">
      <c r="A29" s="17" t="inlineStr">
        <is>
          <t>Autos (NEV OEM)</t>
        </is>
      </c>
      <c r="B29" s="17" t="inlineStr">
        <is>
          <t>10-100x</t>
        </is>
      </c>
      <c r="C29" s="167" t="n">
        <v>2</v>
      </c>
      <c r="D29" s="179" t="n">
        <v>0.5</v>
      </c>
      <c r="E29" s="173" t="n">
        <v>50</v>
      </c>
      <c r="G29" s="2" t="inlineStr">
        <is>
          <t>Autos (NEV OEM)|10-100x</t>
        </is>
      </c>
    </row>
    <row r="30">
      <c r="A30" s="17" t="inlineStr">
        <is>
          <t>Autos (NEV OEM)</t>
        </is>
      </c>
      <c r="B30" s="17" t="inlineStr">
        <is>
          <t>100-1000x</t>
        </is>
      </c>
      <c r="C30" s="167" t="n">
        <v>2</v>
      </c>
      <c r="D30" s="179" t="n">
        <v>1.9</v>
      </c>
      <c r="E30" s="173" t="n">
        <v>50</v>
      </c>
      <c r="G30" s="2" t="inlineStr">
        <is>
          <t>Autos (NEV OEM)|100-1000x</t>
        </is>
      </c>
    </row>
    <row r="31">
      <c r="A31" s="17" t="inlineStr">
        <is>
          <t>Autos (NEV OEM)</t>
        </is>
      </c>
      <c r="B31" s="17" t="inlineStr">
        <is>
          <t>&lt;10x</t>
        </is>
      </c>
      <c r="C31" s="167" t="n">
        <v>2</v>
      </c>
      <c r="D31" s="179" t="n">
        <v>-17.2</v>
      </c>
      <c r="E31" s="173" t="n">
        <v>0</v>
      </c>
      <c r="G31" s="2" t="inlineStr">
        <is>
          <t>Autos (NEV OEM)|&lt;10x</t>
        </is>
      </c>
    </row>
    <row r="32">
      <c r="A32" s="17" t="inlineStr">
        <is>
          <t>Banks</t>
        </is>
      </c>
      <c r="B32" s="17" t="inlineStr">
        <is>
          <t>&lt;10x</t>
        </is>
      </c>
      <c r="C32" s="167" t="n">
        <v>2</v>
      </c>
      <c r="D32" s="179" t="n">
        <v>2.5</v>
      </c>
      <c r="E32" s="173" t="n">
        <v>100</v>
      </c>
      <c r="G32" s="2" t="inlineStr">
        <is>
          <t>Banks|&lt;10x</t>
        </is>
      </c>
    </row>
    <row r="33">
      <c r="A33" s="17" t="inlineStr">
        <is>
          <t>Batteries / energy storage</t>
        </is>
      </c>
      <c r="B33" s="17" t="inlineStr">
        <is>
          <t>10-100x</t>
        </is>
      </c>
      <c r="C33" s="167" t="n">
        <v>2</v>
      </c>
      <c r="D33" s="179" t="n">
        <v>9.9</v>
      </c>
      <c r="E33" s="173" t="n">
        <v>50</v>
      </c>
      <c r="G33" s="2" t="inlineStr">
        <is>
          <t>Batteries / energy storage|10-100x</t>
        </is>
      </c>
    </row>
    <row r="34">
      <c r="A34" s="17" t="inlineStr">
        <is>
          <t>Batteries / energy storage</t>
        </is>
      </c>
      <c r="B34" s="17" t="inlineStr">
        <is>
          <t>100-1000x</t>
        </is>
      </c>
      <c r="C34" s="167" t="n">
        <v>1</v>
      </c>
      <c r="D34" s="179" t="n">
        <v>16.4</v>
      </c>
      <c r="E34" s="173" t="n">
        <v>100</v>
      </c>
      <c r="G34" s="2" t="inlineStr">
        <is>
          <t>Batteries / energy storage|100-1000x</t>
        </is>
      </c>
    </row>
    <row r="35">
      <c r="A35" s="17" t="inlineStr">
        <is>
          <t>Batteries / energy storage</t>
        </is>
      </c>
      <c r="B35" s="17" t="inlineStr">
        <is>
          <t>&lt;10x</t>
        </is>
      </c>
      <c r="C35" s="167" t="n">
        <v>7</v>
      </c>
      <c r="D35" s="179" t="n">
        <v>0.1</v>
      </c>
      <c r="E35" s="173" t="n">
        <v>57</v>
      </c>
      <c r="G35" s="2" t="inlineStr">
        <is>
          <t>Batteries / energy storage|&lt;10x</t>
        </is>
      </c>
    </row>
    <row r="36">
      <c r="A36" s="17" t="inlineStr">
        <is>
          <t>Batteries / energy storage</t>
        </is>
      </c>
      <c r="B36" s="17" t="inlineStr">
        <is>
          <t>&gt;=1000x</t>
        </is>
      </c>
      <c r="C36" s="167" t="n">
        <v>3</v>
      </c>
      <c r="D36" s="179" t="n">
        <v>31.3</v>
      </c>
      <c r="E36" s="173" t="n">
        <v>100</v>
      </c>
      <c r="G36" s="2" t="inlineStr">
        <is>
          <t>Batteries / energy storage|&gt;=1000x</t>
        </is>
      </c>
    </row>
    <row r="37">
      <c r="A37" s="17" t="inlineStr">
        <is>
          <t>Beauty / personal care</t>
        </is>
      </c>
      <c r="B37" s="17" t="inlineStr">
        <is>
          <t>10-100x</t>
        </is>
      </c>
      <c r="C37" s="167" t="n">
        <v>2</v>
      </c>
      <c r="D37" s="179" t="n">
        <v>18.4</v>
      </c>
      <c r="E37" s="173" t="n">
        <v>50</v>
      </c>
      <c r="G37" s="2" t="inlineStr">
        <is>
          <t>Beauty / personal care|10-100x</t>
        </is>
      </c>
    </row>
    <row r="38">
      <c r="A38" s="17" t="inlineStr">
        <is>
          <t>Beauty / personal care</t>
        </is>
      </c>
      <c r="B38" s="17" t="inlineStr">
        <is>
          <t>100-1000x</t>
        </is>
      </c>
      <c r="C38" s="167" t="n">
        <v>2</v>
      </c>
      <c r="D38" s="179" t="n">
        <v>31.7</v>
      </c>
      <c r="E38" s="173" t="n">
        <v>50</v>
      </c>
      <c r="G38" s="2" t="inlineStr">
        <is>
          <t>Beauty / personal care|100-1000x</t>
        </is>
      </c>
    </row>
    <row r="39">
      <c r="A39" s="17" t="inlineStr">
        <is>
          <t>Beauty / personal care</t>
        </is>
      </c>
      <c r="B39" s="17" t="inlineStr">
        <is>
          <t>&lt;10x</t>
        </is>
      </c>
      <c r="C39" s="167" t="n">
        <v>2</v>
      </c>
      <c r="D39" s="179" t="n">
        <v>4.9</v>
      </c>
      <c r="E39" s="173" t="n">
        <v>50</v>
      </c>
      <c r="G39" s="2" t="inlineStr">
        <is>
          <t>Beauty / personal care|&lt;10x</t>
        </is>
      </c>
    </row>
    <row r="40">
      <c r="A40" s="17" t="inlineStr">
        <is>
          <t>Beauty / personal care</t>
        </is>
      </c>
      <c r="B40" s="17" t="inlineStr">
        <is>
          <t>&gt;=1000x</t>
        </is>
      </c>
      <c r="C40" s="167" t="n">
        <v>1</v>
      </c>
      <c r="D40" s="179" t="n">
        <v>9.300000000000001</v>
      </c>
      <c r="E40" s="173" t="n">
        <v>100</v>
      </c>
      <c r="G40" s="2" t="inlineStr">
        <is>
          <t>Beauty / personal care|&gt;=1000x</t>
        </is>
      </c>
    </row>
    <row r="41">
      <c r="A41" s="17" t="inlineStr">
        <is>
          <t>Beverages / packaged food</t>
        </is>
      </c>
      <c r="B41" s="17" t="inlineStr">
        <is>
          <t>10-100x</t>
        </is>
      </c>
      <c r="C41" s="167" t="n">
        <v>8</v>
      </c>
      <c r="D41" s="179" t="n">
        <v>-9.4</v>
      </c>
      <c r="E41" s="173" t="n">
        <v>12</v>
      </c>
      <c r="G41" s="2" t="inlineStr">
        <is>
          <t>Beverages / packaged food|10-100x</t>
        </is>
      </c>
    </row>
    <row r="42">
      <c r="A42" s="17" t="inlineStr">
        <is>
          <t>Beverages / packaged food</t>
        </is>
      </c>
      <c r="B42" s="17" t="inlineStr">
        <is>
          <t>100-1000x</t>
        </is>
      </c>
      <c r="C42" s="167" t="n">
        <v>5</v>
      </c>
      <c r="D42" s="179" t="n">
        <v>15</v>
      </c>
      <c r="E42" s="173" t="n">
        <v>80</v>
      </c>
      <c r="G42" s="2" t="inlineStr">
        <is>
          <t>Beverages / packaged food|100-1000x</t>
        </is>
      </c>
    </row>
    <row r="43">
      <c r="A43" s="17" t="inlineStr">
        <is>
          <t>Beverages / packaged food</t>
        </is>
      </c>
      <c r="B43" s="17" t="inlineStr">
        <is>
          <t>&lt;10x</t>
        </is>
      </c>
      <c r="C43" s="167" t="n">
        <v>6</v>
      </c>
      <c r="D43" s="179" t="n">
        <v>0.5</v>
      </c>
      <c r="E43" s="173" t="n">
        <v>50</v>
      </c>
      <c r="G43" s="2" t="inlineStr">
        <is>
          <t>Beverages / packaged food|&lt;10x</t>
        </is>
      </c>
    </row>
    <row r="44">
      <c r="A44" s="17" t="inlineStr">
        <is>
          <t>Beverages / packaged food</t>
        </is>
      </c>
      <c r="B44" s="17" t="inlineStr">
        <is>
          <t>&gt;=1000x</t>
        </is>
      </c>
      <c r="C44" s="167" t="n">
        <v>6</v>
      </c>
      <c r="D44" s="179" t="n">
        <v>77.90000000000001</v>
      </c>
      <c r="E44" s="173" t="n">
        <v>100</v>
      </c>
      <c r="G44" s="2" t="inlineStr">
        <is>
          <t>Beverages / packaged food|&gt;=1000x</t>
        </is>
      </c>
    </row>
    <row r="45">
      <c r="A45" s="17" t="inlineStr">
        <is>
          <t>Biopharma commercial</t>
        </is>
      </c>
      <c r="B45" s="17" t="inlineStr">
        <is>
          <t>10-100x</t>
        </is>
      </c>
      <c r="C45" s="167" t="n">
        <v>2</v>
      </c>
      <c r="D45" s="179" t="n">
        <v>122</v>
      </c>
      <c r="E45" s="173" t="n">
        <v>100</v>
      </c>
      <c r="G45" s="2" t="inlineStr">
        <is>
          <t>Biopharma commercial|10-100x</t>
        </is>
      </c>
    </row>
    <row r="46">
      <c r="A46" s="17" t="inlineStr">
        <is>
          <t>Biopharma commercial</t>
        </is>
      </c>
      <c r="B46" s="17" t="inlineStr">
        <is>
          <t>100-1000x</t>
        </is>
      </c>
      <c r="C46" s="167" t="n">
        <v>3</v>
      </c>
      <c r="D46" s="179" t="n">
        <v>-12.7</v>
      </c>
      <c r="E46" s="173" t="n">
        <v>33</v>
      </c>
      <c r="G46" s="2" t="inlineStr">
        <is>
          <t>Biopharma commercial|100-1000x</t>
        </is>
      </c>
    </row>
    <row r="47">
      <c r="A47" s="17" t="inlineStr">
        <is>
          <t>Biopharma commercial</t>
        </is>
      </c>
      <c r="B47" s="17" t="inlineStr">
        <is>
          <t>&lt;10x</t>
        </is>
      </c>
      <c r="C47" s="167" t="n">
        <v>2</v>
      </c>
      <c r="D47" s="179" t="n">
        <v>26.7</v>
      </c>
      <c r="E47" s="173" t="n">
        <v>100</v>
      </c>
      <c r="G47" s="2" t="inlineStr">
        <is>
          <t>Biopharma commercial|&lt;10x</t>
        </is>
      </c>
    </row>
    <row r="48">
      <c r="A48" s="17" t="inlineStr">
        <is>
          <t>Biopharma commercial</t>
        </is>
      </c>
      <c r="B48" s="17" t="inlineStr">
        <is>
          <t>&gt;=1000x</t>
        </is>
      </c>
      <c r="C48" s="167" t="n">
        <v>2</v>
      </c>
      <c r="D48" s="179" t="n">
        <v>90.8</v>
      </c>
      <c r="E48" s="173" t="n">
        <v>100</v>
      </c>
      <c r="G48" s="2" t="inlineStr">
        <is>
          <t>Biopharma commercial|&gt;=1000x</t>
        </is>
      </c>
    </row>
    <row r="49">
      <c r="A49" s="17" t="inlineStr">
        <is>
          <t>Biotech pre-revenue (18A)</t>
        </is>
      </c>
      <c r="B49" s="17" t="inlineStr">
        <is>
          <t>10-100x</t>
        </is>
      </c>
      <c r="C49" s="167" t="n">
        <v>10</v>
      </c>
      <c r="D49" s="179" t="n">
        <v>0.9</v>
      </c>
      <c r="E49" s="173" t="n">
        <v>50</v>
      </c>
      <c r="G49" s="2" t="inlineStr">
        <is>
          <t>Biotech pre-revenue (18A)|10-100x</t>
        </is>
      </c>
    </row>
    <row r="50">
      <c r="A50" s="17" t="inlineStr">
        <is>
          <t>Biotech pre-revenue (18A)</t>
        </is>
      </c>
      <c r="B50" s="17" t="inlineStr">
        <is>
          <t>100-1000x</t>
        </is>
      </c>
      <c r="C50" s="167" t="n">
        <v>10</v>
      </c>
      <c r="D50" s="179" t="n">
        <v>13.4</v>
      </c>
      <c r="E50" s="173" t="n">
        <v>70</v>
      </c>
      <c r="G50" s="2" t="inlineStr">
        <is>
          <t>Biotech pre-revenue (18A)|100-1000x</t>
        </is>
      </c>
    </row>
    <row r="51">
      <c r="A51" s="17" t="inlineStr">
        <is>
          <t>Biotech pre-revenue (18A)</t>
        </is>
      </c>
      <c r="B51" s="17" t="inlineStr">
        <is>
          <t>&lt;10x</t>
        </is>
      </c>
      <c r="C51" s="167" t="n">
        <v>14</v>
      </c>
      <c r="D51" s="179" t="n">
        <v>1.8</v>
      </c>
      <c r="E51" s="173" t="n">
        <v>64</v>
      </c>
      <c r="G51" s="2" t="inlineStr">
        <is>
          <t>Biotech pre-revenue (18A)|&lt;10x</t>
        </is>
      </c>
    </row>
    <row r="52">
      <c r="A52" s="17" t="inlineStr">
        <is>
          <t>Biotech pre-revenue (18A)</t>
        </is>
      </c>
      <c r="B52" s="17" t="inlineStr">
        <is>
          <t>&gt;=1000x</t>
        </is>
      </c>
      <c r="C52" s="167" t="n">
        <v>15</v>
      </c>
      <c r="D52" s="179" t="n">
        <v>108.3</v>
      </c>
      <c r="E52" s="173" t="n">
        <v>87</v>
      </c>
      <c r="G52" s="2" t="inlineStr">
        <is>
          <t>Biotech pre-revenue (18A)|&gt;=1000x</t>
        </is>
      </c>
    </row>
    <row r="53">
      <c r="A53" s="17" t="inlineStr">
        <is>
          <t>Brokers / asset management</t>
        </is>
      </c>
      <c r="B53" s="17" t="inlineStr">
        <is>
          <t>&lt;10x</t>
        </is>
      </c>
      <c r="C53" s="167" t="n">
        <v>4</v>
      </c>
      <c r="D53" s="179" t="n">
        <v>-14.3</v>
      </c>
      <c r="E53" s="173" t="n">
        <v>25</v>
      </c>
      <c r="G53" s="2" t="inlineStr">
        <is>
          <t>Brokers / asset management|&lt;10x</t>
        </is>
      </c>
    </row>
    <row r="54">
      <c r="A54" s="17" t="inlineStr">
        <is>
          <t>CXO / pharma services</t>
        </is>
      </c>
      <c r="B54" s="17" t="inlineStr">
        <is>
          <t>10-100x</t>
        </is>
      </c>
      <c r="C54" s="167" t="n">
        <v>1</v>
      </c>
      <c r="D54" s="179" t="n">
        <v>35.9</v>
      </c>
      <c r="E54" s="173" t="n">
        <v>100</v>
      </c>
      <c r="G54" s="2" t="inlineStr">
        <is>
          <t>CXO / pharma services|10-100x</t>
        </is>
      </c>
    </row>
    <row r="55">
      <c r="A55" s="17" t="inlineStr">
        <is>
          <t>CXO / pharma services</t>
        </is>
      </c>
      <c r="B55" s="17" t="inlineStr">
        <is>
          <t>100-1000x</t>
        </is>
      </c>
      <c r="C55" s="167" t="n">
        <v>3</v>
      </c>
      <c r="D55" s="179" t="n">
        <v>-7.6</v>
      </c>
      <c r="E55" s="173" t="n">
        <v>33</v>
      </c>
      <c r="G55" s="2" t="inlineStr">
        <is>
          <t>CXO / pharma services|100-1000x</t>
        </is>
      </c>
    </row>
    <row r="56">
      <c r="A56" s="17" t="inlineStr">
        <is>
          <t>CXO / pharma services</t>
        </is>
      </c>
      <c r="B56" s="17" t="inlineStr">
        <is>
          <t>&lt;10x</t>
        </is>
      </c>
      <c r="C56" s="167" t="n">
        <v>5</v>
      </c>
      <c r="D56" s="179" t="n">
        <v>1.1</v>
      </c>
      <c r="E56" s="173" t="n">
        <v>60</v>
      </c>
      <c r="G56" s="2" t="inlineStr">
        <is>
          <t>CXO / pharma services|&lt;10x</t>
        </is>
      </c>
    </row>
    <row r="57">
      <c r="A57" s="17" t="inlineStr">
        <is>
          <t>Capital goods / machinery</t>
        </is>
      </c>
      <c r="B57" s="17" t="inlineStr">
        <is>
          <t>10-100x</t>
        </is>
      </c>
      <c r="C57" s="167" t="n">
        <v>7</v>
      </c>
      <c r="D57" s="179" t="n">
        <v>0.8</v>
      </c>
      <c r="E57" s="173" t="n">
        <v>57</v>
      </c>
      <c r="G57" s="2" t="inlineStr">
        <is>
          <t>Capital goods / machinery|10-100x</t>
        </is>
      </c>
    </row>
    <row r="58">
      <c r="A58" s="17" t="inlineStr">
        <is>
          <t>Capital goods / machinery</t>
        </is>
      </c>
      <c r="B58" s="17" t="inlineStr">
        <is>
          <t>100-1000x</t>
        </is>
      </c>
      <c r="C58" s="167" t="n">
        <v>3</v>
      </c>
      <c r="D58" s="179" t="n">
        <v>14.8</v>
      </c>
      <c r="E58" s="173" t="n">
        <v>67</v>
      </c>
      <c r="G58" s="2" t="inlineStr">
        <is>
          <t>Capital goods / machinery|100-1000x</t>
        </is>
      </c>
    </row>
    <row r="59">
      <c r="A59" s="17" t="inlineStr">
        <is>
          <t>Capital goods / machinery</t>
        </is>
      </c>
      <c r="B59" s="17" t="inlineStr">
        <is>
          <t>&lt;10x</t>
        </is>
      </c>
      <c r="C59" s="167" t="n">
        <v>5</v>
      </c>
      <c r="D59" s="179" t="n">
        <v>1.5</v>
      </c>
      <c r="E59" s="173" t="n">
        <v>60</v>
      </c>
      <c r="G59" s="2" t="inlineStr">
        <is>
          <t>Capital goods / machinery|&lt;10x</t>
        </is>
      </c>
    </row>
    <row r="60">
      <c r="A60" s="17" t="inlineStr">
        <is>
          <t>Capital goods / machinery</t>
        </is>
      </c>
      <c r="B60" s="17" t="inlineStr">
        <is>
          <t>&gt;=1000x</t>
        </is>
      </c>
      <c r="C60" s="167" t="n">
        <v>3</v>
      </c>
      <c r="D60" s="179" t="n">
        <v>2.4</v>
      </c>
      <c r="E60" s="173" t="n">
        <v>67</v>
      </c>
      <c r="G60" s="2" t="inlineStr">
        <is>
          <t>Capital goods / machinery|&gt;=1000x</t>
        </is>
      </c>
    </row>
    <row r="61">
      <c r="A61" s="17" t="inlineStr">
        <is>
          <t>Chemicals</t>
        </is>
      </c>
      <c r="B61" s="17" t="inlineStr">
        <is>
          <t>10-100x</t>
        </is>
      </c>
      <c r="C61" s="167" t="n">
        <v>5</v>
      </c>
      <c r="D61" s="179" t="n">
        <v>-27.5</v>
      </c>
      <c r="E61" s="173" t="n">
        <v>20</v>
      </c>
      <c r="G61" s="2" t="inlineStr">
        <is>
          <t>Chemicals|10-100x</t>
        </is>
      </c>
    </row>
    <row r="62">
      <c r="A62" s="17" t="inlineStr">
        <is>
          <t>Chemicals</t>
        </is>
      </c>
      <c r="B62" s="17" t="inlineStr">
        <is>
          <t>100-1000x</t>
        </is>
      </c>
      <c r="C62" s="167" t="n">
        <v>4</v>
      </c>
      <c r="D62" s="179" t="n">
        <v>15.3</v>
      </c>
      <c r="E62" s="173" t="n">
        <v>75</v>
      </c>
      <c r="G62" s="2" t="inlineStr">
        <is>
          <t>Chemicals|100-1000x</t>
        </is>
      </c>
    </row>
    <row r="63">
      <c r="A63" s="17" t="inlineStr">
        <is>
          <t>Chemicals</t>
        </is>
      </c>
      <c r="B63" s="17" t="inlineStr">
        <is>
          <t>&lt;10x</t>
        </is>
      </c>
      <c r="C63" s="167" t="n">
        <v>3</v>
      </c>
      <c r="D63" s="179" t="n">
        <v>0.2</v>
      </c>
      <c r="E63" s="173" t="n">
        <v>67</v>
      </c>
      <c r="G63" s="2" t="inlineStr">
        <is>
          <t>Chemicals|&lt;10x</t>
        </is>
      </c>
    </row>
    <row r="64">
      <c r="A64" s="17" t="inlineStr">
        <is>
          <t>Chemicals</t>
        </is>
      </c>
      <c r="B64" s="17" t="inlineStr">
        <is>
          <t>&gt;=1000x</t>
        </is>
      </c>
      <c r="C64" s="167" t="n">
        <v>2</v>
      </c>
      <c r="D64" s="179" t="n">
        <v>10.6</v>
      </c>
      <c r="E64" s="173" t="n">
        <v>50</v>
      </c>
      <c r="G64" s="2" t="inlineStr">
        <is>
          <t>Chemicals|&gt;=1000x</t>
        </is>
      </c>
    </row>
    <row r="65">
      <c r="A65" s="17" t="inlineStr">
        <is>
          <t>Construction / engineering</t>
        </is>
      </c>
      <c r="B65" s="17" t="inlineStr">
        <is>
          <t>10-100x</t>
        </is>
      </c>
      <c r="C65" s="167" t="n">
        <v>10</v>
      </c>
      <c r="D65" s="179" t="n">
        <v>-9.9</v>
      </c>
      <c r="E65" s="173" t="n">
        <v>50</v>
      </c>
      <c r="G65" s="2" t="inlineStr">
        <is>
          <t>Construction / engineering|10-100x</t>
        </is>
      </c>
    </row>
    <row r="66">
      <c r="A66" s="17" t="inlineStr">
        <is>
          <t>Construction / engineering</t>
        </is>
      </c>
      <c r="B66" s="17" t="inlineStr">
        <is>
          <t>100-1000x</t>
        </is>
      </c>
      <c r="C66" s="167" t="n">
        <v>4</v>
      </c>
      <c r="D66" s="179" t="n">
        <v>-21.1</v>
      </c>
      <c r="E66" s="173" t="n">
        <v>25</v>
      </c>
      <c r="G66" s="2" t="inlineStr">
        <is>
          <t>Construction / engineering|100-1000x</t>
        </is>
      </c>
    </row>
    <row r="67">
      <c r="A67" s="17" t="inlineStr">
        <is>
          <t>Construction / engineering</t>
        </is>
      </c>
      <c r="B67" s="17" t="inlineStr">
        <is>
          <t>&lt;10x</t>
        </is>
      </c>
      <c r="C67" s="167" t="n">
        <v>2</v>
      </c>
      <c r="D67" s="179" t="n">
        <v>5</v>
      </c>
      <c r="E67" s="173" t="n">
        <v>50</v>
      </c>
      <c r="G67" s="2" t="inlineStr">
        <is>
          <t>Construction / engineering|&lt;10x</t>
        </is>
      </c>
    </row>
    <row r="68">
      <c r="A68" s="17" t="inlineStr">
        <is>
          <t>Consumer services / education</t>
        </is>
      </c>
      <c r="B68" s="17" t="inlineStr">
        <is>
          <t>10-100x</t>
        </is>
      </c>
      <c r="C68" s="167" t="n">
        <v>1</v>
      </c>
      <c r="D68" s="179" t="n">
        <v>12.1</v>
      </c>
      <c r="E68" s="173" t="n">
        <v>100</v>
      </c>
      <c r="G68" s="2" t="inlineStr">
        <is>
          <t>Consumer services / education|10-100x</t>
        </is>
      </c>
    </row>
    <row r="69">
      <c r="A69" s="17" t="inlineStr">
        <is>
          <t>Consumer services / education</t>
        </is>
      </c>
      <c r="B69" s="17" t="inlineStr">
        <is>
          <t>&lt;10x</t>
        </is>
      </c>
      <c r="C69" s="167" t="n">
        <v>3</v>
      </c>
      <c r="D69" s="179" t="n">
        <v>0</v>
      </c>
      <c r="E69" s="173" t="n">
        <v>33</v>
      </c>
      <c r="G69" s="2" t="inlineStr">
        <is>
          <t>Consumer services / education|&lt;10x</t>
        </is>
      </c>
    </row>
    <row r="70">
      <c r="A70" s="17" t="inlineStr">
        <is>
          <t>Data center / cloud infra</t>
        </is>
      </c>
      <c r="B70" s="17" t="inlineStr">
        <is>
          <t>10-100x</t>
        </is>
      </c>
      <c r="C70" s="167" t="n">
        <v>2</v>
      </c>
      <c r="D70" s="179" t="n">
        <v>-37.1</v>
      </c>
      <c r="E70" s="173" t="n">
        <v>0</v>
      </c>
      <c r="G70" s="2" t="inlineStr">
        <is>
          <t>Data center / cloud infra|10-100x</t>
        </is>
      </c>
    </row>
    <row r="71">
      <c r="A71" s="17" t="inlineStr">
        <is>
          <t>Developers</t>
        </is>
      </c>
      <c r="B71" s="17" t="inlineStr">
        <is>
          <t>&lt;10x</t>
        </is>
      </c>
      <c r="C71" s="167" t="n">
        <v>1</v>
      </c>
      <c r="D71" s="179" t="n">
        <v>0</v>
      </c>
      <c r="E71" s="173" t="n">
        <v>0</v>
      </c>
      <c r="G71" s="2" t="inlineStr">
        <is>
          <t>Developers|&lt;10x</t>
        </is>
      </c>
    </row>
    <row r="72">
      <c r="A72" s="17" t="inlineStr">
        <is>
          <t>Digital health</t>
        </is>
      </c>
      <c r="B72" s="17" t="inlineStr">
        <is>
          <t>10-100x</t>
        </is>
      </c>
      <c r="C72" s="167" t="n">
        <v>3</v>
      </c>
      <c r="D72" s="179" t="n">
        <v>36.7</v>
      </c>
      <c r="E72" s="173" t="n">
        <v>67</v>
      </c>
      <c r="G72" s="2" t="inlineStr">
        <is>
          <t>Digital health|10-100x</t>
        </is>
      </c>
    </row>
    <row r="73">
      <c r="A73" s="17" t="inlineStr">
        <is>
          <t>Digital health</t>
        </is>
      </c>
      <c r="B73" s="17" t="inlineStr">
        <is>
          <t>100-1000x</t>
        </is>
      </c>
      <c r="C73" s="167" t="n">
        <v>4</v>
      </c>
      <c r="D73" s="179" t="n">
        <v>20.1</v>
      </c>
      <c r="E73" s="173" t="n">
        <v>75</v>
      </c>
      <c r="G73" s="2" t="inlineStr">
        <is>
          <t>Digital health|100-1000x</t>
        </is>
      </c>
    </row>
    <row r="74">
      <c r="A74" s="17" t="inlineStr">
        <is>
          <t>Digital health</t>
        </is>
      </c>
      <c r="B74" s="17" t="inlineStr">
        <is>
          <t>&lt;10x</t>
        </is>
      </c>
      <c r="C74" s="167" t="n">
        <v>8</v>
      </c>
      <c r="D74" s="179" t="n">
        <v>0</v>
      </c>
      <c r="E74" s="173" t="n">
        <v>38</v>
      </c>
      <c r="G74" s="2" t="inlineStr">
        <is>
          <t>Digital health|&lt;10x</t>
        </is>
      </c>
    </row>
    <row r="75">
      <c r="A75" s="17" t="inlineStr">
        <is>
          <t>Digital health</t>
        </is>
      </c>
      <c r="B75" s="17" t="inlineStr">
        <is>
          <t>&gt;=1000x</t>
        </is>
      </c>
      <c r="C75" s="167" t="n">
        <v>2</v>
      </c>
      <c r="D75" s="179" t="n">
        <v>80.59999999999999</v>
      </c>
      <c r="E75" s="173" t="n">
        <v>100</v>
      </c>
      <c r="G75" s="2" t="inlineStr">
        <is>
          <t>Digital health|&gt;=1000x</t>
        </is>
      </c>
    </row>
    <row r="76">
      <c r="A76" s="17" t="inlineStr">
        <is>
          <t>F&amp;B chains / restaurants</t>
        </is>
      </c>
      <c r="B76" s="17" t="inlineStr">
        <is>
          <t>10-100x</t>
        </is>
      </c>
      <c r="C76" s="167" t="n">
        <v>1</v>
      </c>
      <c r="D76" s="179" t="n">
        <v>22.9</v>
      </c>
      <c r="E76" s="173" t="n">
        <v>100</v>
      </c>
      <c r="G76" s="2" t="inlineStr">
        <is>
          <t>F&amp;B chains / restaurants|10-100x</t>
        </is>
      </c>
    </row>
    <row r="77">
      <c r="A77" s="17" t="inlineStr">
        <is>
          <t>F&amp;B chains / restaurants</t>
        </is>
      </c>
      <c r="B77" s="17" t="inlineStr">
        <is>
          <t>100-1000x</t>
        </is>
      </c>
      <c r="C77" s="167" t="n">
        <v>4</v>
      </c>
      <c r="D77" s="179" t="n">
        <v>-13</v>
      </c>
      <c r="E77" s="173" t="n">
        <v>0</v>
      </c>
      <c r="G77" s="2" t="inlineStr">
        <is>
          <t>F&amp;B chains / restaurants|100-1000x</t>
        </is>
      </c>
    </row>
    <row r="78">
      <c r="A78" s="17" t="inlineStr">
        <is>
          <t>F&amp;B chains / restaurants</t>
        </is>
      </c>
      <c r="B78" s="17" t="inlineStr">
        <is>
          <t>&lt;10x</t>
        </is>
      </c>
      <c r="C78" s="167" t="n">
        <v>3</v>
      </c>
      <c r="D78" s="179" t="n">
        <v>-0.1</v>
      </c>
      <c r="E78" s="173" t="n">
        <v>33</v>
      </c>
      <c r="G78" s="2" t="inlineStr">
        <is>
          <t>F&amp;B chains / restaurants|&lt;10x</t>
        </is>
      </c>
    </row>
    <row r="79">
      <c r="A79" s="17" t="inlineStr">
        <is>
          <t>F&amp;B chains / restaurants</t>
        </is>
      </c>
      <c r="B79" s="17" t="inlineStr">
        <is>
          <t>&gt;=1000x</t>
        </is>
      </c>
      <c r="C79" s="167" t="n">
        <v>2</v>
      </c>
      <c r="D79" s="179" t="n">
        <v>41.6</v>
      </c>
      <c r="E79" s="173" t="n">
        <v>100</v>
      </c>
      <c r="G79" s="2" t="inlineStr">
        <is>
          <t>F&amp;B chains / restaurants|&gt;=1000x</t>
        </is>
      </c>
    </row>
    <row r="80">
      <c r="A80" s="17" t="inlineStr">
        <is>
          <t>Fintech platform</t>
        </is>
      </c>
      <c r="B80" s="17" t="inlineStr">
        <is>
          <t>10-100x</t>
        </is>
      </c>
      <c r="C80" s="167" t="n">
        <v>3</v>
      </c>
      <c r="D80" s="179" t="n">
        <v>-0.6</v>
      </c>
      <c r="E80" s="173" t="n">
        <v>33</v>
      </c>
      <c r="G80" s="2" t="inlineStr">
        <is>
          <t>Fintech platform|10-100x</t>
        </is>
      </c>
    </row>
    <row r="81">
      <c r="A81" s="17" t="inlineStr">
        <is>
          <t>Fintech platform</t>
        </is>
      </c>
      <c r="B81" s="17" t="inlineStr">
        <is>
          <t>100-1000x</t>
        </is>
      </c>
      <c r="C81" s="167" t="n">
        <v>2</v>
      </c>
      <c r="D81" s="179" t="n">
        <v>-8.1</v>
      </c>
      <c r="E81" s="173" t="n">
        <v>0</v>
      </c>
      <c r="G81" s="2" t="inlineStr">
        <is>
          <t>Fintech platform|100-1000x</t>
        </is>
      </c>
    </row>
    <row r="82">
      <c r="A82" s="17" t="inlineStr">
        <is>
          <t>Fintech platform</t>
        </is>
      </c>
      <c r="B82" s="17" t="inlineStr">
        <is>
          <t>&lt;10x</t>
        </is>
      </c>
      <c r="C82" s="167" t="n">
        <v>2</v>
      </c>
      <c r="D82" s="179" t="n">
        <v>-4</v>
      </c>
      <c r="E82" s="173" t="n">
        <v>50</v>
      </c>
      <c r="G82" s="2" t="inlineStr">
        <is>
          <t>Fintech platform|&lt;10x</t>
        </is>
      </c>
    </row>
    <row r="83">
      <c r="A83" s="17" t="inlineStr">
        <is>
          <t>Hospitals / clinics</t>
        </is>
      </c>
      <c r="B83" s="17" t="inlineStr">
        <is>
          <t>10-100x</t>
        </is>
      </c>
      <c r="C83" s="167" t="n">
        <v>1</v>
      </c>
      <c r="D83" s="179" t="n">
        <v>-14.3</v>
      </c>
      <c r="E83" s="173" t="n">
        <v>0</v>
      </c>
      <c r="G83" s="2" t="inlineStr">
        <is>
          <t>Hospitals / clinics|10-100x</t>
        </is>
      </c>
    </row>
    <row r="84">
      <c r="A84" s="17" t="inlineStr">
        <is>
          <t>Hospitals / clinics</t>
        </is>
      </c>
      <c r="B84" s="17" t="inlineStr">
        <is>
          <t>100-1000x</t>
        </is>
      </c>
      <c r="C84" s="167" t="n">
        <v>5</v>
      </c>
      <c r="D84" s="179" t="n">
        <v>5.1</v>
      </c>
      <c r="E84" s="173" t="n">
        <v>100</v>
      </c>
      <c r="G84" s="2" t="inlineStr">
        <is>
          <t>Hospitals / clinics|100-1000x</t>
        </is>
      </c>
    </row>
    <row r="85">
      <c r="A85" s="17" t="inlineStr">
        <is>
          <t>Hospitals / clinics</t>
        </is>
      </c>
      <c r="B85" s="17" t="inlineStr">
        <is>
          <t>&lt;10x</t>
        </is>
      </c>
      <c r="C85" s="167" t="n">
        <v>3</v>
      </c>
      <c r="D85" s="179" t="n">
        <v>-5.6</v>
      </c>
      <c r="E85" s="173" t="n">
        <v>0</v>
      </c>
      <c r="G85" s="2" t="inlineStr">
        <is>
          <t>Hospitals / clinics|&lt;10x</t>
        </is>
      </c>
    </row>
    <row r="86">
      <c r="A86" s="17" t="inlineStr">
        <is>
          <t>Insurance</t>
        </is>
      </c>
      <c r="B86" s="17" t="inlineStr">
        <is>
          <t>10-100x</t>
        </is>
      </c>
      <c r="C86" s="167" t="n">
        <v>2</v>
      </c>
      <c r="D86" s="179" t="n">
        <v>3</v>
      </c>
      <c r="E86" s="173" t="n">
        <v>100</v>
      </c>
      <c r="G86" s="2" t="inlineStr">
        <is>
          <t>Insurance|10-100x</t>
        </is>
      </c>
    </row>
    <row r="87">
      <c r="A87" s="17" t="inlineStr">
        <is>
          <t>Insurance</t>
        </is>
      </c>
      <c r="B87" s="17" t="inlineStr">
        <is>
          <t>100-1000x</t>
        </is>
      </c>
      <c r="C87" s="167" t="n">
        <v>2</v>
      </c>
      <c r="D87" s="179" t="n">
        <v>174.9</v>
      </c>
      <c r="E87" s="173" t="n">
        <v>50</v>
      </c>
      <c r="G87" s="2" t="inlineStr">
        <is>
          <t>Insurance|100-1000x</t>
        </is>
      </c>
    </row>
    <row r="88">
      <c r="A88" s="17" t="inlineStr">
        <is>
          <t>Insurance</t>
        </is>
      </c>
      <c r="B88" s="17" t="inlineStr">
        <is>
          <t>&lt;10x</t>
        </is>
      </c>
      <c r="C88" s="167" t="n">
        <v>2</v>
      </c>
      <c r="D88" s="179" t="n">
        <v>2.4</v>
      </c>
      <c r="E88" s="173" t="n">
        <v>50</v>
      </c>
      <c r="G88" s="2" t="inlineStr">
        <is>
          <t>Insurance|&lt;10x</t>
        </is>
      </c>
    </row>
    <row r="89">
      <c r="A89" s="17" t="inlineStr">
        <is>
          <t>Insurance</t>
        </is>
      </c>
      <c r="B89" s="17" t="inlineStr">
        <is>
          <t>&gt;=1000x</t>
        </is>
      </c>
      <c r="C89" s="167" t="n">
        <v>1</v>
      </c>
      <c r="D89" s="179" t="n">
        <v>158.8</v>
      </c>
      <c r="E89" s="173" t="n">
        <v>100</v>
      </c>
      <c r="G89" s="2" t="inlineStr">
        <is>
          <t>Insurance|&gt;=1000x</t>
        </is>
      </c>
    </row>
    <row r="90">
      <c r="A90" s="17" t="inlineStr">
        <is>
          <t>Internet platform / e-commerce</t>
        </is>
      </c>
      <c r="B90" s="17" t="inlineStr">
        <is>
          <t>10-100x</t>
        </is>
      </c>
      <c r="C90" s="167" t="n">
        <v>7</v>
      </c>
      <c r="D90" s="179" t="n">
        <v>0.8</v>
      </c>
      <c r="E90" s="173" t="n">
        <v>57</v>
      </c>
      <c r="G90" s="2" t="inlineStr">
        <is>
          <t>Internet platform / e-commerce|10-100x</t>
        </is>
      </c>
    </row>
    <row r="91">
      <c r="A91" s="17" t="inlineStr">
        <is>
          <t>Internet platform / e-commerce</t>
        </is>
      </c>
      <c r="B91" s="17" t="inlineStr">
        <is>
          <t>100-1000x</t>
        </is>
      </c>
      <c r="C91" s="167" t="n">
        <v>6</v>
      </c>
      <c r="D91" s="179" t="n">
        <v>-0.5</v>
      </c>
      <c r="E91" s="173" t="n">
        <v>33</v>
      </c>
      <c r="G91" s="2" t="inlineStr">
        <is>
          <t>Internet platform / e-commerce|100-1000x</t>
        </is>
      </c>
    </row>
    <row r="92">
      <c r="A92" s="17" t="inlineStr">
        <is>
          <t>Internet platform / e-commerce</t>
        </is>
      </c>
      <c r="B92" s="17" t="inlineStr">
        <is>
          <t>&lt;10x</t>
        </is>
      </c>
      <c r="C92" s="167" t="n">
        <v>8</v>
      </c>
      <c r="D92" s="179" t="n">
        <v>-1.1</v>
      </c>
      <c r="E92" s="173" t="n">
        <v>50</v>
      </c>
      <c r="G92" s="2" t="inlineStr">
        <is>
          <t>Internet platform / e-commerce|&lt;10x</t>
        </is>
      </c>
    </row>
    <row r="93">
      <c r="A93" s="17" t="inlineStr">
        <is>
          <t>Internet platform / e-commerce</t>
        </is>
      </c>
      <c r="B93" s="17" t="inlineStr">
        <is>
          <t>&gt;=1000x</t>
        </is>
      </c>
      <c r="C93" s="167" t="n">
        <v>2</v>
      </c>
      <c r="D93" s="179" t="n">
        <v>124.8</v>
      </c>
      <c r="E93" s="173" t="n">
        <v>100</v>
      </c>
      <c r="G93" s="2" t="inlineStr">
        <is>
          <t>Internet platform / e-commerce|&gt;=1000x</t>
        </is>
      </c>
    </row>
    <row r="94">
      <c r="A94" s="17" t="inlineStr">
        <is>
          <t>LLM / foundation model</t>
        </is>
      </c>
      <c r="B94" s="17" t="inlineStr">
        <is>
          <t>&gt;=1000x</t>
        </is>
      </c>
      <c r="C94" s="167" t="n">
        <v>2</v>
      </c>
      <c r="D94" s="179" t="n">
        <v>61.1</v>
      </c>
      <c r="E94" s="173" t="n">
        <v>100</v>
      </c>
      <c r="G94" s="2" t="inlineStr">
        <is>
          <t>LLM / foundation model|&gt;=1000x</t>
        </is>
      </c>
    </row>
    <row r="95">
      <c r="A95" s="17" t="inlineStr">
        <is>
          <t>Logistics</t>
        </is>
      </c>
      <c r="B95" s="17" t="inlineStr">
        <is>
          <t>10-100x</t>
        </is>
      </c>
      <c r="C95" s="167" t="n">
        <v>4</v>
      </c>
      <c r="D95" s="179" t="n">
        <v>-1</v>
      </c>
      <c r="E95" s="173" t="n">
        <v>25</v>
      </c>
      <c r="G95" s="2" t="inlineStr">
        <is>
          <t>Logistics|10-100x</t>
        </is>
      </c>
    </row>
    <row r="96">
      <c r="A96" s="17" t="inlineStr">
        <is>
          <t>Logistics</t>
        </is>
      </c>
      <c r="B96" s="17" t="inlineStr">
        <is>
          <t>100-1000x</t>
        </is>
      </c>
      <c r="C96" s="167" t="n">
        <v>3</v>
      </c>
      <c r="D96" s="179" t="n">
        <v>3.3</v>
      </c>
      <c r="E96" s="173" t="n">
        <v>67</v>
      </c>
      <c r="G96" s="2" t="inlineStr">
        <is>
          <t>Logistics|100-1000x</t>
        </is>
      </c>
    </row>
    <row r="97">
      <c r="A97" s="17" t="inlineStr">
        <is>
          <t>Logistics</t>
        </is>
      </c>
      <c r="B97" s="17" t="inlineStr">
        <is>
          <t>&lt;10x</t>
        </is>
      </c>
      <c r="C97" s="167" t="n">
        <v>6</v>
      </c>
      <c r="D97" s="179" t="n">
        <v>-4.9</v>
      </c>
      <c r="E97" s="173" t="n">
        <v>0</v>
      </c>
      <c r="G97" s="2" t="inlineStr">
        <is>
          <t>Logistics|&lt;10x</t>
        </is>
      </c>
    </row>
    <row r="98">
      <c r="A98" s="17" t="inlineStr">
        <is>
          <t>Logistics</t>
        </is>
      </c>
      <c r="B98" s="17" t="inlineStr">
        <is>
          <t>&gt;=1000x</t>
        </is>
      </c>
      <c r="C98" s="167" t="n">
        <v>2</v>
      </c>
      <c r="D98" s="179" t="n">
        <v>-21.7</v>
      </c>
      <c r="E98" s="173" t="n">
        <v>50</v>
      </c>
      <c r="G98" s="2" t="inlineStr">
        <is>
          <t>Logistics|&gt;=1000x</t>
        </is>
      </c>
    </row>
    <row r="99">
      <c r="A99" s="17" t="inlineStr">
        <is>
          <t>Media / advertising</t>
        </is>
      </c>
      <c r="B99" s="17" t="inlineStr">
        <is>
          <t>10-100x</t>
        </is>
      </c>
      <c r="C99" s="167" t="n">
        <v>6</v>
      </c>
      <c r="D99" s="179" t="n">
        <v>38.2</v>
      </c>
      <c r="E99" s="173" t="n">
        <v>100</v>
      </c>
      <c r="G99" s="2" t="inlineStr">
        <is>
          <t>Media / advertising|10-100x</t>
        </is>
      </c>
    </row>
    <row r="100">
      <c r="A100" s="17" t="inlineStr">
        <is>
          <t>Media / advertising</t>
        </is>
      </c>
      <c r="B100" s="17" t="inlineStr">
        <is>
          <t>100-1000x</t>
        </is>
      </c>
      <c r="C100" s="167" t="n">
        <v>2</v>
      </c>
      <c r="D100" s="179" t="n">
        <v>41.8</v>
      </c>
      <c r="E100" s="173" t="n">
        <v>50</v>
      </c>
      <c r="G100" s="2" t="inlineStr">
        <is>
          <t>Media / advertising|100-1000x</t>
        </is>
      </c>
    </row>
    <row r="101">
      <c r="A101" s="17" t="inlineStr">
        <is>
          <t>Media / advertising</t>
        </is>
      </c>
      <c r="B101" s="17" t="inlineStr">
        <is>
          <t>&lt;10x</t>
        </is>
      </c>
      <c r="C101" s="167" t="n">
        <v>9</v>
      </c>
      <c r="D101" s="179" t="n">
        <v>-2.7</v>
      </c>
      <c r="E101" s="173" t="n">
        <v>44</v>
      </c>
      <c r="G101" s="2" t="inlineStr">
        <is>
          <t>Media / advertising|&lt;10x</t>
        </is>
      </c>
    </row>
    <row r="102">
      <c r="A102" s="17" t="inlineStr">
        <is>
          <t>Media / advertising</t>
        </is>
      </c>
      <c r="B102" s="17" t="inlineStr">
        <is>
          <t>&gt;=1000x</t>
        </is>
      </c>
      <c r="C102" s="167" t="n">
        <v>2</v>
      </c>
      <c r="D102" s="179" t="n">
        <v>-6.7</v>
      </c>
      <c r="E102" s="173" t="n">
        <v>50</v>
      </c>
      <c r="G102" s="2" t="inlineStr">
        <is>
          <t>Media / advertising|&gt;=1000x</t>
        </is>
      </c>
    </row>
    <row r="103">
      <c r="A103" s="17" t="inlineStr">
        <is>
          <t>Medical devices</t>
        </is>
      </c>
      <c r="B103" s="17" t="inlineStr">
        <is>
          <t>10-100x</t>
        </is>
      </c>
      <c r="C103" s="167" t="n">
        <v>4</v>
      </c>
      <c r="D103" s="179" t="n">
        <v>1.6</v>
      </c>
      <c r="E103" s="173" t="n">
        <v>50</v>
      </c>
      <c r="G103" s="2" t="inlineStr">
        <is>
          <t>Medical devices|10-100x</t>
        </is>
      </c>
    </row>
    <row r="104">
      <c r="A104" s="17" t="inlineStr">
        <is>
          <t>Medical devices</t>
        </is>
      </c>
      <c r="B104" s="17" t="inlineStr">
        <is>
          <t>100-1000x</t>
        </is>
      </c>
      <c r="C104" s="167" t="n">
        <v>7</v>
      </c>
      <c r="D104" s="179" t="n">
        <v>-1.1</v>
      </c>
      <c r="E104" s="173" t="n">
        <v>43</v>
      </c>
      <c r="G104" s="2" t="inlineStr">
        <is>
          <t>Medical devices|100-1000x</t>
        </is>
      </c>
    </row>
    <row r="105">
      <c r="A105" s="17" t="inlineStr">
        <is>
          <t>Medical devices</t>
        </is>
      </c>
      <c r="B105" s="17" t="inlineStr">
        <is>
          <t>&lt;10x</t>
        </is>
      </c>
      <c r="C105" s="167" t="n">
        <v>9</v>
      </c>
      <c r="D105" s="179" t="n">
        <v>0</v>
      </c>
      <c r="E105" s="173" t="n">
        <v>33</v>
      </c>
      <c r="G105" s="2" t="inlineStr">
        <is>
          <t>Medical devices|&lt;10x</t>
        </is>
      </c>
    </row>
    <row r="106">
      <c r="A106" s="17" t="inlineStr">
        <is>
          <t>Medical devices</t>
        </is>
      </c>
      <c r="B106" s="17" t="inlineStr">
        <is>
          <t>&gt;=1000x</t>
        </is>
      </c>
      <c r="C106" s="167" t="n">
        <v>6</v>
      </c>
      <c r="D106" s="179" t="n">
        <v>115</v>
      </c>
      <c r="E106" s="173" t="n">
        <v>100</v>
      </c>
      <c r="G106" s="2" t="inlineStr">
        <is>
          <t>Medical devices|&gt;=1000x</t>
        </is>
      </c>
    </row>
    <row r="107">
      <c r="A107" s="17" t="inlineStr">
        <is>
          <t>Mining / metals</t>
        </is>
      </c>
      <c r="B107" s="17" t="inlineStr">
        <is>
          <t>10-100x</t>
        </is>
      </c>
      <c r="C107" s="167" t="n">
        <v>1</v>
      </c>
      <c r="D107" s="179" t="n">
        <v>143.1</v>
      </c>
      <c r="E107" s="173" t="n">
        <v>100</v>
      </c>
      <c r="G107" s="2" t="inlineStr">
        <is>
          <t>Mining / metals|10-100x</t>
        </is>
      </c>
    </row>
    <row r="108">
      <c r="A108" s="17" t="inlineStr">
        <is>
          <t>Mining / metals</t>
        </is>
      </c>
      <c r="B108" s="17" t="inlineStr">
        <is>
          <t>100-1000x</t>
        </is>
      </c>
      <c r="C108" s="167" t="n">
        <v>3</v>
      </c>
      <c r="D108" s="179" t="n">
        <v>32.8</v>
      </c>
      <c r="E108" s="173" t="n">
        <v>100</v>
      </c>
      <c r="G108" s="2" t="inlineStr">
        <is>
          <t>Mining / metals|100-1000x</t>
        </is>
      </c>
    </row>
    <row r="109">
      <c r="A109" s="17" t="inlineStr">
        <is>
          <t>Mining / metals</t>
        </is>
      </c>
      <c r="B109" s="17" t="inlineStr">
        <is>
          <t>&lt;10x</t>
        </is>
      </c>
      <c r="C109" s="167" t="n">
        <v>6</v>
      </c>
      <c r="D109" s="179" t="n">
        <v>0</v>
      </c>
      <c r="E109" s="173" t="n">
        <v>17</v>
      </c>
      <c r="G109" s="2" t="inlineStr">
        <is>
          <t>Mining / metals|&lt;10x</t>
        </is>
      </c>
    </row>
    <row r="110">
      <c r="A110" s="17" t="inlineStr">
        <is>
          <t>Mining / metals</t>
        </is>
      </c>
      <c r="B110" s="17" t="inlineStr">
        <is>
          <t>&gt;=1000x</t>
        </is>
      </c>
      <c r="C110" s="167" t="n">
        <v>3</v>
      </c>
      <c r="D110" s="179" t="n">
        <v>90.7</v>
      </c>
      <c r="E110" s="173" t="n">
        <v>100</v>
      </c>
      <c r="G110" s="2" t="inlineStr">
        <is>
          <t>Mining / metals|&gt;=1000x</t>
        </is>
      </c>
    </row>
    <row r="111">
      <c r="A111" s="17" t="inlineStr">
        <is>
          <t>Oil &amp; gas / utilities</t>
        </is>
      </c>
      <c r="B111" s="17" t="inlineStr">
        <is>
          <t>10-100x</t>
        </is>
      </c>
      <c r="C111" s="167" t="n">
        <v>2</v>
      </c>
      <c r="D111" s="179" t="n">
        <v>15.1</v>
      </c>
      <c r="E111" s="173" t="n">
        <v>50</v>
      </c>
      <c r="G111" s="2" t="inlineStr">
        <is>
          <t>Oil &amp; gas / utilities|10-100x</t>
        </is>
      </c>
    </row>
    <row r="112">
      <c r="A112" s="17" t="inlineStr">
        <is>
          <t>Oil &amp; gas / utilities</t>
        </is>
      </c>
      <c r="B112" s="17" t="inlineStr">
        <is>
          <t>&lt;10x</t>
        </is>
      </c>
      <c r="C112" s="167" t="n">
        <v>3</v>
      </c>
      <c r="D112" s="179" t="n">
        <v>0</v>
      </c>
      <c r="E112" s="173" t="n">
        <v>0</v>
      </c>
      <c r="G112" s="2" t="inlineStr">
        <is>
          <t>Oil &amp; gas / utilities|&lt;10x</t>
        </is>
      </c>
    </row>
    <row r="113">
      <c r="A113" s="17" t="inlineStr">
        <is>
          <t>Property management</t>
        </is>
      </c>
      <c r="B113" s="17" t="inlineStr">
        <is>
          <t>10-100x</t>
        </is>
      </c>
      <c r="C113" s="167" t="n">
        <v>4</v>
      </c>
      <c r="D113" s="179" t="n">
        <v>-0.4</v>
      </c>
      <c r="E113" s="173" t="n">
        <v>50</v>
      </c>
      <c r="G113" s="2" t="inlineStr">
        <is>
          <t>Property management|10-100x</t>
        </is>
      </c>
    </row>
    <row r="114">
      <c r="A114" s="17" t="inlineStr">
        <is>
          <t>Property management</t>
        </is>
      </c>
      <c r="B114" s="17" t="inlineStr">
        <is>
          <t>100-1000x</t>
        </is>
      </c>
      <c r="C114" s="167" t="n">
        <v>2</v>
      </c>
      <c r="D114" s="179" t="n">
        <v>-3.9</v>
      </c>
      <c r="E114" s="173" t="n">
        <v>50</v>
      </c>
      <c r="G114" s="2" t="inlineStr">
        <is>
          <t>Property management|100-1000x</t>
        </is>
      </c>
    </row>
    <row r="115">
      <c r="A115" s="17" t="inlineStr">
        <is>
          <t>Property management</t>
        </is>
      </c>
      <c r="B115" s="17" t="inlineStr">
        <is>
          <t>&lt;10x</t>
        </is>
      </c>
      <c r="C115" s="167" t="n">
        <v>17</v>
      </c>
      <c r="D115" s="179" t="n">
        <v>0</v>
      </c>
      <c r="E115" s="173" t="n">
        <v>29</v>
      </c>
      <c r="G115" s="2" t="inlineStr">
        <is>
          <t>Property management|&lt;10x</t>
        </is>
      </c>
    </row>
    <row r="116">
      <c r="A116" s="17" t="inlineStr">
        <is>
          <t>Property management</t>
        </is>
      </c>
      <c r="B116" s="17" t="inlineStr">
        <is>
          <t>&gt;=1000x</t>
        </is>
      </c>
      <c r="C116" s="167" t="n">
        <v>1</v>
      </c>
      <c r="D116" s="179" t="n">
        <v>36.2</v>
      </c>
      <c r="E116" s="173" t="n">
        <v>100</v>
      </c>
      <c r="G116" s="2" t="inlineStr">
        <is>
          <t>Property management|&gt;=1000x</t>
        </is>
      </c>
    </row>
    <row r="117">
      <c r="A117" s="17" t="inlineStr">
        <is>
          <t>REITs / asset-light</t>
        </is>
      </c>
      <c r="B117" s="17" t="inlineStr">
        <is>
          <t>&lt;10x</t>
        </is>
      </c>
      <c r="C117" s="167" t="n">
        <v>1</v>
      </c>
      <c r="D117" s="179" t="n">
        <v>-16.5</v>
      </c>
      <c r="E117" s="173" t="n">
        <v>0</v>
      </c>
      <c r="G117" s="2" t="inlineStr">
        <is>
          <t>REITs / asset-light|&lt;10x</t>
        </is>
      </c>
    </row>
    <row r="118">
      <c r="A118" s="17" t="inlineStr">
        <is>
          <t>Retail / distribution</t>
        </is>
      </c>
      <c r="B118" s="17" t="inlineStr">
        <is>
          <t>10-100x</t>
        </is>
      </c>
      <c r="C118" s="167" t="n">
        <v>6</v>
      </c>
      <c r="D118" s="179" t="n">
        <v>16.1</v>
      </c>
      <c r="E118" s="173" t="n">
        <v>67</v>
      </c>
      <c r="G118" s="2" t="inlineStr">
        <is>
          <t>Retail / distribution|10-100x</t>
        </is>
      </c>
    </row>
    <row r="119">
      <c r="A119" s="17" t="inlineStr">
        <is>
          <t>Retail / distribution</t>
        </is>
      </c>
      <c r="B119" s="17" t="inlineStr">
        <is>
          <t>100-1000x</t>
        </is>
      </c>
      <c r="C119" s="167" t="n">
        <v>2</v>
      </c>
      <c r="D119" s="179" t="n">
        <v>-9.4</v>
      </c>
      <c r="E119" s="173" t="n">
        <v>50</v>
      </c>
      <c r="G119" s="2" t="inlineStr">
        <is>
          <t>Retail / distribution|100-1000x</t>
        </is>
      </c>
    </row>
    <row r="120">
      <c r="A120" s="17" t="inlineStr">
        <is>
          <t>Retail / distribution</t>
        </is>
      </c>
      <c r="B120" s="17" t="inlineStr">
        <is>
          <t>&lt;10x</t>
        </is>
      </c>
      <c r="C120" s="167" t="n">
        <v>4</v>
      </c>
      <c r="D120" s="179" t="n">
        <v>0</v>
      </c>
      <c r="E120" s="173" t="n">
        <v>0</v>
      </c>
      <c r="G120" s="2" t="inlineStr">
        <is>
          <t>Retail / distribution|&lt;10x</t>
        </is>
      </c>
    </row>
    <row r="121">
      <c r="A121" s="17" t="inlineStr">
        <is>
          <t>Retail / distribution</t>
        </is>
      </c>
      <c r="B121" s="17" t="inlineStr">
        <is>
          <t>&gt;=1000x</t>
        </is>
      </c>
      <c r="C121" s="167" t="n">
        <v>5</v>
      </c>
      <c r="D121" s="179" t="n">
        <v>44</v>
      </c>
      <c r="E121" s="173" t="n">
        <v>100</v>
      </c>
      <c r="G121" s="2" t="inlineStr">
        <is>
          <t>Retail / distribution|&gt;=1000x</t>
        </is>
      </c>
    </row>
    <row r="122">
      <c r="A122" s="17" t="inlineStr">
        <is>
          <t>Robotics &amp; autonomous driving</t>
        </is>
      </c>
      <c r="B122" s="17" t="inlineStr">
        <is>
          <t>10-100x</t>
        </is>
      </c>
      <c r="C122" s="167" t="n">
        <v>4</v>
      </c>
      <c r="D122" s="179" t="n">
        <v>-11.5</v>
      </c>
      <c r="E122" s="173" t="n">
        <v>25</v>
      </c>
      <c r="G122" s="2" t="inlineStr">
        <is>
          <t>Robotics &amp; autonomous driving|10-100x</t>
        </is>
      </c>
    </row>
    <row r="123">
      <c r="A123" s="17" t="inlineStr">
        <is>
          <t>Robotics &amp; autonomous driving</t>
        </is>
      </c>
      <c r="B123" s="17" t="inlineStr">
        <is>
          <t>100-1000x</t>
        </is>
      </c>
      <c r="C123" s="167" t="n">
        <v>7</v>
      </c>
      <c r="D123" s="179" t="n">
        <v>10</v>
      </c>
      <c r="E123" s="173" t="n">
        <v>86</v>
      </c>
      <c r="G123" s="2" t="inlineStr">
        <is>
          <t>Robotics &amp; autonomous driving|100-1000x</t>
        </is>
      </c>
    </row>
    <row r="124">
      <c r="A124" s="17" t="inlineStr">
        <is>
          <t>Robotics &amp; autonomous driving</t>
        </is>
      </c>
      <c r="B124" s="17" t="inlineStr">
        <is>
          <t>&lt;10x</t>
        </is>
      </c>
      <c r="C124" s="167" t="n">
        <v>4</v>
      </c>
      <c r="D124" s="179" t="n">
        <v>0.4</v>
      </c>
      <c r="E124" s="173" t="n">
        <v>50</v>
      </c>
      <c r="G124" s="2" t="inlineStr">
        <is>
          <t>Robotics &amp; autonomous driving|&lt;10x</t>
        </is>
      </c>
    </row>
    <row r="125">
      <c r="A125" s="17" t="inlineStr">
        <is>
          <t>Robotics &amp; autonomous driving</t>
        </is>
      </c>
      <c r="B125" s="17" t="inlineStr">
        <is>
          <t>&gt;=1000x</t>
        </is>
      </c>
      <c r="C125" s="167" t="n">
        <v>8</v>
      </c>
      <c r="D125" s="179" t="n">
        <v>17.1</v>
      </c>
      <c r="E125" s="173" t="n">
        <v>75</v>
      </c>
      <c r="G125" s="2" t="inlineStr">
        <is>
          <t>Robotics &amp; autonomous driving|&gt;=1000x</t>
        </is>
      </c>
    </row>
    <row r="126">
      <c r="A126" s="17" t="inlineStr">
        <is>
          <t>SaaS / enterprise software</t>
        </is>
      </c>
      <c r="B126" s="17" t="inlineStr">
        <is>
          <t>10-100x</t>
        </is>
      </c>
      <c r="C126" s="167" t="n">
        <v>8</v>
      </c>
      <c r="D126" s="179" t="n">
        <v>1.6</v>
      </c>
      <c r="E126" s="173" t="n">
        <v>75</v>
      </c>
      <c r="G126" s="2" t="inlineStr">
        <is>
          <t>SaaS / enterprise software|10-100x</t>
        </is>
      </c>
    </row>
    <row r="127">
      <c r="A127" s="17" t="inlineStr">
        <is>
          <t>SaaS / enterprise software</t>
        </is>
      </c>
      <c r="B127" s="17" t="inlineStr">
        <is>
          <t>100-1000x</t>
        </is>
      </c>
      <c r="C127" s="167" t="n">
        <v>4</v>
      </c>
      <c r="D127" s="179" t="n">
        <v>1</v>
      </c>
      <c r="E127" s="173" t="n">
        <v>50</v>
      </c>
      <c r="G127" s="2" t="inlineStr">
        <is>
          <t>SaaS / enterprise software|100-1000x</t>
        </is>
      </c>
    </row>
    <row r="128">
      <c r="A128" s="17" t="inlineStr">
        <is>
          <t>SaaS / enterprise software</t>
        </is>
      </c>
      <c r="B128" s="17" t="inlineStr">
        <is>
          <t>&lt;10x</t>
        </is>
      </c>
      <c r="C128" s="167" t="n">
        <v>7</v>
      </c>
      <c r="D128" s="179" t="n">
        <v>0</v>
      </c>
      <c r="E128" s="173" t="n">
        <v>43</v>
      </c>
      <c r="G128" s="2" t="inlineStr">
        <is>
          <t>SaaS / enterprise software|&lt;10x</t>
        </is>
      </c>
    </row>
    <row r="129">
      <c r="A129" s="17" t="inlineStr">
        <is>
          <t>SaaS / enterprise software</t>
        </is>
      </c>
      <c r="B129" s="17" t="inlineStr">
        <is>
          <t>&gt;=1000x</t>
        </is>
      </c>
      <c r="C129" s="167" t="n">
        <v>5</v>
      </c>
      <c r="D129" s="179" t="n">
        <v>117.9</v>
      </c>
      <c r="E129" s="173" t="n">
        <v>100</v>
      </c>
      <c r="G129" s="2" t="inlineStr">
        <is>
          <t>SaaS / enterprise software|&gt;=1000x</t>
        </is>
      </c>
    </row>
    <row r="130">
      <c r="A130" s="17" t="inlineStr">
        <is>
          <t>Smart hardware / consumer electronics</t>
        </is>
      </c>
      <c r="B130" s="17" t="inlineStr">
        <is>
          <t>10-100x</t>
        </is>
      </c>
      <c r="C130" s="167" t="n">
        <v>4</v>
      </c>
      <c r="D130" s="179" t="n">
        <v>-1.5</v>
      </c>
      <c r="E130" s="173" t="n">
        <v>25</v>
      </c>
      <c r="G130" s="2" t="inlineStr">
        <is>
          <t>Smart hardware / consumer electronics|10-100x</t>
        </is>
      </c>
    </row>
    <row r="131">
      <c r="A131" s="17" t="inlineStr">
        <is>
          <t>Smart hardware / consumer electronics</t>
        </is>
      </c>
      <c r="B131" s="17" t="inlineStr">
        <is>
          <t>100-1000x</t>
        </is>
      </c>
      <c r="C131" s="167" t="n">
        <v>11</v>
      </c>
      <c r="D131" s="179" t="n">
        <v>4.7</v>
      </c>
      <c r="E131" s="173" t="n">
        <v>64</v>
      </c>
      <c r="G131" s="2" t="inlineStr">
        <is>
          <t>Smart hardware / consumer electronics|100-1000x</t>
        </is>
      </c>
    </row>
    <row r="132">
      <c r="A132" s="17" t="inlineStr">
        <is>
          <t>Smart hardware / consumer electronics</t>
        </is>
      </c>
      <c r="B132" s="17" t="inlineStr">
        <is>
          <t>&lt;10x</t>
        </is>
      </c>
      <c r="C132" s="167" t="n">
        <v>4</v>
      </c>
      <c r="D132" s="179" t="n">
        <v>-3.4</v>
      </c>
      <c r="E132" s="173" t="n">
        <v>25</v>
      </c>
      <c r="G132" s="2" t="inlineStr">
        <is>
          <t>Smart hardware / consumer electronics|&lt;10x</t>
        </is>
      </c>
    </row>
    <row r="133">
      <c r="A133" s="17" t="inlineStr">
        <is>
          <t>Smart hardware / consumer electronics</t>
        </is>
      </c>
      <c r="B133" s="17" t="inlineStr">
        <is>
          <t>&gt;=1000x</t>
        </is>
      </c>
      <c r="C133" s="167" t="n">
        <v>10</v>
      </c>
      <c r="D133" s="179" t="n">
        <v>18.1</v>
      </c>
      <c r="E133" s="173" t="n">
        <v>100</v>
      </c>
      <c r="G133" s="2" t="inlineStr">
        <is>
          <t>Smart hardware / consumer electronics|&gt;=1000x</t>
        </is>
      </c>
    </row>
    <row r="134">
      <c r="A134" s="17" t="inlineStr">
        <is>
          <t>Solar / wind supply chain</t>
        </is>
      </c>
      <c r="B134" s="17" t="inlineStr">
        <is>
          <t>100-1000x</t>
        </is>
      </c>
      <c r="C134" s="167" t="n">
        <v>1</v>
      </c>
      <c r="D134" s="179" t="n">
        <v>0</v>
      </c>
      <c r="E134" s="173" t="n">
        <v>0</v>
      </c>
      <c r="G134" s="2" t="inlineStr">
        <is>
          <t>Solar / wind supply chain|100-1000x</t>
        </is>
      </c>
    </row>
    <row r="135">
      <c r="A135" s="17" t="inlineStr">
        <is>
          <t>Solar / wind supply chain</t>
        </is>
      </c>
      <c r="B135" s="17" t="inlineStr">
        <is>
          <t>&lt;10x</t>
        </is>
      </c>
      <c r="C135" s="167" t="n">
        <v>1</v>
      </c>
      <c r="D135" s="179" t="n">
        <v>20.1</v>
      </c>
      <c r="E135" s="173" t="n">
        <v>100</v>
      </c>
      <c r="G135" s="2" t="inlineStr">
        <is>
          <t>Solar / wind supply chain|&lt;10x</t>
        </is>
      </c>
    </row>
    <row r="136">
      <c r="A136" s="17" t="inlineStr">
        <is>
          <t>TCM</t>
        </is>
      </c>
      <c r="B136" s="17" t="inlineStr">
        <is>
          <t>10-100x</t>
        </is>
      </c>
      <c r="C136" s="167" t="n">
        <v>1</v>
      </c>
      <c r="D136" s="179" t="n">
        <v>6.8</v>
      </c>
      <c r="E136" s="173" t="n">
        <v>100</v>
      </c>
      <c r="G136" s="2" t="inlineStr">
        <is>
          <t>TCM|10-100x</t>
        </is>
      </c>
    </row>
    <row r="137">
      <c r="A137" s="17" t="inlineStr">
        <is>
          <t>TCM</t>
        </is>
      </c>
      <c r="B137" s="17" t="inlineStr">
        <is>
          <t>100-1000x</t>
        </is>
      </c>
      <c r="C137" s="167" t="n">
        <v>1</v>
      </c>
      <c r="D137" s="179" t="n">
        <v>-39.1</v>
      </c>
      <c r="E137" s="173" t="n">
        <v>0</v>
      </c>
      <c r="G137" s="2" t="inlineStr">
        <is>
          <t>TCM|100-1000x</t>
        </is>
      </c>
    </row>
    <row r="138">
      <c r="A138" s="17" t="inlineStr">
        <is>
          <t>TCM</t>
        </is>
      </c>
      <c r="B138" s="17" t="inlineStr">
        <is>
          <t>&lt;10x</t>
        </is>
      </c>
      <c r="C138" s="167" t="n">
        <v>1</v>
      </c>
      <c r="D138" s="179" t="n">
        <v>0</v>
      </c>
      <c r="E138" s="173" t="n">
        <v>0</v>
      </c>
      <c r="G138" s="2" t="inlineStr">
        <is>
          <t>TCM|&lt;10x</t>
        </is>
      </c>
    </row>
    <row r="139">
      <c r="A139" s="17" t="inlineStr">
        <is>
          <t>TCM</t>
        </is>
      </c>
      <c r="B139" s="17" t="inlineStr">
        <is>
          <t>&gt;=1000x</t>
        </is>
      </c>
      <c r="C139" s="167" t="n">
        <v>1</v>
      </c>
      <c r="D139" s="179" t="n">
        <v>10.4</v>
      </c>
      <c r="E139" s="173" t="n">
        <v>100</v>
      </c>
      <c r="G139" s="2" t="inlineStr">
        <is>
          <t>TCM|&gt;=1000x</t>
        </is>
      </c>
    </row>
    <row r="140">
      <c r="A140" s="17" t="inlineStr">
        <is>
          <t>Telecom</t>
        </is>
      </c>
      <c r="B140" s="17" t="inlineStr">
        <is>
          <t>100-1000x</t>
        </is>
      </c>
      <c r="C140" s="167" t="n">
        <v>1</v>
      </c>
      <c r="D140" s="179" t="n">
        <v>-46.4</v>
      </c>
      <c r="E140" s="173" t="n">
        <v>0</v>
      </c>
      <c r="G140" s="2" t="inlineStr">
        <is>
          <t>Telecom|100-1000x</t>
        </is>
      </c>
    </row>
    <row r="141">
      <c r="A141" s="17" t="inlineStr">
        <is>
          <t>Telecom</t>
        </is>
      </c>
      <c r="B141" s="17" t="inlineStr">
        <is>
          <t>&lt;10x</t>
        </is>
      </c>
      <c r="C141" s="167" t="n">
        <v>1</v>
      </c>
      <c r="D141" s="179" t="n">
        <v>-11.2</v>
      </c>
      <c r="E141" s="173" t="n">
        <v>0</v>
      </c>
      <c r="G141" s="2" t="inlineStr">
        <is>
          <t>Telecom|&lt;10x</t>
        </is>
      </c>
    </row>
    <row r="142"/>
    <row r="143">
      <c r="A143" s="165"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67" t="n">
        <v>17</v>
      </c>
      <c r="C145" s="179" t="n">
        <v>44.6</v>
      </c>
      <c r="D145" s="173" t="n">
        <v>82</v>
      </c>
      <c r="E145" s="180" t="n">
        <v>92</v>
      </c>
      <c r="F145" s="180" t="n">
        <v>14.1</v>
      </c>
      <c r="G145" s="167" t="n">
        <v>2</v>
      </c>
      <c r="H145" s="167" t="n">
        <v>15</v>
      </c>
    </row>
    <row r="146">
      <c r="A146" s="17" t="inlineStr">
        <is>
          <t>AI chips &amp; semis</t>
        </is>
      </c>
      <c r="B146" s="167" t="n">
        <v>27</v>
      </c>
      <c r="C146" s="179" t="n">
        <v>8.4</v>
      </c>
      <c r="D146" s="173" t="n">
        <v>74</v>
      </c>
      <c r="E146" s="180" t="n">
        <v>87.8</v>
      </c>
      <c r="F146" s="180" t="n">
        <v>12.3</v>
      </c>
      <c r="G146" s="167" t="n">
        <v>14</v>
      </c>
      <c r="H146" s="167" t="n">
        <v>25</v>
      </c>
    </row>
    <row r="147">
      <c r="A147" s="17" t="inlineStr">
        <is>
          <t>Apparel / luxury</t>
        </is>
      </c>
      <c r="B147" s="167" t="n">
        <v>6</v>
      </c>
      <c r="C147" s="179" t="n">
        <v>16.2</v>
      </c>
      <c r="D147" s="173" t="n">
        <v>67</v>
      </c>
      <c r="E147" s="180" t="n">
        <v>15.7</v>
      </c>
      <c r="F147" s="180" t="n">
        <v>1.7</v>
      </c>
      <c r="G147" s="167" t="n">
        <v>6</v>
      </c>
      <c r="H147" s="167" t="n">
        <v>5</v>
      </c>
    </row>
    <row r="148">
      <c r="A148" s="17" t="inlineStr">
        <is>
          <t>Auto parts / supply chain</t>
        </is>
      </c>
      <c r="B148" s="167" t="n">
        <v>9</v>
      </c>
      <c r="C148" s="179" t="n">
        <v>2.1</v>
      </c>
      <c r="D148" s="173" t="n">
        <v>56</v>
      </c>
      <c r="E148" s="180" t="n">
        <v>27.3</v>
      </c>
      <c r="F148" s="180" t="n">
        <v>3</v>
      </c>
      <c r="G148" s="167" t="n">
        <v>5</v>
      </c>
      <c r="H148" s="167" t="n">
        <v>9</v>
      </c>
    </row>
    <row r="149">
      <c r="A149" s="17" t="inlineStr">
        <is>
          <t>Autos (NEV OEM)</t>
        </is>
      </c>
      <c r="B149" s="167" t="n">
        <v>6</v>
      </c>
      <c r="C149" s="179" t="n">
        <v>0</v>
      </c>
      <c r="D149" s="173" t="n">
        <v>33</v>
      </c>
      <c r="E149" s="180" t="n">
        <v>18.1</v>
      </c>
      <c r="F149" s="180" t="n">
        <v>1.4</v>
      </c>
      <c r="G149" s="167" t="n">
        <v>2</v>
      </c>
      <c r="H149" s="167" t="n">
        <v>5</v>
      </c>
    </row>
    <row r="150">
      <c r="A150" s="17" t="inlineStr">
        <is>
          <t>Banks</t>
        </is>
      </c>
      <c r="B150" s="167" t="n">
        <v>2</v>
      </c>
      <c r="C150" s="179" t="n">
        <v>2.5</v>
      </c>
      <c r="D150" s="173" t="n">
        <v>100</v>
      </c>
      <c r="E150" s="180" t="n">
        <v>20.1</v>
      </c>
      <c r="F150" s="180" t="n">
        <v>4.4</v>
      </c>
      <c r="G150" s="167" t="n">
        <v>1</v>
      </c>
      <c r="H150" s="167" t="n">
        <v>1</v>
      </c>
    </row>
    <row r="151">
      <c r="A151" s="17" t="inlineStr">
        <is>
          <t>Batteries / energy storage</t>
        </is>
      </c>
      <c r="B151" s="167" t="n">
        <v>13</v>
      </c>
      <c r="C151" s="179" t="n">
        <v>1.4</v>
      </c>
      <c r="D151" s="173" t="n">
        <v>69</v>
      </c>
      <c r="E151" s="180" t="n">
        <v>19.8</v>
      </c>
      <c r="F151" s="180" t="n">
        <v>4.5</v>
      </c>
      <c r="G151" s="167" t="n">
        <v>5</v>
      </c>
      <c r="H151" s="167" t="n">
        <v>13</v>
      </c>
    </row>
    <row r="152">
      <c r="A152" s="17" t="inlineStr">
        <is>
          <t>Beauty / personal care</t>
        </is>
      </c>
      <c r="B152" s="167" t="n">
        <v>7</v>
      </c>
      <c r="C152" s="179" t="n">
        <v>9.300000000000001</v>
      </c>
      <c r="D152" s="173" t="n">
        <v>57</v>
      </c>
      <c r="E152" s="180" t="n">
        <v>21.3</v>
      </c>
      <c r="F152" s="180" t="n">
        <v>4.3</v>
      </c>
      <c r="G152" s="167" t="n">
        <v>6</v>
      </c>
      <c r="H152" s="167" t="n">
        <v>7</v>
      </c>
    </row>
    <row r="153">
      <c r="A153" s="17" t="inlineStr">
        <is>
          <t>Beverages / packaged food</t>
        </is>
      </c>
      <c r="B153" s="167" t="n">
        <v>25</v>
      </c>
      <c r="C153" s="179" t="n">
        <v>1.5</v>
      </c>
      <c r="D153" s="173" t="n">
        <v>56</v>
      </c>
      <c r="E153" s="180" t="n">
        <v>18.1</v>
      </c>
      <c r="F153" s="180" t="n">
        <v>2.3</v>
      </c>
      <c r="G153" s="167" t="n">
        <v>24</v>
      </c>
      <c r="H153" s="167" t="n">
        <v>25</v>
      </c>
    </row>
    <row r="154">
      <c r="A154" s="17" t="inlineStr">
        <is>
          <t>Biopharma commercial</t>
        </is>
      </c>
      <c r="B154" s="167" t="n">
        <v>9</v>
      </c>
      <c r="C154" s="179" t="n">
        <v>25.2</v>
      </c>
      <c r="D154" s="173" t="n">
        <v>78</v>
      </c>
      <c r="E154" s="180" t="n">
        <v>28.6</v>
      </c>
      <c r="F154" s="180" t="n">
        <v>10.2</v>
      </c>
      <c r="G154" s="167" t="n">
        <v>6</v>
      </c>
      <c r="H154" s="167" t="n">
        <v>8</v>
      </c>
    </row>
    <row r="155">
      <c r="A155" s="17" t="inlineStr">
        <is>
          <t>Biotech pre-revenue (18A)</t>
        </is>
      </c>
      <c r="B155" s="167" t="n">
        <v>49</v>
      </c>
      <c r="C155" s="179" t="n">
        <v>7.7</v>
      </c>
      <c r="D155" s="173" t="n">
        <v>69</v>
      </c>
      <c r="E155" s="180" t="n"/>
      <c r="F155" s="180" t="n">
        <v>25.7</v>
      </c>
      <c r="G155" s="167" t="n">
        <v>0</v>
      </c>
      <c r="H155" s="167" t="n">
        <v>9</v>
      </c>
    </row>
    <row r="156">
      <c r="A156" s="17" t="inlineStr">
        <is>
          <t>Brokers / asset management</t>
        </is>
      </c>
      <c r="B156" s="167" t="n">
        <v>4</v>
      </c>
      <c r="C156" s="179" t="n">
        <v>-14.3</v>
      </c>
      <c r="D156" s="173" t="n">
        <v>25</v>
      </c>
      <c r="E156" s="180" t="n">
        <v>20.8</v>
      </c>
      <c r="F156" s="180" t="n">
        <v>5</v>
      </c>
      <c r="G156" s="167" t="n">
        <v>3</v>
      </c>
      <c r="H156" s="167" t="n">
        <v>3</v>
      </c>
    </row>
    <row r="157">
      <c r="A157" s="17" t="inlineStr">
        <is>
          <t>CXO / pharma services</t>
        </is>
      </c>
      <c r="B157" s="167" t="n">
        <v>9</v>
      </c>
      <c r="C157" s="179" t="n">
        <v>0.7</v>
      </c>
      <c r="D157" s="173" t="n">
        <v>56</v>
      </c>
      <c r="E157" s="180" t="n">
        <v>66.7</v>
      </c>
      <c r="F157" s="180" t="n">
        <v>12.4</v>
      </c>
      <c r="G157" s="167" t="n">
        <v>7</v>
      </c>
      <c r="H157" s="167" t="n">
        <v>8</v>
      </c>
    </row>
    <row r="158">
      <c r="A158" s="17" t="inlineStr">
        <is>
          <t>Capital goods / machinery</t>
        </is>
      </c>
      <c r="B158" s="167" t="n">
        <v>18</v>
      </c>
      <c r="C158" s="179" t="n">
        <v>1.9</v>
      </c>
      <c r="D158" s="173" t="n">
        <v>61</v>
      </c>
      <c r="E158" s="180" t="n">
        <v>27.5</v>
      </c>
      <c r="F158" s="180" t="n">
        <v>5.9</v>
      </c>
      <c r="G158" s="167" t="n">
        <v>13</v>
      </c>
      <c r="H158" s="167" t="n">
        <v>17</v>
      </c>
    </row>
    <row r="159">
      <c r="A159" s="17" t="inlineStr">
        <is>
          <t>Chemicals</t>
        </is>
      </c>
      <c r="B159" s="167" t="n">
        <v>14</v>
      </c>
      <c r="C159" s="179" t="n">
        <v>0.1</v>
      </c>
      <c r="D159" s="173" t="n">
        <v>50</v>
      </c>
      <c r="E159" s="180" t="n">
        <v>8.9</v>
      </c>
      <c r="F159" s="180" t="n">
        <v>1.2</v>
      </c>
      <c r="G159" s="167" t="n">
        <v>12</v>
      </c>
      <c r="H159" s="167" t="n">
        <v>14</v>
      </c>
    </row>
    <row r="160">
      <c r="A160" s="17" t="inlineStr">
        <is>
          <t>Construction / engineering</t>
        </is>
      </c>
      <c r="B160" s="167" t="n">
        <v>16</v>
      </c>
      <c r="C160" s="179" t="n">
        <v>-7.5</v>
      </c>
      <c r="D160" s="173" t="n">
        <v>44</v>
      </c>
      <c r="E160" s="180" t="n">
        <v>12.2</v>
      </c>
      <c r="F160" s="180" t="n">
        <v>1.4</v>
      </c>
      <c r="G160" s="167" t="n">
        <v>15</v>
      </c>
      <c r="H160" s="167" t="n">
        <v>14</v>
      </c>
    </row>
    <row r="161">
      <c r="A161" s="17" t="inlineStr">
        <is>
          <t>Consumer services / education</t>
        </is>
      </c>
      <c r="B161" s="167" t="n">
        <v>4</v>
      </c>
      <c r="C161" s="179" t="n">
        <v>6.1</v>
      </c>
      <c r="D161" s="173" t="n">
        <v>50</v>
      </c>
      <c r="E161" s="180" t="n">
        <v>13.7</v>
      </c>
      <c r="F161" s="180" t="n">
        <v>5.3</v>
      </c>
      <c r="G161" s="167" t="n">
        <v>3</v>
      </c>
      <c r="H161" s="167" t="n">
        <v>4</v>
      </c>
    </row>
    <row r="162">
      <c r="A162" s="17" t="inlineStr">
        <is>
          <t>Data center / cloud infra</t>
        </is>
      </c>
      <c r="B162" s="167" t="n">
        <v>2</v>
      </c>
      <c r="C162" s="179" t="n">
        <v>-37.1</v>
      </c>
      <c r="D162" s="173" t="n">
        <v>0</v>
      </c>
      <c r="E162" s="180" t="n">
        <v>135.6</v>
      </c>
      <c r="F162" s="180" t="n">
        <v>3.2</v>
      </c>
      <c r="G162" s="167" t="n">
        <v>1</v>
      </c>
      <c r="H162" s="167" t="n">
        <v>2</v>
      </c>
    </row>
    <row r="163">
      <c r="A163" s="17" t="inlineStr">
        <is>
          <t>Developers</t>
        </is>
      </c>
      <c r="B163" s="167" t="n">
        <v>1</v>
      </c>
      <c r="C163" s="179" t="n">
        <v>0</v>
      </c>
      <c r="D163" s="173" t="n">
        <v>0</v>
      </c>
      <c r="E163" s="180" t="n">
        <v>6.9</v>
      </c>
      <c r="F163" s="180" t="n">
        <v>0.6</v>
      </c>
      <c r="G163" s="167" t="n">
        <v>1</v>
      </c>
      <c r="H163" s="167" t="n">
        <v>1</v>
      </c>
    </row>
    <row r="164">
      <c r="A164" s="17" t="inlineStr">
        <is>
          <t>Digital health</t>
        </is>
      </c>
      <c r="B164" s="167" t="n">
        <v>17</v>
      </c>
      <c r="C164" s="179" t="n">
        <v>5.5</v>
      </c>
      <c r="D164" s="173" t="n">
        <v>59</v>
      </c>
      <c r="E164" s="180" t="n">
        <v>43.7</v>
      </c>
      <c r="F164" s="180" t="n">
        <v>5.9</v>
      </c>
      <c r="G164" s="167" t="n">
        <v>5</v>
      </c>
      <c r="H164" s="167" t="n">
        <v>13</v>
      </c>
    </row>
    <row r="165">
      <c r="A165" s="17" t="inlineStr">
        <is>
          <t>F&amp;B chains / restaurants</t>
        </is>
      </c>
      <c r="B165" s="167" t="n">
        <v>10</v>
      </c>
      <c r="C165" s="179" t="n">
        <v>-3.3</v>
      </c>
      <c r="D165" s="173" t="n">
        <v>40</v>
      </c>
      <c r="E165" s="180" t="n">
        <v>20.4</v>
      </c>
      <c r="F165" s="180" t="n">
        <v>3.1</v>
      </c>
      <c r="G165" s="167" t="n">
        <v>7</v>
      </c>
      <c r="H165" s="167" t="n">
        <v>10</v>
      </c>
    </row>
    <row r="166">
      <c r="A166" s="17" t="inlineStr">
        <is>
          <t>Fintech platform</t>
        </is>
      </c>
      <c r="B166" s="167" t="n">
        <v>7</v>
      </c>
      <c r="C166" s="179" t="n">
        <v>-0.6</v>
      </c>
      <c r="D166" s="173" t="n">
        <v>29</v>
      </c>
      <c r="E166" s="180" t="n">
        <v>8.9</v>
      </c>
      <c r="F166" s="180" t="n">
        <v>7.7</v>
      </c>
      <c r="G166" s="167" t="n">
        <v>2</v>
      </c>
      <c r="H166" s="167" t="n">
        <v>6</v>
      </c>
    </row>
    <row r="167">
      <c r="A167" s="17" t="inlineStr">
        <is>
          <t>Hospitals / clinics</t>
        </is>
      </c>
      <c r="B167" s="167" t="n">
        <v>9</v>
      </c>
      <c r="C167" s="179" t="n">
        <v>0.1</v>
      </c>
      <c r="D167" s="173" t="n">
        <v>56</v>
      </c>
      <c r="E167" s="180" t="n">
        <v>42.5</v>
      </c>
      <c r="F167" s="180" t="n">
        <v>4.8</v>
      </c>
      <c r="G167" s="167" t="n">
        <v>6</v>
      </c>
      <c r="H167" s="167" t="n">
        <v>9</v>
      </c>
    </row>
    <row r="168">
      <c r="A168" s="17" t="inlineStr">
        <is>
          <t>Insurance</t>
        </is>
      </c>
      <c r="B168" s="167" t="n">
        <v>7</v>
      </c>
      <c r="C168" s="179" t="n">
        <v>4.7</v>
      </c>
      <c r="D168" s="173" t="n">
        <v>71</v>
      </c>
      <c r="E168" s="180" t="n">
        <v>17.4</v>
      </c>
      <c r="F168" s="180" t="n">
        <v>3</v>
      </c>
      <c r="G168" s="167" t="n">
        <v>3</v>
      </c>
      <c r="H168" s="167" t="n">
        <v>6</v>
      </c>
    </row>
    <row r="169">
      <c r="A169" s="17" t="inlineStr">
        <is>
          <t>Internet platform / e-commerce</t>
        </is>
      </c>
      <c r="B169" s="167" t="n">
        <v>23</v>
      </c>
      <c r="C169" s="179" t="n">
        <v>0.3</v>
      </c>
      <c r="D169" s="173" t="n">
        <v>52</v>
      </c>
      <c r="E169" s="180" t="n">
        <v>30</v>
      </c>
      <c r="F169" s="180" t="n">
        <v>3.8</v>
      </c>
      <c r="G169" s="167" t="n">
        <v>12</v>
      </c>
      <c r="H169" s="167" t="n">
        <v>20</v>
      </c>
    </row>
    <row r="170">
      <c r="A170" s="17" t="inlineStr">
        <is>
          <t>LLM / foundation model</t>
        </is>
      </c>
      <c r="B170" s="167" t="n">
        <v>2</v>
      </c>
      <c r="C170" s="179" t="n">
        <v>61.1</v>
      </c>
      <c r="D170" s="173" t="n">
        <v>100</v>
      </c>
      <c r="E170" s="180" t="n"/>
      <c r="F170" s="180" t="n"/>
      <c r="G170" s="167" t="n">
        <v>0</v>
      </c>
      <c r="H170" s="167" t="n">
        <v>0</v>
      </c>
    </row>
    <row r="171">
      <c r="A171" s="17" t="inlineStr">
        <is>
          <t>Logistics</t>
        </is>
      </c>
      <c r="B171" s="167" t="n">
        <v>15</v>
      </c>
      <c r="C171" s="179" t="n">
        <v>-0.6</v>
      </c>
      <c r="D171" s="173" t="n">
        <v>27</v>
      </c>
      <c r="E171" s="180" t="n">
        <v>14.3</v>
      </c>
      <c r="F171" s="180" t="n">
        <v>1.1</v>
      </c>
      <c r="G171" s="167" t="n">
        <v>10</v>
      </c>
      <c r="H171" s="167" t="n">
        <v>14</v>
      </c>
    </row>
    <row r="172">
      <c r="A172" s="17" t="inlineStr">
        <is>
          <t>Media / advertising</t>
        </is>
      </c>
      <c r="B172" s="167" t="n">
        <v>19</v>
      </c>
      <c r="C172" s="179" t="n">
        <v>16.6</v>
      </c>
      <c r="D172" s="173" t="n">
        <v>63</v>
      </c>
      <c r="E172" s="180" t="n">
        <v>27.8</v>
      </c>
      <c r="F172" s="180" t="n">
        <v>4.3</v>
      </c>
      <c r="G172" s="167" t="n">
        <v>17</v>
      </c>
      <c r="H172" s="167" t="n">
        <v>18</v>
      </c>
    </row>
    <row r="173">
      <c r="A173" s="17" t="inlineStr">
        <is>
          <t>Medical devices</t>
        </is>
      </c>
      <c r="B173" s="167" t="n">
        <v>26</v>
      </c>
      <c r="C173" s="179" t="n">
        <v>1.4</v>
      </c>
      <c r="D173" s="173" t="n">
        <v>54</v>
      </c>
      <c r="E173" s="180" t="n">
        <v>146.8</v>
      </c>
      <c r="F173" s="180" t="n">
        <v>10.1</v>
      </c>
      <c r="G173" s="167" t="n">
        <v>7</v>
      </c>
      <c r="H173" s="167" t="n">
        <v>10</v>
      </c>
    </row>
    <row r="174">
      <c r="A174" s="17" t="inlineStr">
        <is>
          <t>Mining / metals</t>
        </is>
      </c>
      <c r="B174" s="167" t="n">
        <v>13</v>
      </c>
      <c r="C174" s="179" t="n">
        <v>2.2</v>
      </c>
      <c r="D174" s="173" t="n">
        <v>62</v>
      </c>
      <c r="E174" s="180" t="n">
        <v>16.4</v>
      </c>
      <c r="F174" s="180" t="n">
        <v>3</v>
      </c>
      <c r="G174" s="167" t="n">
        <v>11</v>
      </c>
      <c r="H174" s="167" t="n">
        <v>11</v>
      </c>
    </row>
    <row r="175">
      <c r="A175" s="17" t="inlineStr">
        <is>
          <t>Oil &amp; gas / utilities</t>
        </is>
      </c>
      <c r="B175" s="167" t="n">
        <v>5</v>
      </c>
      <c r="C175" s="179" t="n">
        <v>0</v>
      </c>
      <c r="D175" s="173" t="n">
        <v>20</v>
      </c>
      <c r="E175" s="180" t="n">
        <v>9.300000000000001</v>
      </c>
      <c r="F175" s="180" t="n">
        <v>0.7</v>
      </c>
      <c r="G175" s="167" t="n">
        <v>5</v>
      </c>
      <c r="H175" s="167" t="n">
        <v>5</v>
      </c>
    </row>
    <row r="176">
      <c r="A176" s="17" t="inlineStr">
        <is>
          <t>Property management</t>
        </is>
      </c>
      <c r="B176" s="167" t="n">
        <v>24</v>
      </c>
      <c r="C176" s="179" t="n">
        <v>0</v>
      </c>
      <c r="D176" s="173" t="n">
        <v>38</v>
      </c>
      <c r="E176" s="180" t="n">
        <v>15.8</v>
      </c>
      <c r="F176" s="180" t="n">
        <v>2.5</v>
      </c>
      <c r="G176" s="167" t="n">
        <v>22</v>
      </c>
      <c r="H176" s="167" t="n">
        <v>23</v>
      </c>
    </row>
    <row r="177">
      <c r="A177" s="17" t="inlineStr">
        <is>
          <t>REITs / asset-light</t>
        </is>
      </c>
      <c r="B177" s="167" t="n">
        <v>1</v>
      </c>
      <c r="C177" s="179" t="n">
        <v>-16.5</v>
      </c>
      <c r="D177" s="173" t="n">
        <v>0</v>
      </c>
      <c r="E177" s="180" t="n">
        <v>153.5</v>
      </c>
      <c r="F177" s="180" t="n">
        <v>14.8</v>
      </c>
      <c r="G177" s="167" t="n">
        <v>1</v>
      </c>
      <c r="H177" s="167" t="n">
        <v>1</v>
      </c>
    </row>
    <row r="178">
      <c r="A178" s="17" t="inlineStr">
        <is>
          <t>Retail / distribution</t>
        </is>
      </c>
      <c r="B178" s="167" t="n">
        <v>17</v>
      </c>
      <c r="C178" s="179" t="n">
        <v>25</v>
      </c>
      <c r="D178" s="173" t="n">
        <v>59</v>
      </c>
      <c r="E178" s="180" t="n">
        <v>22.6</v>
      </c>
      <c r="F178" s="180" t="n">
        <v>1.8</v>
      </c>
      <c r="G178" s="167" t="n">
        <v>12</v>
      </c>
      <c r="H178" s="167" t="n">
        <v>17</v>
      </c>
    </row>
    <row r="179">
      <c r="A179" s="17" t="inlineStr">
        <is>
          <t>Robotics &amp; autonomous driving</t>
        </is>
      </c>
      <c r="B179" s="167" t="n">
        <v>23</v>
      </c>
      <c r="C179" s="179" t="n">
        <v>4.3</v>
      </c>
      <c r="D179" s="173" t="n">
        <v>65</v>
      </c>
      <c r="E179" s="180" t="n"/>
      <c r="F179" s="180" t="n">
        <v>17.5</v>
      </c>
      <c r="G179" s="167" t="n">
        <v>0</v>
      </c>
      <c r="H179" s="167" t="n">
        <v>19</v>
      </c>
    </row>
    <row r="180">
      <c r="A180" s="17" t="inlineStr">
        <is>
          <t>SaaS / enterprise software</t>
        </is>
      </c>
      <c r="B180" s="167" t="n">
        <v>24</v>
      </c>
      <c r="C180" s="179" t="n">
        <v>5.3</v>
      </c>
      <c r="D180" s="173" t="n">
        <v>67</v>
      </c>
      <c r="E180" s="180" t="n">
        <v>29.6</v>
      </c>
      <c r="F180" s="180" t="n">
        <v>6.8</v>
      </c>
      <c r="G180" s="167" t="n">
        <v>11</v>
      </c>
      <c r="H180" s="167" t="n">
        <v>23</v>
      </c>
    </row>
    <row r="181">
      <c r="A181" s="17" t="inlineStr">
        <is>
          <t>Smart hardware / consumer electronics</t>
        </is>
      </c>
      <c r="B181" s="167" t="n">
        <v>29</v>
      </c>
      <c r="C181" s="179" t="n">
        <v>7.8</v>
      </c>
      <c r="D181" s="173" t="n">
        <v>66</v>
      </c>
      <c r="E181" s="180" t="n">
        <v>26.1</v>
      </c>
      <c r="F181" s="180" t="n">
        <v>2.5</v>
      </c>
      <c r="G181" s="167" t="n">
        <v>25</v>
      </c>
      <c r="H181" s="167" t="n">
        <v>27</v>
      </c>
    </row>
    <row r="182">
      <c r="A182" s="17" t="inlineStr">
        <is>
          <t>Solar / wind supply chain</t>
        </is>
      </c>
      <c r="B182" s="167" t="n">
        <v>2</v>
      </c>
      <c r="C182" s="179" t="n">
        <v>10</v>
      </c>
      <c r="D182" s="173" t="n">
        <v>50</v>
      </c>
      <c r="E182" s="180" t="n">
        <v>53.3</v>
      </c>
      <c r="F182" s="180" t="n">
        <v>6.3</v>
      </c>
      <c r="G182" s="167" t="n">
        <v>1</v>
      </c>
      <c r="H182" s="167" t="n">
        <v>2</v>
      </c>
    </row>
    <row r="183">
      <c r="A183" s="17" t="inlineStr">
        <is>
          <t>TCM</t>
        </is>
      </c>
      <c r="B183" s="167" t="n">
        <v>4</v>
      </c>
      <c r="C183" s="179" t="n">
        <v>3.4</v>
      </c>
      <c r="D183" s="173" t="n">
        <v>50</v>
      </c>
      <c r="E183" s="180" t="n">
        <v>16</v>
      </c>
      <c r="F183" s="180" t="n">
        <v>2.7</v>
      </c>
      <c r="G183" s="167" t="n">
        <v>3</v>
      </c>
      <c r="H183" s="167" t="n">
        <v>4</v>
      </c>
    </row>
    <row r="184">
      <c r="A184" s="17" t="inlineStr">
        <is>
          <t>Telecom</t>
        </is>
      </c>
      <c r="B184" s="167" t="n">
        <v>2</v>
      </c>
      <c r="C184" s="179" t="n">
        <v>-28.8</v>
      </c>
      <c r="D184" s="173" t="n">
        <v>0</v>
      </c>
      <c r="E184" s="180" t="n">
        <v>10.6</v>
      </c>
      <c r="F184" s="180" t="n">
        <v>5.1</v>
      </c>
      <c r="G184" s="167" t="n">
        <v>1</v>
      </c>
      <c r="H184" s="167" t="n">
        <v>2</v>
      </c>
    </row>
    <row r="185"/>
    <row r="186">
      <c r="A186" s="165"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67" t="n">
        <v>25</v>
      </c>
      <c r="D188" s="179" t="n">
        <v>2.1</v>
      </c>
      <c r="E188" s="173" t="n">
        <v>52</v>
      </c>
    </row>
    <row r="189">
      <c r="A189" s="17" t="inlineStr">
        <is>
          <t>2021</t>
        </is>
      </c>
      <c r="B189" s="17" t="inlineStr">
        <is>
          <t>100-1000x</t>
        </is>
      </c>
      <c r="C189" s="167" t="n">
        <v>26</v>
      </c>
      <c r="D189" s="179" t="n">
        <v>0.6</v>
      </c>
      <c r="E189" s="173" t="n">
        <v>50</v>
      </c>
    </row>
    <row r="190">
      <c r="A190" s="17" t="inlineStr">
        <is>
          <t>2021</t>
        </is>
      </c>
      <c r="B190" s="17" t="inlineStr">
        <is>
          <t>&lt;10x</t>
        </is>
      </c>
      <c r="C190" s="167" t="n">
        <v>36</v>
      </c>
      <c r="D190" s="179" t="n">
        <v>-0.4</v>
      </c>
      <c r="E190" s="173" t="n">
        <v>28</v>
      </c>
    </row>
    <row r="191">
      <c r="A191" s="17" t="inlineStr">
        <is>
          <t>2021</t>
        </is>
      </c>
      <c r="B191" s="17" t="inlineStr">
        <is>
          <t>&gt;=1000x</t>
        </is>
      </c>
      <c r="C191" s="167" t="n">
        <v>5</v>
      </c>
      <c r="D191" s="179" t="n">
        <v>131.8</v>
      </c>
      <c r="E191" s="173" t="n">
        <v>100</v>
      </c>
    </row>
    <row r="192">
      <c r="A192" s="17" t="inlineStr">
        <is>
          <t>2022</t>
        </is>
      </c>
      <c r="B192" s="17" t="inlineStr">
        <is>
          <t>10-100x</t>
        </is>
      </c>
      <c r="C192" s="167" t="n">
        <v>17</v>
      </c>
      <c r="D192" s="179" t="n">
        <v>0.6</v>
      </c>
      <c r="E192" s="173" t="n">
        <v>53</v>
      </c>
    </row>
    <row r="193">
      <c r="A193" s="17" t="inlineStr">
        <is>
          <t>2022</t>
        </is>
      </c>
      <c r="B193" s="17" t="inlineStr">
        <is>
          <t>100-1000x</t>
        </is>
      </c>
      <c r="C193" s="167" t="n">
        <v>1</v>
      </c>
      <c r="D193" s="179" t="n">
        <v>-27.1</v>
      </c>
      <c r="E193" s="173" t="n">
        <v>0</v>
      </c>
    </row>
    <row r="194">
      <c r="A194" s="17" t="inlineStr">
        <is>
          <t>2022</t>
        </is>
      </c>
      <c r="B194" s="17" t="inlineStr">
        <is>
          <t>&lt;10x</t>
        </is>
      </c>
      <c r="C194" s="167" t="n">
        <v>54</v>
      </c>
      <c r="D194" s="179" t="n">
        <v>0</v>
      </c>
      <c r="E194" s="173" t="n">
        <v>31</v>
      </c>
    </row>
    <row r="195">
      <c r="A195" s="17" t="inlineStr">
        <is>
          <t>2023</t>
        </is>
      </c>
      <c r="B195" s="17" t="inlineStr">
        <is>
          <t>10-100x</t>
        </is>
      </c>
      <c r="C195" s="167" t="n">
        <v>26</v>
      </c>
      <c r="D195" s="179" t="n">
        <v>6.2</v>
      </c>
      <c r="E195" s="173" t="n">
        <v>62</v>
      </c>
    </row>
    <row r="196">
      <c r="A196" s="17" t="inlineStr">
        <is>
          <t>2023</t>
        </is>
      </c>
      <c r="B196" s="17" t="inlineStr">
        <is>
          <t>100-1000x</t>
        </is>
      </c>
      <c r="C196" s="167" t="n">
        <v>1</v>
      </c>
      <c r="D196" s="179" t="n">
        <v>0</v>
      </c>
      <c r="E196" s="173" t="n">
        <v>0</v>
      </c>
    </row>
    <row r="197">
      <c r="A197" s="17" t="inlineStr">
        <is>
          <t>2023</t>
        </is>
      </c>
      <c r="B197" s="17" t="inlineStr">
        <is>
          <t>&lt;10x</t>
        </is>
      </c>
      <c r="C197" s="167" t="n">
        <v>41</v>
      </c>
      <c r="D197" s="179" t="n">
        <v>0.3</v>
      </c>
      <c r="E197" s="173" t="n">
        <v>51</v>
      </c>
    </row>
    <row r="198">
      <c r="A198" s="17" t="inlineStr">
        <is>
          <t>2024</t>
        </is>
      </c>
      <c r="B198" s="17" t="inlineStr">
        <is>
          <t>10-100x</t>
        </is>
      </c>
      <c r="C198" s="167" t="n">
        <v>23</v>
      </c>
      <c r="D198" s="179" t="n">
        <v>7.5</v>
      </c>
      <c r="E198" s="173" t="n">
        <v>65</v>
      </c>
    </row>
    <row r="199">
      <c r="A199" s="17" t="inlineStr">
        <is>
          <t>2024</t>
        </is>
      </c>
      <c r="B199" s="17" t="inlineStr">
        <is>
          <t>100-1000x</t>
        </is>
      </c>
      <c r="C199" s="167" t="n">
        <v>20</v>
      </c>
      <c r="D199" s="179" t="n">
        <v>5</v>
      </c>
      <c r="E199" s="173" t="n">
        <v>55</v>
      </c>
    </row>
    <row r="200">
      <c r="A200" s="17" t="inlineStr">
        <is>
          <t>2024</t>
        </is>
      </c>
      <c r="B200" s="17" t="inlineStr">
        <is>
          <t>&lt;10x</t>
        </is>
      </c>
      <c r="C200" s="167" t="n">
        <v>21</v>
      </c>
      <c r="D200" s="179" t="n">
        <v>0.2</v>
      </c>
      <c r="E200" s="173" t="n">
        <v>57</v>
      </c>
    </row>
    <row r="201">
      <c r="A201" s="17" t="inlineStr">
        <is>
          <t>2024</t>
        </is>
      </c>
      <c r="B201" s="17" t="inlineStr">
        <is>
          <t>&gt;=1000x</t>
        </is>
      </c>
      <c r="C201" s="167" t="n">
        <v>3</v>
      </c>
      <c r="D201" s="179" t="n">
        <v>47.6</v>
      </c>
      <c r="E201" s="173" t="n">
        <v>100</v>
      </c>
    </row>
    <row r="202">
      <c r="A202" s="17" t="inlineStr">
        <is>
          <t>2025</t>
        </is>
      </c>
      <c r="B202" s="17" t="inlineStr">
        <is>
          <t>10-100x</t>
        </is>
      </c>
      <c r="C202" s="167" t="n">
        <v>24</v>
      </c>
      <c r="D202" s="179" t="n">
        <v>0</v>
      </c>
      <c r="E202" s="173" t="n">
        <v>42</v>
      </c>
    </row>
    <row r="203">
      <c r="A203" s="17" t="inlineStr">
        <is>
          <t>2025</t>
        </is>
      </c>
      <c r="B203" s="17" t="inlineStr">
        <is>
          <t>100-1000x</t>
        </is>
      </c>
      <c r="C203" s="167" t="n">
        <v>40</v>
      </c>
      <c r="D203" s="179" t="n">
        <v>6.5</v>
      </c>
      <c r="E203" s="173" t="n">
        <v>65</v>
      </c>
    </row>
    <row r="204">
      <c r="A204" s="17" t="inlineStr">
        <is>
          <t>2025</t>
        </is>
      </c>
      <c r="B204" s="17" t="inlineStr">
        <is>
          <t>&lt;10x</t>
        </is>
      </c>
      <c r="C204" s="167" t="n">
        <v>9</v>
      </c>
      <c r="D204" s="179" t="n">
        <v>0.8</v>
      </c>
      <c r="E204" s="173" t="n">
        <v>56</v>
      </c>
    </row>
    <row r="205">
      <c r="A205" s="17" t="inlineStr">
        <is>
          <t>2025</t>
        </is>
      </c>
      <c r="B205" s="17" t="inlineStr">
        <is>
          <t>&gt;=1000x</t>
        </is>
      </c>
      <c r="C205" s="167" t="n">
        <v>39</v>
      </c>
      <c r="D205" s="179" t="n">
        <v>78.7</v>
      </c>
      <c r="E205" s="173" t="n">
        <v>92</v>
      </c>
    </row>
    <row r="206">
      <c r="A206" s="17" t="inlineStr">
        <is>
          <t>2026</t>
        </is>
      </c>
      <c r="B206" s="17" t="inlineStr">
        <is>
          <t>10-100x</t>
        </is>
      </c>
      <c r="C206" s="167" t="n">
        <v>10</v>
      </c>
      <c r="D206" s="179" t="n">
        <v>-1.5</v>
      </c>
      <c r="E206" s="173" t="n">
        <v>30</v>
      </c>
    </row>
    <row r="207">
      <c r="A207" s="17" t="inlineStr">
        <is>
          <t>2026</t>
        </is>
      </c>
      <c r="B207" s="17" t="inlineStr">
        <is>
          <t>100-1000x</t>
        </is>
      </c>
      <c r="C207" s="167" t="n">
        <v>32</v>
      </c>
      <c r="D207" s="179" t="n">
        <v>3.6</v>
      </c>
      <c r="E207" s="173" t="n">
        <v>59</v>
      </c>
    </row>
    <row r="208">
      <c r="A208" s="17" t="inlineStr">
        <is>
          <t>2026</t>
        </is>
      </c>
      <c r="B208" s="17" t="inlineStr">
        <is>
          <t>&lt;10x</t>
        </is>
      </c>
      <c r="C208" s="167" t="n">
        <v>5</v>
      </c>
      <c r="D208" s="179" t="n">
        <v>-0.1</v>
      </c>
      <c r="E208" s="173" t="n">
        <v>40</v>
      </c>
    </row>
    <row r="209">
      <c r="A209" s="17" t="inlineStr">
        <is>
          <t>2026</t>
        </is>
      </c>
      <c r="B209" s="17" t="inlineStr">
        <is>
          <t>&gt;=1000x</t>
        </is>
      </c>
      <c r="C209" s="167" t="n">
        <v>59</v>
      </c>
      <c r="D209" s="179" t="n">
        <v>76.2</v>
      </c>
      <c r="E209" s="173"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5" t="inlineStr">
        <is>
          <t>Bucket</t>
        </is>
      </c>
      <c r="B4" s="165"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1" t="inlineStr">
        <is>
          <t>2021</t>
        </is>
      </c>
      <c r="E5" s="54">
        <f>COUNTIFS(Database!$H$5:$H$521,"&gt;="&amp;DATE(2021,1,1),Database!$H$5:$H$521,"&lt;="&amp;DATE(2021,12,31),Database!$I$5:$I$521,"&gt;="&amp;$B$5)</f>
        <v/>
      </c>
      <c r="F5" s="54">
        <f>COUNTIFS(Database!$H$5:$H$521,"&gt;="&amp;DATE(2021,1,1),Database!$H$5:$H$521,"&lt;="&amp;DATE(2021,12,31),Database!$I$5:$I$521,"&gt;="&amp;$B$6,Database!$I$5:$I$521,"&lt;"&amp;$B$5)</f>
        <v/>
      </c>
      <c r="G5" s="54">
        <f>COUNTIFS(Database!$H$5:$H$521,"&gt;="&amp;DATE(2021,1,1),Database!$H$5:$H$521,"&lt;="&amp;DATE(2021,12,31),Database!$I$5:$I$521,"&gt;="&amp;$B$7,Database!$I$5:$I$521,"&lt;"&amp;$B$6)</f>
        <v/>
      </c>
      <c r="H5" s="54">
        <f>COUNTIFS(Database!$H$5:$H$521,"&gt;="&amp;DATE(2021,1,1),Database!$H$5:$H$521,"&lt;="&amp;DATE(2021,12,31),Database!$I$5:$I$521,"&gt;="&amp;$B$8,Database!$I$5:$I$521,"&lt;"&amp;$B$7)</f>
        <v/>
      </c>
      <c r="I5" s="26">
        <f>SUMIFS(Database!$I$5:$I$521,Database!$H$5:$H$521,"&gt;="&amp;DATE(2021,1,1),Database!$H$5:$H$521,"&lt;="&amp;DATE(2021,12,31))/1000</f>
        <v/>
      </c>
    </row>
    <row r="6">
      <c r="A6" s="17" t="inlineStr">
        <is>
          <t>Large</t>
        </is>
      </c>
      <c r="B6" s="20" t="n">
        <v>5000</v>
      </c>
      <c r="D6" s="181" t="inlineStr">
        <is>
          <t>2022</t>
        </is>
      </c>
      <c r="E6" s="54">
        <f>COUNTIFS(Database!$H$5:$H$521,"&gt;="&amp;DATE(2022,1,1),Database!$H$5:$H$521,"&lt;="&amp;DATE(2022,12,31),Database!$I$5:$I$521,"&gt;="&amp;$B$5)</f>
        <v/>
      </c>
      <c r="F6" s="54">
        <f>COUNTIFS(Database!$H$5:$H$521,"&gt;="&amp;DATE(2022,1,1),Database!$H$5:$H$521,"&lt;="&amp;DATE(2022,12,31),Database!$I$5:$I$521,"&gt;="&amp;$B$6,Database!$I$5:$I$521,"&lt;"&amp;$B$5)</f>
        <v/>
      </c>
      <c r="G6" s="54">
        <f>COUNTIFS(Database!$H$5:$H$521,"&gt;="&amp;DATE(2022,1,1),Database!$H$5:$H$521,"&lt;="&amp;DATE(2022,12,31),Database!$I$5:$I$521,"&gt;="&amp;$B$7,Database!$I$5:$I$521,"&lt;"&amp;$B$6)</f>
        <v/>
      </c>
      <c r="H6" s="54">
        <f>COUNTIFS(Database!$H$5:$H$521,"&gt;="&amp;DATE(2022,1,1),Database!$H$5:$H$521,"&lt;="&amp;DATE(2022,12,31),Database!$I$5:$I$521,"&gt;="&amp;$B$8,Database!$I$5:$I$521,"&lt;"&amp;$B$7)</f>
        <v/>
      </c>
      <c r="I6" s="26">
        <f>SUMIFS(Database!$I$5:$I$521,Database!$H$5:$H$521,"&gt;="&amp;DATE(2022,1,1),Database!$H$5:$H$521,"&lt;="&amp;DATE(2022,12,31))/1000</f>
        <v/>
      </c>
    </row>
    <row r="7">
      <c r="A7" s="17" t="inlineStr">
        <is>
          <t>Mid</t>
        </is>
      </c>
      <c r="B7" s="20" t="n">
        <v>1000</v>
      </c>
      <c r="D7" s="181" t="inlineStr">
        <is>
          <t>2023</t>
        </is>
      </c>
      <c r="E7" s="54">
        <f>COUNTIFS(Database!$H$5:$H$521,"&gt;="&amp;DATE(2023,1,1),Database!$H$5:$H$521,"&lt;="&amp;DATE(2023,12,31),Database!$I$5:$I$521,"&gt;="&amp;$B$5)</f>
        <v/>
      </c>
      <c r="F7" s="54">
        <f>COUNTIFS(Database!$H$5:$H$521,"&gt;="&amp;DATE(2023,1,1),Database!$H$5:$H$521,"&lt;="&amp;DATE(2023,12,31),Database!$I$5:$I$521,"&gt;="&amp;$B$6,Database!$I$5:$I$521,"&lt;"&amp;$B$5)</f>
        <v/>
      </c>
      <c r="G7" s="54">
        <f>COUNTIFS(Database!$H$5:$H$521,"&gt;="&amp;DATE(2023,1,1),Database!$H$5:$H$521,"&lt;="&amp;DATE(2023,12,31),Database!$I$5:$I$521,"&gt;="&amp;$B$7,Database!$I$5:$I$521,"&lt;"&amp;$B$6)</f>
        <v/>
      </c>
      <c r="H7" s="54">
        <f>COUNTIFS(Database!$H$5:$H$521,"&gt;="&amp;DATE(2023,1,1),Database!$H$5:$H$521,"&lt;="&amp;DATE(2023,12,31),Database!$I$5:$I$521,"&gt;="&amp;$B$8,Database!$I$5:$I$521,"&lt;"&amp;$B$7)</f>
        <v/>
      </c>
      <c r="I7" s="26">
        <f>SUMIFS(Database!$I$5:$I$521,Database!$H$5:$H$521,"&gt;="&amp;DATE(2023,1,1),Database!$H$5:$H$521,"&lt;="&amp;DATE(2023,12,31))/1000</f>
        <v/>
      </c>
    </row>
    <row r="8">
      <c r="A8" s="17" t="inlineStr">
        <is>
          <t>Small</t>
        </is>
      </c>
      <c r="B8" s="20" t="n">
        <v>0</v>
      </c>
      <c r="D8" s="181" t="inlineStr">
        <is>
          <t>2024</t>
        </is>
      </c>
      <c r="E8" s="54">
        <f>COUNTIFS(Database!$H$5:$H$521,"&gt;="&amp;DATE(2024,1,1),Database!$H$5:$H$521,"&lt;="&amp;DATE(2024,12,31),Database!$I$5:$I$521,"&gt;="&amp;$B$5)</f>
        <v/>
      </c>
      <c r="F8" s="54">
        <f>COUNTIFS(Database!$H$5:$H$521,"&gt;="&amp;DATE(2024,1,1),Database!$H$5:$H$521,"&lt;="&amp;DATE(2024,12,31),Database!$I$5:$I$521,"&gt;="&amp;$B$6,Database!$I$5:$I$521,"&lt;"&amp;$B$5)</f>
        <v/>
      </c>
      <c r="G8" s="54">
        <f>COUNTIFS(Database!$H$5:$H$521,"&gt;="&amp;DATE(2024,1,1),Database!$H$5:$H$521,"&lt;="&amp;DATE(2024,12,31),Database!$I$5:$I$521,"&gt;="&amp;$B$7,Database!$I$5:$I$521,"&lt;"&amp;$B$6)</f>
        <v/>
      </c>
      <c r="H8" s="54">
        <f>COUNTIFS(Database!$H$5:$H$521,"&gt;="&amp;DATE(2024,1,1),Database!$H$5:$H$521,"&lt;="&amp;DATE(2024,12,31),Database!$I$5:$I$521,"&gt;="&amp;$B$8,Database!$I$5:$I$521,"&lt;"&amp;$B$7)</f>
        <v/>
      </c>
      <c r="I8" s="26">
        <f>SUMIFS(Database!$I$5:$I$521,Database!$H$5:$H$521,"&gt;="&amp;DATE(2024,1,1),Database!$H$5:$H$521,"&lt;="&amp;DATE(2024,12,31))/1000</f>
        <v/>
      </c>
    </row>
    <row r="9">
      <c r="D9" s="181" t="inlineStr">
        <is>
          <t>2025</t>
        </is>
      </c>
      <c r="E9" s="54">
        <f>COUNTIFS(Database!$H$5:$H$521,"&gt;="&amp;DATE(2025,1,1),Database!$H$5:$H$521,"&lt;="&amp;DATE(2025,12,31),Database!$I$5:$I$521,"&gt;="&amp;$B$5)</f>
        <v/>
      </c>
      <c r="F9" s="54">
        <f>COUNTIFS(Database!$H$5:$H$521,"&gt;="&amp;DATE(2025,1,1),Database!$H$5:$H$521,"&lt;="&amp;DATE(2025,12,31),Database!$I$5:$I$521,"&gt;="&amp;$B$6,Database!$I$5:$I$521,"&lt;"&amp;$B$5)</f>
        <v/>
      </c>
      <c r="G9" s="54">
        <f>COUNTIFS(Database!$H$5:$H$521,"&gt;="&amp;DATE(2025,1,1),Database!$H$5:$H$521,"&lt;="&amp;DATE(2025,12,31),Database!$I$5:$I$521,"&gt;="&amp;$B$7,Database!$I$5:$I$521,"&lt;"&amp;$B$6)</f>
        <v/>
      </c>
      <c r="H9" s="54">
        <f>COUNTIFS(Database!$H$5:$H$521,"&gt;="&amp;DATE(2025,1,1),Database!$H$5:$H$521,"&lt;="&amp;DATE(2025,12,31),Database!$I$5:$I$521,"&gt;="&amp;$B$8,Database!$I$5:$I$521,"&lt;"&amp;$B$7)</f>
        <v/>
      </c>
      <c r="I9" s="26">
        <f>SUMIFS(Database!$I$5:$I$521,Database!$H$5:$H$521,"&gt;="&amp;DATE(2025,1,1),Database!$H$5:$H$521,"&lt;="&amp;DATE(2025,12,31))/1000</f>
        <v/>
      </c>
    </row>
    <row r="10">
      <c r="D10" s="181" t="inlineStr">
        <is>
          <t>2026</t>
        </is>
      </c>
      <c r="E10" s="54">
        <f>COUNTIFS(Database!$H$5:$H$521,"&gt;="&amp;DATE(2026,1,1),Database!$H$5:$H$521,"&lt;="&amp;DATE(2026,12,31),Database!$I$5:$I$521,"&gt;="&amp;$B$5)</f>
        <v/>
      </c>
      <c r="F10" s="54">
        <f>COUNTIFS(Database!$H$5:$H$521,"&gt;="&amp;DATE(2026,1,1),Database!$H$5:$H$521,"&lt;="&amp;DATE(2026,12,31),Database!$I$5:$I$521,"&gt;="&amp;$B$6,Database!$I$5:$I$521,"&lt;"&amp;$B$5)</f>
        <v/>
      </c>
      <c r="G10" s="54">
        <f>COUNTIFS(Database!$H$5:$H$521,"&gt;="&amp;DATE(2026,1,1),Database!$H$5:$H$521,"&lt;="&amp;DATE(2026,12,31),Database!$I$5:$I$521,"&gt;="&amp;$B$7,Database!$I$5:$I$521,"&lt;"&amp;$B$6)</f>
        <v/>
      </c>
      <c r="H10" s="54">
        <f>COUNTIFS(Database!$H$5:$H$521,"&gt;="&amp;DATE(2026,1,1),Database!$H$5:$H$521,"&lt;="&amp;DATE(2026,12,31),Database!$I$5:$I$521,"&gt;="&amp;$B$8,Database!$I$5:$I$521,"&lt;"&amp;$B$7)</f>
        <v/>
      </c>
      <c r="I10" s="26">
        <f>SUMIFS(Database!$I$5:$I$521,Database!$H$5:$H$521,"&gt;="&amp;DATE(2026,1,1),Database!$H$5:$H$521,"&lt;="&amp;DATE(2026,12,31))/1000</f>
        <v/>
      </c>
    </row>
    <row r="11"/>
    <row r="12">
      <c r="A12" s="165"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0" t="inlineStr">
        <is>
          <t>3308</t>
        </is>
      </c>
      <c r="B14" s="17" t="inlineStr">
        <is>
          <t>ZJ INNOLIGHT</t>
        </is>
      </c>
      <c r="C14" s="177" t="inlineStr">
        <is>
          <t>2026-07-30</t>
        </is>
      </c>
      <c r="D14" s="176" t="n">
        <v>53410</v>
      </c>
      <c r="E14" s="17" t="inlineStr">
        <is>
          <t>Smart hardware / consumer electronics</t>
        </is>
      </c>
    </row>
    <row r="15">
      <c r="A15" s="170" t="inlineStr">
        <is>
          <t>1024</t>
        </is>
      </c>
      <c r="B15" s="17" t="inlineStr">
        <is>
          <t>KUAISHOU-W</t>
        </is>
      </c>
      <c r="C15" s="177" t="inlineStr">
        <is>
          <t>2021-02-05</t>
        </is>
      </c>
      <c r="D15" s="176" t="n">
        <v>42000.1</v>
      </c>
      <c r="E15" s="17" t="inlineStr">
        <is>
          <t>Internet platform / e-commerce</t>
        </is>
      </c>
    </row>
    <row r="16">
      <c r="A16" s="170" t="inlineStr">
        <is>
          <t>3750</t>
        </is>
      </c>
      <c r="B16" s="17" t="inlineStr">
        <is>
          <t>CATL</t>
        </is>
      </c>
      <c r="C16" s="177" t="inlineStr">
        <is>
          <t>2025-05-20</t>
        </is>
      </c>
      <c r="D16" s="176" t="n">
        <v>35657.2</v>
      </c>
      <c r="E16" s="17" t="inlineStr">
        <is>
          <t>Batteries / energy storage</t>
        </is>
      </c>
    </row>
    <row r="17">
      <c r="A17" s="170" t="inlineStr">
        <is>
          <t>0300</t>
        </is>
      </c>
      <c r="B17" s="17" t="inlineStr">
        <is>
          <t>MIDEA GROUP</t>
        </is>
      </c>
      <c r="C17" s="177" t="inlineStr">
        <is>
          <t>2024-09-17</t>
        </is>
      </c>
      <c r="D17" s="176" t="n">
        <v>31014</v>
      </c>
      <c r="E17" s="17" t="inlineStr">
        <is>
          <t>Smart hardware / consumer electronics</t>
        </is>
      </c>
    </row>
    <row r="18">
      <c r="A18" s="170" t="inlineStr">
        <is>
          <t>2259</t>
        </is>
      </c>
      <c r="B18" s="17" t="inlineStr">
        <is>
          <t>ZIJIN GOLD INTL</t>
        </is>
      </c>
      <c r="C18" s="177" t="inlineStr">
        <is>
          <t>2025-09-30</t>
        </is>
      </c>
      <c r="D18" s="176" t="n">
        <v>24984.2</v>
      </c>
      <c r="E18" s="17" t="inlineStr">
        <is>
          <t>Mining / metals</t>
        </is>
      </c>
    </row>
    <row r="19">
      <c r="A19" s="170" t="inlineStr">
        <is>
          <t>2618</t>
        </is>
      </c>
      <c r="B19" s="17" t="inlineStr">
        <is>
          <t>JD LOGISTICS</t>
        </is>
      </c>
      <c r="C19" s="177" t="inlineStr">
        <is>
          <t>2021-05-28</t>
        </is>
      </c>
      <c r="D19" s="176" t="n">
        <v>24585.7</v>
      </c>
      <c r="E19" s="17" t="inlineStr">
        <is>
          <t>Logistics</t>
        </is>
      </c>
    </row>
    <row r="20">
      <c r="A20" s="170" t="inlineStr">
        <is>
          <t>2475</t>
        </is>
      </c>
      <c r="B20" s="17" t="inlineStr">
        <is>
          <t>LUXSHARE ICT</t>
        </is>
      </c>
      <c r="C20" s="177" t="inlineStr">
        <is>
          <t>2026-07-09</t>
        </is>
      </c>
      <c r="D20" s="176" t="n">
        <v>24266.2</v>
      </c>
      <c r="E20" s="17" t="inlineStr">
        <is>
          <t>Smart hardware / consumer electronics</t>
        </is>
      </c>
    </row>
    <row r="21">
      <c r="A21" s="170" t="inlineStr">
        <is>
          <t>9888</t>
        </is>
      </c>
      <c r="B21" s="17" t="inlineStr">
        <is>
          <t>BIDU-SW</t>
        </is>
      </c>
      <c r="C21" s="177" t="inlineStr">
        <is>
          <t>2021-03-23</t>
        </is>
      </c>
      <c r="D21" s="176" t="n">
        <v>23940</v>
      </c>
      <c r="E21" s="17" t="inlineStr">
        <is>
          <t>Internet platform / e-commerce</t>
        </is>
      </c>
    </row>
    <row r="22">
      <c r="A22" s="170" t="inlineStr">
        <is>
          <t>9626</t>
        </is>
      </c>
      <c r="B22" s="17" t="inlineStr">
        <is>
          <t>BILIBILI-SW</t>
        </is>
      </c>
      <c r="C22" s="177" t="inlineStr">
        <is>
          <t>2021-03-29</t>
        </is>
      </c>
      <c r="D22" s="176" t="n">
        <v>20200</v>
      </c>
      <c r="E22" s="17" t="inlineStr">
        <is>
          <t>Internet platform / e-commerce</t>
        </is>
      </c>
    </row>
    <row r="23">
      <c r="A23" s="170" t="inlineStr">
        <is>
          <t>2476</t>
        </is>
      </c>
      <c r="B23" s="17" t="inlineStr">
        <is>
          <t>VGT</t>
        </is>
      </c>
      <c r="C23" s="177" t="inlineStr">
        <is>
          <t>2026-04-21</t>
        </is>
      </c>
      <c r="D23" s="176" t="n">
        <v>20117</v>
      </c>
      <c r="E23" s="17" t="inlineStr">
        <is>
          <t>Smart hardware / consumer electronics</t>
        </is>
      </c>
    </row>
    <row r="24">
      <c r="A24" s="170" t="inlineStr">
        <is>
          <t>2378</t>
        </is>
      </c>
      <c r="B24" s="17" t="inlineStr">
        <is>
          <t>PRU</t>
        </is>
      </c>
      <c r="C24" s="177" t="inlineStr">
        <is>
          <t>2021-10-04</t>
        </is>
      </c>
      <c r="D24" s="176" t="n">
        <v>18500</v>
      </c>
      <c r="E24" s="17" t="inlineStr">
        <is>
          <t>Insurance</t>
        </is>
      </c>
    </row>
    <row r="25">
      <c r="A25" s="170" t="inlineStr">
        <is>
          <t>1880</t>
        </is>
      </c>
      <c r="B25" s="17" t="inlineStr">
        <is>
          <t>CTG DUTY-FREE</t>
        </is>
      </c>
      <c r="C25" s="177" t="inlineStr">
        <is>
          <t>2022-08-25</t>
        </is>
      </c>
      <c r="D25" s="176" t="n">
        <v>16236.4</v>
      </c>
      <c r="E25" s="17" t="inlineStr">
        <is>
          <t>Retail / distribution</t>
        </is>
      </c>
    </row>
    <row r="26">
      <c r="A26" s="170" t="inlineStr">
        <is>
          <t>9927</t>
        </is>
      </c>
      <c r="B26" s="17" t="inlineStr">
        <is>
          <t>SERES</t>
        </is>
      </c>
      <c r="C26" s="177" t="inlineStr">
        <is>
          <t>2025-11-05</t>
        </is>
      </c>
      <c r="D26" s="176" t="n">
        <v>14283.4</v>
      </c>
      <c r="E26" s="17" t="inlineStr">
        <is>
          <t>Autos (NEV OEM)</t>
        </is>
      </c>
    </row>
    <row r="27">
      <c r="A27" s="170" t="inlineStr">
        <is>
          <t>9868</t>
        </is>
      </c>
      <c r="B27" s="17" t="inlineStr">
        <is>
          <t>XPENG-W</t>
        </is>
      </c>
      <c r="C27" s="177" t="inlineStr">
        <is>
          <t>2021-07-07</t>
        </is>
      </c>
      <c r="D27" s="176" t="n">
        <v>14025</v>
      </c>
      <c r="E27" s="17" t="inlineStr">
        <is>
          <t>Autos (NEV OEM)</t>
        </is>
      </c>
    </row>
    <row r="28">
      <c r="A28" s="170" t="inlineStr">
        <is>
          <t>0625</t>
        </is>
      </c>
      <c r="B28" s="17" t="inlineStr">
        <is>
          <t>SHEIN-W</t>
        </is>
      </c>
      <c r="C28" s="177" t="inlineStr">
        <is>
          <t>2026-09-01</t>
        </is>
      </c>
      <c r="D28" s="176"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2">
        <f>IF($B5="","",IFERROR(BDP($B5&amp;" Action","CP036"),""))</f>
        <v/>
      </c>
      <c r="D5" s="183">
        <f>Database!S5</f>
        <v/>
      </c>
      <c r="E5" s="182">
        <f>IF($B5="","",IFERROR(BDP($B5&amp;" Action","CP037"),""))</f>
        <v/>
      </c>
      <c r="F5" s="183">
        <f>Database!T5</f>
        <v/>
      </c>
      <c r="G5" s="182">
        <f>IF($B5="","",IFERROR(BDP($B5&amp;" Action","GREENSHOE_FACILITY"),""))</f>
        <v/>
      </c>
      <c r="H5" s="182">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76">
        <f>Database!Q5</f>
        <v/>
      </c>
      <c r="O5" s="24">
        <f>IFERROR(BDH(Database!$A5&amp;" HK Equity","PE_RATIO",Database!$H5,Database!$H5),"")</f>
        <v/>
      </c>
      <c r="P5" s="180">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82">
        <f>IF($B6="","",IFERROR(BDP($B6&amp;" Action","CP036"),""))</f>
        <v/>
      </c>
      <c r="D6" s="183">
        <f>Database!S6</f>
        <v/>
      </c>
      <c r="E6" s="182">
        <f>IF($B6="","",IFERROR(BDP($B6&amp;" Action","CP037"),""))</f>
        <v/>
      </c>
      <c r="F6" s="183">
        <f>Database!T6</f>
        <v/>
      </c>
      <c r="G6" s="182">
        <f>IF($B6="","",IFERROR(BDP($B6&amp;" Action","GREENSHOE_FACILITY"),""))</f>
        <v/>
      </c>
      <c r="H6" s="182">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76">
        <f>Database!Q6</f>
        <v/>
      </c>
      <c r="O6" s="24">
        <f>IFERROR(BDH(Database!$A6&amp;" HK Equity","PE_RATIO",Database!$H6,Database!$H6),"")</f>
        <v/>
      </c>
      <c r="P6" s="180">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82">
        <f>IF($B7="","",IFERROR(BDP($B7&amp;" Action","CP036"),""))</f>
        <v/>
      </c>
      <c r="D7" s="183">
        <f>Database!S7</f>
        <v/>
      </c>
      <c r="E7" s="182">
        <f>IF($B7="","",IFERROR(BDP($B7&amp;" Action","CP037"),""))</f>
        <v/>
      </c>
      <c r="F7" s="183">
        <f>Database!T7</f>
        <v/>
      </c>
      <c r="G7" s="182">
        <f>IF($B7="","",IFERROR(BDP($B7&amp;" Action","GREENSHOE_FACILITY"),""))</f>
        <v/>
      </c>
      <c r="H7" s="182">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76">
        <f>Database!Q7</f>
        <v/>
      </c>
      <c r="O7" s="24">
        <f>IFERROR(BDH(Database!$A7&amp;" HK Equity","PE_RATIO",Database!$H7,Database!$H7),"")</f>
        <v/>
      </c>
      <c r="P7" s="180">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82">
        <f>IF($B8="","",IFERROR(BDP($B8&amp;" Action","CP036"),""))</f>
        <v/>
      </c>
      <c r="D8" s="183">
        <f>Database!S8</f>
        <v/>
      </c>
      <c r="E8" s="182">
        <f>IF($B8="","",IFERROR(BDP($B8&amp;" Action","CP037"),""))</f>
        <v/>
      </c>
      <c r="F8" s="183">
        <f>Database!T8</f>
        <v/>
      </c>
      <c r="G8" s="182">
        <f>IF($B8="","",IFERROR(BDP($B8&amp;" Action","GREENSHOE_FACILITY"),""))</f>
        <v/>
      </c>
      <c r="H8" s="182">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76">
        <f>Database!Q8</f>
        <v/>
      </c>
      <c r="O8" s="24">
        <f>IFERROR(BDH(Database!$A8&amp;" HK Equity","PE_RATIO",Database!$H8,Database!$H8),"")</f>
        <v/>
      </c>
      <c r="P8" s="180">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82">
        <f>IF($B9="","",IFERROR(BDP($B9&amp;" Action","CP036"),""))</f>
        <v/>
      </c>
      <c r="D9" s="183">
        <f>Database!S9</f>
        <v/>
      </c>
      <c r="E9" s="182">
        <f>IF($B9="","",IFERROR(BDP($B9&amp;" Action","CP037"),""))</f>
        <v/>
      </c>
      <c r="F9" s="183">
        <f>Database!T9</f>
        <v/>
      </c>
      <c r="G9" s="182">
        <f>IF($B9="","",IFERROR(BDP($B9&amp;" Action","GREENSHOE_FACILITY"),""))</f>
        <v/>
      </c>
      <c r="H9" s="182">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76">
        <f>Database!Q9</f>
        <v/>
      </c>
      <c r="O9" s="24">
        <f>IFERROR(BDH(Database!$A9&amp;" HK Equity","PE_RATIO",Database!$H9,Database!$H9),"")</f>
        <v/>
      </c>
      <c r="P9" s="180">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82">
        <f>IF($B10="","",IFERROR(BDP($B10&amp;" Action","CP036"),""))</f>
        <v/>
      </c>
      <c r="D10" s="183">
        <f>Database!S10</f>
        <v/>
      </c>
      <c r="E10" s="182">
        <f>IF($B10="","",IFERROR(BDP($B10&amp;" Action","CP037"),""))</f>
        <v/>
      </c>
      <c r="F10" s="183">
        <f>Database!T10</f>
        <v/>
      </c>
      <c r="G10" s="182">
        <f>IF($B10="","",IFERROR(BDP($B10&amp;" Action","GREENSHOE_FACILITY"),""))</f>
        <v/>
      </c>
      <c r="H10" s="182">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76">
        <f>Database!Q10</f>
        <v/>
      </c>
      <c r="O10" s="24">
        <f>IFERROR(BDH(Database!$A10&amp;" HK Equity","PE_RATIO",Database!$H10,Database!$H10),"")</f>
        <v/>
      </c>
      <c r="P10" s="180">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82">
        <f>IF($B11="","",IFERROR(BDP($B11&amp;" Action","CP036"),""))</f>
        <v/>
      </c>
      <c r="D11" s="183">
        <f>Database!S11</f>
        <v/>
      </c>
      <c r="E11" s="182">
        <f>IF($B11="","",IFERROR(BDP($B11&amp;" Action","CP037"),""))</f>
        <v/>
      </c>
      <c r="F11" s="183">
        <f>Database!T11</f>
        <v/>
      </c>
      <c r="G11" s="182">
        <f>IF($B11="","",IFERROR(BDP($B11&amp;" Action","GREENSHOE_FACILITY"),""))</f>
        <v/>
      </c>
      <c r="H11" s="182">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76">
        <f>Database!Q11</f>
        <v/>
      </c>
      <c r="O11" s="24">
        <f>IFERROR(BDH(Database!$A11&amp;" HK Equity","PE_RATIO",Database!$H11,Database!$H11),"")</f>
        <v/>
      </c>
      <c r="P11" s="180">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82">
        <f>IF($B12="","",IFERROR(BDP($B12&amp;" Action","CP036"),""))</f>
        <v/>
      </c>
      <c r="D12" s="183">
        <f>Database!S12</f>
        <v/>
      </c>
      <c r="E12" s="182">
        <f>IF($B12="","",IFERROR(BDP($B12&amp;" Action","CP037"),""))</f>
        <v/>
      </c>
      <c r="F12" s="183">
        <f>Database!T12</f>
        <v/>
      </c>
      <c r="G12" s="182">
        <f>IF($B12="","",IFERROR(BDP($B12&amp;" Action","GREENSHOE_FACILITY"),""))</f>
        <v/>
      </c>
      <c r="H12" s="182">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76">
        <f>Database!Q12</f>
        <v/>
      </c>
      <c r="O12" s="24">
        <f>IFERROR(BDH(Database!$A12&amp;" HK Equity","PE_RATIO",Database!$H12,Database!$H12),"")</f>
        <v/>
      </c>
      <c r="P12" s="180">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82">
        <f>IF($B13="","",IFERROR(BDP($B13&amp;" Action","CP036"),""))</f>
        <v/>
      </c>
      <c r="D13" s="183">
        <f>Database!S13</f>
        <v/>
      </c>
      <c r="E13" s="182">
        <f>IF($B13="","",IFERROR(BDP($B13&amp;" Action","CP037"),""))</f>
        <v/>
      </c>
      <c r="F13" s="183">
        <f>Database!T13</f>
        <v/>
      </c>
      <c r="G13" s="182">
        <f>IF($B13="","",IFERROR(BDP($B13&amp;" Action","GREENSHOE_FACILITY"),""))</f>
        <v/>
      </c>
      <c r="H13" s="182">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76">
        <f>Database!Q13</f>
        <v/>
      </c>
      <c r="O13" s="24">
        <f>IFERROR(BDH(Database!$A13&amp;" HK Equity","PE_RATIO",Database!$H13,Database!$H13),"")</f>
        <v/>
      </c>
      <c r="P13" s="180">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82">
        <f>IF($B14="","",IFERROR(BDP($B14&amp;" Action","CP036"),""))</f>
        <v/>
      </c>
      <c r="D14" s="183">
        <f>Database!S14</f>
        <v/>
      </c>
      <c r="E14" s="182">
        <f>IF($B14="","",IFERROR(BDP($B14&amp;" Action","CP037"),""))</f>
        <v/>
      </c>
      <c r="F14" s="183">
        <f>Database!T14</f>
        <v/>
      </c>
      <c r="G14" s="182">
        <f>IF($B14="","",IFERROR(BDP($B14&amp;" Action","GREENSHOE_FACILITY"),""))</f>
        <v/>
      </c>
      <c r="H14" s="182">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76">
        <f>Database!Q14</f>
        <v/>
      </c>
      <c r="O14" s="24">
        <f>IFERROR(BDH(Database!$A14&amp;" HK Equity","PE_RATIO",Database!$H14,Database!$H14),"")</f>
        <v/>
      </c>
      <c r="P14" s="180">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82">
        <f>IF($B15="","",IFERROR(BDP($B15&amp;" Action","CP036"),""))</f>
        <v/>
      </c>
      <c r="D15" s="183">
        <f>Database!S15</f>
        <v/>
      </c>
      <c r="E15" s="182">
        <f>IF($B15="","",IFERROR(BDP($B15&amp;" Action","CP037"),""))</f>
        <v/>
      </c>
      <c r="F15" s="183">
        <f>Database!T15</f>
        <v/>
      </c>
      <c r="G15" s="182">
        <f>IF($B15="","",IFERROR(BDP($B15&amp;" Action","GREENSHOE_FACILITY"),""))</f>
        <v/>
      </c>
      <c r="H15" s="182">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76">
        <f>Database!Q15</f>
        <v/>
      </c>
      <c r="O15" s="24">
        <f>IFERROR(BDH(Database!$A15&amp;" HK Equity","PE_RATIO",Database!$H15,Database!$H15),"")</f>
        <v/>
      </c>
      <c r="P15" s="180">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82">
        <f>IF($B16="","",IFERROR(BDP($B16&amp;" Action","CP036"),""))</f>
        <v/>
      </c>
      <c r="D16" s="183">
        <f>Database!S16</f>
        <v/>
      </c>
      <c r="E16" s="182">
        <f>IF($B16="","",IFERROR(BDP($B16&amp;" Action","CP037"),""))</f>
        <v/>
      </c>
      <c r="F16" s="183">
        <f>Database!T16</f>
        <v/>
      </c>
      <c r="G16" s="182">
        <f>IF($B16="","",IFERROR(BDP($B16&amp;" Action","GREENSHOE_FACILITY"),""))</f>
        <v/>
      </c>
      <c r="H16" s="182">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76">
        <f>Database!Q16</f>
        <v/>
      </c>
      <c r="O16" s="24">
        <f>IFERROR(BDH(Database!$A16&amp;" HK Equity","PE_RATIO",Database!$H16,Database!$H16),"")</f>
        <v/>
      </c>
      <c r="P16" s="180">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82">
        <f>IF($B17="","",IFERROR(BDP($B17&amp;" Action","CP036"),""))</f>
        <v/>
      </c>
      <c r="D17" s="183">
        <f>Database!S17</f>
        <v/>
      </c>
      <c r="E17" s="182">
        <f>IF($B17="","",IFERROR(BDP($B17&amp;" Action","CP037"),""))</f>
        <v/>
      </c>
      <c r="F17" s="183">
        <f>Database!T17</f>
        <v/>
      </c>
      <c r="G17" s="182">
        <f>IF($B17="","",IFERROR(BDP($B17&amp;" Action","GREENSHOE_FACILITY"),""))</f>
        <v/>
      </c>
      <c r="H17" s="182">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76">
        <f>Database!Q17</f>
        <v/>
      </c>
      <c r="O17" s="24">
        <f>IFERROR(BDH(Database!$A17&amp;" HK Equity","PE_RATIO",Database!$H17,Database!$H17),"")</f>
        <v/>
      </c>
      <c r="P17" s="180">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82">
        <f>IF($B18="","",IFERROR(BDP($B18&amp;" Action","CP036"),""))</f>
        <v/>
      </c>
      <c r="D18" s="183">
        <f>Database!S18</f>
        <v/>
      </c>
      <c r="E18" s="182">
        <f>IF($B18="","",IFERROR(BDP($B18&amp;" Action","CP037"),""))</f>
        <v/>
      </c>
      <c r="F18" s="183">
        <f>Database!T18</f>
        <v/>
      </c>
      <c r="G18" s="182">
        <f>IF($B18="","",IFERROR(BDP($B18&amp;" Action","GREENSHOE_FACILITY"),""))</f>
        <v/>
      </c>
      <c r="H18" s="182">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76">
        <f>Database!Q18</f>
        <v/>
      </c>
      <c r="O18" s="24">
        <f>IFERROR(BDH(Database!$A18&amp;" HK Equity","PE_RATIO",Database!$H18,Database!$H18),"")</f>
        <v/>
      </c>
      <c r="P18" s="180">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82">
        <f>IF($B19="","",IFERROR(BDP($B19&amp;" Action","CP036"),""))</f>
        <v/>
      </c>
      <c r="D19" s="183">
        <f>Database!S19</f>
        <v/>
      </c>
      <c r="E19" s="182">
        <f>IF($B19="","",IFERROR(BDP($B19&amp;" Action","CP037"),""))</f>
        <v/>
      </c>
      <c r="F19" s="183">
        <f>Database!T19</f>
        <v/>
      </c>
      <c r="G19" s="182">
        <f>IF($B19="","",IFERROR(BDP($B19&amp;" Action","GREENSHOE_FACILITY"),""))</f>
        <v/>
      </c>
      <c r="H19" s="182">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76">
        <f>Database!Q19</f>
        <v/>
      </c>
      <c r="O19" s="24">
        <f>IFERROR(BDH(Database!$A19&amp;" HK Equity","PE_RATIO",Database!$H19,Database!$H19),"")</f>
        <v/>
      </c>
      <c r="P19" s="180">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82">
        <f>IF($B20="","",IFERROR(BDP($B20&amp;" Action","CP036"),""))</f>
        <v/>
      </c>
      <c r="D20" s="183">
        <f>Database!S20</f>
        <v/>
      </c>
      <c r="E20" s="182">
        <f>IF($B20="","",IFERROR(BDP($B20&amp;" Action","CP037"),""))</f>
        <v/>
      </c>
      <c r="F20" s="183">
        <f>Database!T20</f>
        <v/>
      </c>
      <c r="G20" s="182">
        <f>IF($B20="","",IFERROR(BDP($B20&amp;" Action","GREENSHOE_FACILITY"),""))</f>
        <v/>
      </c>
      <c r="H20" s="182">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76">
        <f>Database!Q20</f>
        <v/>
      </c>
      <c r="O20" s="24">
        <f>IFERROR(BDH(Database!$A20&amp;" HK Equity","PE_RATIO",Database!$H20,Database!$H20),"")</f>
        <v/>
      </c>
      <c r="P20" s="180">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82">
        <f>IF($B21="","",IFERROR(BDP($B21&amp;" Action","CP036"),""))</f>
        <v/>
      </c>
      <c r="D21" s="183">
        <f>Database!S21</f>
        <v/>
      </c>
      <c r="E21" s="182">
        <f>IF($B21="","",IFERROR(BDP($B21&amp;" Action","CP037"),""))</f>
        <v/>
      </c>
      <c r="F21" s="183">
        <f>Database!T21</f>
        <v/>
      </c>
      <c r="G21" s="182">
        <f>IF($B21="","",IFERROR(BDP($B21&amp;" Action","GREENSHOE_FACILITY"),""))</f>
        <v/>
      </c>
      <c r="H21" s="182">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76">
        <f>Database!Q21</f>
        <v/>
      </c>
      <c r="O21" s="24">
        <f>IFERROR(BDH(Database!$A21&amp;" HK Equity","PE_RATIO",Database!$H21,Database!$H21),"")</f>
        <v/>
      </c>
      <c r="P21" s="180">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82">
        <f>IF($B22="","",IFERROR(BDP($B22&amp;" Action","CP036"),""))</f>
        <v/>
      </c>
      <c r="D22" s="183">
        <f>Database!S22</f>
        <v/>
      </c>
      <c r="E22" s="182">
        <f>IF($B22="","",IFERROR(BDP($B22&amp;" Action","CP037"),""))</f>
        <v/>
      </c>
      <c r="F22" s="183">
        <f>Database!T22</f>
        <v/>
      </c>
      <c r="G22" s="182">
        <f>IF($B22="","",IFERROR(BDP($B22&amp;" Action","GREENSHOE_FACILITY"),""))</f>
        <v/>
      </c>
      <c r="H22" s="182">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76">
        <f>Database!Q22</f>
        <v/>
      </c>
      <c r="O22" s="24">
        <f>IFERROR(BDH(Database!$A22&amp;" HK Equity","PE_RATIO",Database!$H22,Database!$H22),"")</f>
        <v/>
      </c>
      <c r="P22" s="180">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82">
        <f>IF($B23="","",IFERROR(BDP($B23&amp;" Action","CP036"),""))</f>
        <v/>
      </c>
      <c r="D23" s="183">
        <f>Database!S23</f>
        <v/>
      </c>
      <c r="E23" s="182">
        <f>IF($B23="","",IFERROR(BDP($B23&amp;" Action","CP037"),""))</f>
        <v/>
      </c>
      <c r="F23" s="183">
        <f>Database!T23</f>
        <v/>
      </c>
      <c r="G23" s="182">
        <f>IF($B23="","",IFERROR(BDP($B23&amp;" Action","GREENSHOE_FACILITY"),""))</f>
        <v/>
      </c>
      <c r="H23" s="182">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76">
        <f>Database!Q23</f>
        <v/>
      </c>
      <c r="O23" s="24">
        <f>IFERROR(BDH(Database!$A23&amp;" HK Equity","PE_RATIO",Database!$H23,Database!$H23),"")</f>
        <v/>
      </c>
      <c r="P23" s="180">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82">
        <f>IF($B24="","",IFERROR(BDP($B24&amp;" Action","CP036"),""))</f>
        <v/>
      </c>
      <c r="D24" s="183">
        <f>Database!S24</f>
        <v/>
      </c>
      <c r="E24" s="182">
        <f>IF($B24="","",IFERROR(BDP($B24&amp;" Action","CP037"),""))</f>
        <v/>
      </c>
      <c r="F24" s="183">
        <f>Database!T24</f>
        <v/>
      </c>
      <c r="G24" s="182">
        <f>IF($B24="","",IFERROR(BDP($B24&amp;" Action","GREENSHOE_FACILITY"),""))</f>
        <v/>
      </c>
      <c r="H24" s="182">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76">
        <f>Database!Q24</f>
        <v/>
      </c>
      <c r="O24" s="24">
        <f>IFERROR(BDH(Database!$A24&amp;" HK Equity","PE_RATIO",Database!$H24,Database!$H24),"")</f>
        <v/>
      </c>
      <c r="P24" s="180">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82">
        <f>IF($B25="","",IFERROR(BDP($B25&amp;" Action","CP036"),""))</f>
        <v/>
      </c>
      <c r="D25" s="183">
        <f>Database!S25</f>
        <v/>
      </c>
      <c r="E25" s="182">
        <f>IF($B25="","",IFERROR(BDP($B25&amp;" Action","CP037"),""))</f>
        <v/>
      </c>
      <c r="F25" s="183">
        <f>Database!T25</f>
        <v/>
      </c>
      <c r="G25" s="182">
        <f>IF($B25="","",IFERROR(BDP($B25&amp;" Action","GREENSHOE_FACILITY"),""))</f>
        <v/>
      </c>
      <c r="H25" s="182">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76">
        <f>Database!Q25</f>
        <v/>
      </c>
      <c r="O25" s="24">
        <f>IFERROR(BDH(Database!$A25&amp;" HK Equity","PE_RATIO",Database!$H25,Database!$H25),"")</f>
        <v/>
      </c>
      <c r="P25" s="180">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82">
        <f>IF($B26="","",IFERROR(BDP($B26&amp;" Action","CP036"),""))</f>
        <v/>
      </c>
      <c r="D26" s="183">
        <f>Database!S26</f>
        <v/>
      </c>
      <c r="E26" s="182">
        <f>IF($B26="","",IFERROR(BDP($B26&amp;" Action","CP037"),""))</f>
        <v/>
      </c>
      <c r="F26" s="183">
        <f>Database!T26</f>
        <v/>
      </c>
      <c r="G26" s="182">
        <f>IF($B26="","",IFERROR(BDP($B26&amp;" Action","GREENSHOE_FACILITY"),""))</f>
        <v/>
      </c>
      <c r="H26" s="182">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76">
        <f>Database!Q26</f>
        <v/>
      </c>
      <c r="O26" s="24">
        <f>IFERROR(BDH(Database!$A26&amp;" HK Equity","PE_RATIO",Database!$H26,Database!$H26),"")</f>
        <v/>
      </c>
      <c r="P26" s="180">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82">
        <f>IF($B27="","",IFERROR(BDP($B27&amp;" Action","CP036"),""))</f>
        <v/>
      </c>
      <c r="D27" s="183">
        <f>Database!S27</f>
        <v/>
      </c>
      <c r="E27" s="182">
        <f>IF($B27="","",IFERROR(BDP($B27&amp;" Action","CP037"),""))</f>
        <v/>
      </c>
      <c r="F27" s="183">
        <f>Database!T27</f>
        <v/>
      </c>
      <c r="G27" s="182">
        <f>IF($B27="","",IFERROR(BDP($B27&amp;" Action","GREENSHOE_FACILITY"),""))</f>
        <v/>
      </c>
      <c r="H27" s="182">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76">
        <f>Database!Q27</f>
        <v/>
      </c>
      <c r="O27" s="24">
        <f>IFERROR(BDH(Database!$A27&amp;" HK Equity","PE_RATIO",Database!$H27,Database!$H27),"")</f>
        <v/>
      </c>
      <c r="P27" s="180">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82">
        <f>IF($B28="","",IFERROR(BDP($B28&amp;" Action","CP036"),""))</f>
        <v/>
      </c>
      <c r="D28" s="183">
        <f>Database!S28</f>
        <v/>
      </c>
      <c r="E28" s="182">
        <f>IF($B28="","",IFERROR(BDP($B28&amp;" Action","CP037"),""))</f>
        <v/>
      </c>
      <c r="F28" s="183">
        <f>Database!T28</f>
        <v/>
      </c>
      <c r="G28" s="182">
        <f>IF($B28="","",IFERROR(BDP($B28&amp;" Action","GREENSHOE_FACILITY"),""))</f>
        <v/>
      </c>
      <c r="H28" s="182">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76">
        <f>Database!Q28</f>
        <v/>
      </c>
      <c r="O28" s="24">
        <f>IFERROR(BDH(Database!$A28&amp;" HK Equity","PE_RATIO",Database!$H28,Database!$H28),"")</f>
        <v/>
      </c>
      <c r="P28" s="180">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82">
        <f>IF($B29="","",IFERROR(BDP($B29&amp;" Action","CP036"),""))</f>
        <v/>
      </c>
      <c r="D29" s="183">
        <f>Database!S29</f>
        <v/>
      </c>
      <c r="E29" s="182">
        <f>IF($B29="","",IFERROR(BDP($B29&amp;" Action","CP037"),""))</f>
        <v/>
      </c>
      <c r="F29" s="183">
        <f>Database!T29</f>
        <v/>
      </c>
      <c r="G29" s="182">
        <f>IF($B29="","",IFERROR(BDP($B29&amp;" Action","GREENSHOE_FACILITY"),""))</f>
        <v/>
      </c>
      <c r="H29" s="182">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76">
        <f>Database!Q29</f>
        <v/>
      </c>
      <c r="O29" s="24">
        <f>IFERROR(BDH(Database!$A29&amp;" HK Equity","PE_RATIO",Database!$H29,Database!$H29),"")</f>
        <v/>
      </c>
      <c r="P29" s="180">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82">
        <f>IF($B30="","",IFERROR(BDP($B30&amp;" Action","CP036"),""))</f>
        <v/>
      </c>
      <c r="D30" s="183">
        <f>Database!S30</f>
        <v/>
      </c>
      <c r="E30" s="182">
        <f>IF($B30="","",IFERROR(BDP($B30&amp;" Action","CP037"),""))</f>
        <v/>
      </c>
      <c r="F30" s="183">
        <f>Database!T30</f>
        <v/>
      </c>
      <c r="G30" s="182">
        <f>IF($B30="","",IFERROR(BDP($B30&amp;" Action","GREENSHOE_FACILITY"),""))</f>
        <v/>
      </c>
      <c r="H30" s="182">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76">
        <f>Database!Q30</f>
        <v/>
      </c>
      <c r="O30" s="24">
        <f>IFERROR(BDH(Database!$A30&amp;" HK Equity","PE_RATIO",Database!$H30,Database!$H30),"")</f>
        <v/>
      </c>
      <c r="P30" s="180">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82">
        <f>IF($B31="","",IFERROR(BDP($B31&amp;" Action","CP036"),""))</f>
        <v/>
      </c>
      <c r="D31" s="183">
        <f>Database!S31</f>
        <v/>
      </c>
      <c r="E31" s="182">
        <f>IF($B31="","",IFERROR(BDP($B31&amp;" Action","CP037"),""))</f>
        <v/>
      </c>
      <c r="F31" s="183">
        <f>Database!T31</f>
        <v/>
      </c>
      <c r="G31" s="182">
        <f>IF($B31="","",IFERROR(BDP($B31&amp;" Action","GREENSHOE_FACILITY"),""))</f>
        <v/>
      </c>
      <c r="H31" s="182">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76">
        <f>Database!Q31</f>
        <v/>
      </c>
      <c r="O31" s="24">
        <f>IFERROR(BDH(Database!$A31&amp;" HK Equity","PE_RATIO",Database!$H31,Database!$H31),"")</f>
        <v/>
      </c>
      <c r="P31" s="180">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82">
        <f>IF($B32="","",IFERROR(BDP($B32&amp;" Action","CP036"),""))</f>
        <v/>
      </c>
      <c r="D32" s="183">
        <f>Database!S32</f>
        <v/>
      </c>
      <c r="E32" s="182">
        <f>IF($B32="","",IFERROR(BDP($B32&amp;" Action","CP037"),""))</f>
        <v/>
      </c>
      <c r="F32" s="183">
        <f>Database!T32</f>
        <v/>
      </c>
      <c r="G32" s="182">
        <f>IF($B32="","",IFERROR(BDP($B32&amp;" Action","GREENSHOE_FACILITY"),""))</f>
        <v/>
      </c>
      <c r="H32" s="182">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76">
        <f>Database!Q32</f>
        <v/>
      </c>
      <c r="O32" s="24">
        <f>IFERROR(BDH(Database!$A32&amp;" HK Equity","PE_RATIO",Database!$H32,Database!$H32),"")</f>
        <v/>
      </c>
      <c r="P32" s="180">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82">
        <f>IF($B33="","",IFERROR(BDP($B33&amp;" Action","CP036"),""))</f>
        <v/>
      </c>
      <c r="D33" s="183">
        <f>Database!S33</f>
        <v/>
      </c>
      <c r="E33" s="182">
        <f>IF($B33="","",IFERROR(BDP($B33&amp;" Action","CP037"),""))</f>
        <v/>
      </c>
      <c r="F33" s="183">
        <f>Database!T33</f>
        <v/>
      </c>
      <c r="G33" s="182">
        <f>IF($B33="","",IFERROR(BDP($B33&amp;" Action","GREENSHOE_FACILITY"),""))</f>
        <v/>
      </c>
      <c r="H33" s="182">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76">
        <f>Database!Q33</f>
        <v/>
      </c>
      <c r="O33" s="24">
        <f>IFERROR(BDH(Database!$A33&amp;" HK Equity","PE_RATIO",Database!$H33,Database!$H33),"")</f>
        <v/>
      </c>
      <c r="P33" s="180">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82">
        <f>IF($B34="","",IFERROR(BDP($B34&amp;" Action","CP036"),""))</f>
        <v/>
      </c>
      <c r="D34" s="183">
        <f>Database!S34</f>
        <v/>
      </c>
      <c r="E34" s="182">
        <f>IF($B34="","",IFERROR(BDP($B34&amp;" Action","CP037"),""))</f>
        <v/>
      </c>
      <c r="F34" s="183">
        <f>Database!T34</f>
        <v/>
      </c>
      <c r="G34" s="182">
        <f>IF($B34="","",IFERROR(BDP($B34&amp;" Action","GREENSHOE_FACILITY"),""))</f>
        <v/>
      </c>
      <c r="H34" s="182">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76">
        <f>Database!Q34</f>
        <v/>
      </c>
      <c r="O34" s="24">
        <f>IFERROR(BDH(Database!$A34&amp;" HK Equity","PE_RATIO",Database!$H34,Database!$H34),"")</f>
        <v/>
      </c>
      <c r="P34" s="180">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82">
        <f>IF($B35="","",IFERROR(BDP($B35&amp;" Action","CP036"),""))</f>
        <v/>
      </c>
      <c r="D35" s="183">
        <f>Database!S35</f>
        <v/>
      </c>
      <c r="E35" s="182">
        <f>IF($B35="","",IFERROR(BDP($B35&amp;" Action","CP037"),""))</f>
        <v/>
      </c>
      <c r="F35" s="183">
        <f>Database!T35</f>
        <v/>
      </c>
      <c r="G35" s="182">
        <f>IF($B35="","",IFERROR(BDP($B35&amp;" Action","GREENSHOE_FACILITY"),""))</f>
        <v/>
      </c>
      <c r="H35" s="182">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76">
        <f>Database!Q35</f>
        <v/>
      </c>
      <c r="O35" s="24">
        <f>IFERROR(BDH(Database!$A35&amp;" HK Equity","PE_RATIO",Database!$H35,Database!$H35),"")</f>
        <v/>
      </c>
      <c r="P35" s="180">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82">
        <f>IF($B36="","",IFERROR(BDP($B36&amp;" Action","CP036"),""))</f>
        <v/>
      </c>
      <c r="D36" s="183">
        <f>Database!S36</f>
        <v/>
      </c>
      <c r="E36" s="182">
        <f>IF($B36="","",IFERROR(BDP($B36&amp;" Action","CP037"),""))</f>
        <v/>
      </c>
      <c r="F36" s="183">
        <f>Database!T36</f>
        <v/>
      </c>
      <c r="G36" s="182">
        <f>IF($B36="","",IFERROR(BDP($B36&amp;" Action","GREENSHOE_FACILITY"),""))</f>
        <v/>
      </c>
      <c r="H36" s="182">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76">
        <f>Database!Q36</f>
        <v/>
      </c>
      <c r="O36" s="24">
        <f>IFERROR(BDH(Database!$A36&amp;" HK Equity","PE_RATIO",Database!$H36,Database!$H36),"")</f>
        <v/>
      </c>
      <c r="P36" s="180">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82">
        <f>IF($B37="","",IFERROR(BDP($B37&amp;" Action","CP036"),""))</f>
        <v/>
      </c>
      <c r="D37" s="183">
        <f>Database!S37</f>
        <v/>
      </c>
      <c r="E37" s="182">
        <f>IF($B37="","",IFERROR(BDP($B37&amp;" Action","CP037"),""))</f>
        <v/>
      </c>
      <c r="F37" s="183">
        <f>Database!T37</f>
        <v/>
      </c>
      <c r="G37" s="182">
        <f>IF($B37="","",IFERROR(BDP($B37&amp;" Action","GREENSHOE_FACILITY"),""))</f>
        <v/>
      </c>
      <c r="H37" s="182">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76">
        <f>Database!Q37</f>
        <v/>
      </c>
      <c r="O37" s="24">
        <f>IFERROR(BDH(Database!$A37&amp;" HK Equity","PE_RATIO",Database!$H37,Database!$H37),"")</f>
        <v/>
      </c>
      <c r="P37" s="180">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82">
        <f>IF($B38="","",IFERROR(BDP($B38&amp;" Action","CP036"),""))</f>
        <v/>
      </c>
      <c r="D38" s="183">
        <f>Database!S38</f>
        <v/>
      </c>
      <c r="E38" s="182">
        <f>IF($B38="","",IFERROR(BDP($B38&amp;" Action","CP037"),""))</f>
        <v/>
      </c>
      <c r="F38" s="183">
        <f>Database!T38</f>
        <v/>
      </c>
      <c r="G38" s="182">
        <f>IF($B38="","",IFERROR(BDP($B38&amp;" Action","GREENSHOE_FACILITY"),""))</f>
        <v/>
      </c>
      <c r="H38" s="182">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76">
        <f>Database!Q38</f>
        <v/>
      </c>
      <c r="O38" s="24">
        <f>IFERROR(BDH(Database!$A38&amp;" HK Equity","PE_RATIO",Database!$H38,Database!$H38),"")</f>
        <v/>
      </c>
      <c r="P38" s="180">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82">
        <f>IF($B39="","",IFERROR(BDP($B39&amp;" Action","CP036"),""))</f>
        <v/>
      </c>
      <c r="D39" s="183">
        <f>Database!S39</f>
        <v/>
      </c>
      <c r="E39" s="182">
        <f>IF($B39="","",IFERROR(BDP($B39&amp;" Action","CP037"),""))</f>
        <v/>
      </c>
      <c r="F39" s="183">
        <f>Database!T39</f>
        <v/>
      </c>
      <c r="G39" s="182">
        <f>IF($B39="","",IFERROR(BDP($B39&amp;" Action","GREENSHOE_FACILITY"),""))</f>
        <v/>
      </c>
      <c r="H39" s="182">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76">
        <f>Database!Q39</f>
        <v/>
      </c>
      <c r="O39" s="24">
        <f>IFERROR(BDH(Database!$A39&amp;" HK Equity","PE_RATIO",Database!$H39,Database!$H39),"")</f>
        <v/>
      </c>
      <c r="P39" s="180">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82">
        <f>IF($B40="","",IFERROR(BDP($B40&amp;" Action","CP036"),""))</f>
        <v/>
      </c>
      <c r="D40" s="183">
        <f>Database!S40</f>
        <v/>
      </c>
      <c r="E40" s="182">
        <f>IF($B40="","",IFERROR(BDP($B40&amp;" Action","CP037"),""))</f>
        <v/>
      </c>
      <c r="F40" s="183">
        <f>Database!T40</f>
        <v/>
      </c>
      <c r="G40" s="182">
        <f>IF($B40="","",IFERROR(BDP($B40&amp;" Action","GREENSHOE_FACILITY"),""))</f>
        <v/>
      </c>
      <c r="H40" s="182">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76">
        <f>Database!Q40</f>
        <v/>
      </c>
      <c r="O40" s="24">
        <f>IFERROR(BDH(Database!$A40&amp;" HK Equity","PE_RATIO",Database!$H40,Database!$H40),"")</f>
        <v/>
      </c>
      <c r="P40" s="180">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82">
        <f>IF($B41="","",IFERROR(BDP($B41&amp;" Action","CP036"),""))</f>
        <v/>
      </c>
      <c r="D41" s="183">
        <f>Database!S41</f>
        <v/>
      </c>
      <c r="E41" s="182">
        <f>IF($B41="","",IFERROR(BDP($B41&amp;" Action","CP037"),""))</f>
        <v/>
      </c>
      <c r="F41" s="183">
        <f>Database!T41</f>
        <v/>
      </c>
      <c r="G41" s="182">
        <f>IF($B41="","",IFERROR(BDP($B41&amp;" Action","GREENSHOE_FACILITY"),""))</f>
        <v/>
      </c>
      <c r="H41" s="182">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76">
        <f>Database!Q41</f>
        <v/>
      </c>
      <c r="O41" s="24">
        <f>IFERROR(BDH(Database!$A41&amp;" HK Equity","PE_RATIO",Database!$H41,Database!$H41),"")</f>
        <v/>
      </c>
      <c r="P41" s="180">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82">
        <f>IF($B42="","",IFERROR(BDP($B42&amp;" Action","CP036"),""))</f>
        <v/>
      </c>
      <c r="D42" s="183">
        <f>Database!S42</f>
        <v/>
      </c>
      <c r="E42" s="182">
        <f>IF($B42="","",IFERROR(BDP($B42&amp;" Action","CP037"),""))</f>
        <v/>
      </c>
      <c r="F42" s="183">
        <f>Database!T42</f>
        <v/>
      </c>
      <c r="G42" s="182">
        <f>IF($B42="","",IFERROR(BDP($B42&amp;" Action","GREENSHOE_FACILITY"),""))</f>
        <v/>
      </c>
      <c r="H42" s="182">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76">
        <f>Database!Q42</f>
        <v/>
      </c>
      <c r="O42" s="24">
        <f>IFERROR(BDH(Database!$A42&amp;" HK Equity","PE_RATIO",Database!$H42,Database!$H42),"")</f>
        <v/>
      </c>
      <c r="P42" s="180">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82">
        <f>IF($B43="","",IFERROR(BDP($B43&amp;" Action","CP036"),""))</f>
        <v/>
      </c>
      <c r="D43" s="183">
        <f>Database!S43</f>
        <v/>
      </c>
      <c r="E43" s="182">
        <f>IF($B43="","",IFERROR(BDP($B43&amp;" Action","CP037"),""))</f>
        <v/>
      </c>
      <c r="F43" s="183">
        <f>Database!T43</f>
        <v/>
      </c>
      <c r="G43" s="182">
        <f>IF($B43="","",IFERROR(BDP($B43&amp;" Action","GREENSHOE_FACILITY"),""))</f>
        <v/>
      </c>
      <c r="H43" s="182">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76">
        <f>Database!Q43</f>
        <v/>
      </c>
      <c r="O43" s="24">
        <f>IFERROR(BDH(Database!$A43&amp;" HK Equity","PE_RATIO",Database!$H43,Database!$H43),"")</f>
        <v/>
      </c>
      <c r="P43" s="180">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82">
        <f>IF($B44="","",IFERROR(BDP($B44&amp;" Action","CP036"),""))</f>
        <v/>
      </c>
      <c r="D44" s="183">
        <f>Database!S44</f>
        <v/>
      </c>
      <c r="E44" s="182">
        <f>IF($B44="","",IFERROR(BDP($B44&amp;" Action","CP037"),""))</f>
        <v/>
      </c>
      <c r="F44" s="183">
        <f>Database!T44</f>
        <v/>
      </c>
      <c r="G44" s="182">
        <f>IF($B44="","",IFERROR(BDP($B44&amp;" Action","GREENSHOE_FACILITY"),""))</f>
        <v/>
      </c>
      <c r="H44" s="182">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76">
        <f>Database!Q44</f>
        <v/>
      </c>
      <c r="O44" s="24">
        <f>IFERROR(BDH(Database!$A44&amp;" HK Equity","PE_RATIO",Database!$H44,Database!$H44),"")</f>
        <v/>
      </c>
      <c r="P44" s="180">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82">
        <f>IF($B45="","",IFERROR(BDP($B45&amp;" Action","CP036"),""))</f>
        <v/>
      </c>
      <c r="D45" s="183">
        <f>Database!S45</f>
        <v/>
      </c>
      <c r="E45" s="182">
        <f>IF($B45="","",IFERROR(BDP($B45&amp;" Action","CP037"),""))</f>
        <v/>
      </c>
      <c r="F45" s="183">
        <f>Database!T45</f>
        <v/>
      </c>
      <c r="G45" s="182">
        <f>IF($B45="","",IFERROR(BDP($B45&amp;" Action","GREENSHOE_FACILITY"),""))</f>
        <v/>
      </c>
      <c r="H45" s="182">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76">
        <f>Database!Q45</f>
        <v/>
      </c>
      <c r="O45" s="24">
        <f>IFERROR(BDH(Database!$A45&amp;" HK Equity","PE_RATIO",Database!$H45,Database!$H45),"")</f>
        <v/>
      </c>
      <c r="P45" s="180">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82">
        <f>IF($B46="","",IFERROR(BDP($B46&amp;" Action","CP036"),""))</f>
        <v/>
      </c>
      <c r="D46" s="183">
        <f>Database!S46</f>
        <v/>
      </c>
      <c r="E46" s="182">
        <f>IF($B46="","",IFERROR(BDP($B46&amp;" Action","CP037"),""))</f>
        <v/>
      </c>
      <c r="F46" s="183">
        <f>Database!T46</f>
        <v/>
      </c>
      <c r="G46" s="182">
        <f>IF($B46="","",IFERROR(BDP($B46&amp;" Action","GREENSHOE_FACILITY"),""))</f>
        <v/>
      </c>
      <c r="H46" s="182">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76">
        <f>Database!Q46</f>
        <v/>
      </c>
      <c r="O46" s="24">
        <f>IFERROR(BDH(Database!$A46&amp;" HK Equity","PE_RATIO",Database!$H46,Database!$H46),"")</f>
        <v/>
      </c>
      <c r="P46" s="180">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82">
        <f>IF($B47="","",IFERROR(BDP($B47&amp;" Action","CP036"),""))</f>
        <v/>
      </c>
      <c r="D47" s="183">
        <f>Database!S47</f>
        <v/>
      </c>
      <c r="E47" s="182">
        <f>IF($B47="","",IFERROR(BDP($B47&amp;" Action","CP037"),""))</f>
        <v/>
      </c>
      <c r="F47" s="183">
        <f>Database!T47</f>
        <v/>
      </c>
      <c r="G47" s="182">
        <f>IF($B47="","",IFERROR(BDP($B47&amp;" Action","GREENSHOE_FACILITY"),""))</f>
        <v/>
      </c>
      <c r="H47" s="182">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76">
        <f>Database!Q47</f>
        <v/>
      </c>
      <c r="O47" s="24">
        <f>IFERROR(BDH(Database!$A47&amp;" HK Equity","PE_RATIO",Database!$H47,Database!$H47),"")</f>
        <v/>
      </c>
      <c r="P47" s="180">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82">
        <f>IF($B48="","",IFERROR(BDP($B48&amp;" Action","CP036"),""))</f>
        <v/>
      </c>
      <c r="D48" s="183">
        <f>Database!S48</f>
        <v/>
      </c>
      <c r="E48" s="182">
        <f>IF($B48="","",IFERROR(BDP($B48&amp;" Action","CP037"),""))</f>
        <v/>
      </c>
      <c r="F48" s="183">
        <f>Database!T48</f>
        <v/>
      </c>
      <c r="G48" s="182">
        <f>IF($B48="","",IFERROR(BDP($B48&amp;" Action","GREENSHOE_FACILITY"),""))</f>
        <v/>
      </c>
      <c r="H48" s="182">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76">
        <f>Database!Q48</f>
        <v/>
      </c>
      <c r="O48" s="24">
        <f>IFERROR(BDH(Database!$A48&amp;" HK Equity","PE_RATIO",Database!$H48,Database!$H48),"")</f>
        <v/>
      </c>
      <c r="P48" s="180">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82">
        <f>IF($B49="","",IFERROR(BDP($B49&amp;" Action","CP036"),""))</f>
        <v/>
      </c>
      <c r="D49" s="183">
        <f>Database!S49</f>
        <v/>
      </c>
      <c r="E49" s="182">
        <f>IF($B49="","",IFERROR(BDP($B49&amp;" Action","CP037"),""))</f>
        <v/>
      </c>
      <c r="F49" s="183">
        <f>Database!T49</f>
        <v/>
      </c>
      <c r="G49" s="182">
        <f>IF($B49="","",IFERROR(BDP($B49&amp;" Action","GREENSHOE_FACILITY"),""))</f>
        <v/>
      </c>
      <c r="H49" s="182">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76">
        <f>Database!Q49</f>
        <v/>
      </c>
      <c r="O49" s="24">
        <f>IFERROR(BDH(Database!$A49&amp;" HK Equity","PE_RATIO",Database!$H49,Database!$H49),"")</f>
        <v/>
      </c>
      <c r="P49" s="180">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82">
        <f>IF($B50="","",IFERROR(BDP($B50&amp;" Action","CP036"),""))</f>
        <v/>
      </c>
      <c r="D50" s="183">
        <f>Database!S50</f>
        <v/>
      </c>
      <c r="E50" s="182">
        <f>IF($B50="","",IFERROR(BDP($B50&amp;" Action","CP037"),""))</f>
        <v/>
      </c>
      <c r="F50" s="183">
        <f>Database!T50</f>
        <v/>
      </c>
      <c r="G50" s="182">
        <f>IF($B50="","",IFERROR(BDP($B50&amp;" Action","GREENSHOE_FACILITY"),""))</f>
        <v/>
      </c>
      <c r="H50" s="182">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76">
        <f>Database!Q50</f>
        <v/>
      </c>
      <c r="O50" s="24">
        <f>IFERROR(BDH(Database!$A50&amp;" HK Equity","PE_RATIO",Database!$H50,Database!$H50),"")</f>
        <v/>
      </c>
      <c r="P50" s="180">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82">
        <f>IF($B51="","",IFERROR(BDP($B51&amp;" Action","CP036"),""))</f>
        <v/>
      </c>
      <c r="D51" s="183">
        <f>Database!S51</f>
        <v/>
      </c>
      <c r="E51" s="182">
        <f>IF($B51="","",IFERROR(BDP($B51&amp;" Action","CP037"),""))</f>
        <v/>
      </c>
      <c r="F51" s="183">
        <f>Database!T51</f>
        <v/>
      </c>
      <c r="G51" s="182">
        <f>IF($B51="","",IFERROR(BDP($B51&amp;" Action","GREENSHOE_FACILITY"),""))</f>
        <v/>
      </c>
      <c r="H51" s="182">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76">
        <f>Database!Q51</f>
        <v/>
      </c>
      <c r="O51" s="24">
        <f>IFERROR(BDH(Database!$A51&amp;" HK Equity","PE_RATIO",Database!$H51,Database!$H51),"")</f>
        <v/>
      </c>
      <c r="P51" s="180">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82">
        <f>IF($B52="","",IFERROR(BDP($B52&amp;" Action","CP036"),""))</f>
        <v/>
      </c>
      <c r="D52" s="183">
        <f>Database!S52</f>
        <v/>
      </c>
      <c r="E52" s="182">
        <f>IF($B52="","",IFERROR(BDP($B52&amp;" Action","CP037"),""))</f>
        <v/>
      </c>
      <c r="F52" s="183">
        <f>Database!T52</f>
        <v/>
      </c>
      <c r="G52" s="182">
        <f>IF($B52="","",IFERROR(BDP($B52&amp;" Action","GREENSHOE_FACILITY"),""))</f>
        <v/>
      </c>
      <c r="H52" s="182">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76">
        <f>Database!Q52</f>
        <v/>
      </c>
      <c r="O52" s="24">
        <f>IFERROR(BDH(Database!$A52&amp;" HK Equity","PE_RATIO",Database!$H52,Database!$H52),"")</f>
        <v/>
      </c>
      <c r="P52" s="180">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82">
        <f>IF($B53="","",IFERROR(BDP($B53&amp;" Action","CP036"),""))</f>
        <v/>
      </c>
      <c r="D53" s="183">
        <f>Database!S53</f>
        <v/>
      </c>
      <c r="E53" s="182">
        <f>IF($B53="","",IFERROR(BDP($B53&amp;" Action","CP037"),""))</f>
        <v/>
      </c>
      <c r="F53" s="183">
        <f>Database!T53</f>
        <v/>
      </c>
      <c r="G53" s="182">
        <f>IF($B53="","",IFERROR(BDP($B53&amp;" Action","GREENSHOE_FACILITY"),""))</f>
        <v/>
      </c>
      <c r="H53" s="182">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76">
        <f>Database!Q53</f>
        <v/>
      </c>
      <c r="O53" s="24">
        <f>IFERROR(BDH(Database!$A53&amp;" HK Equity","PE_RATIO",Database!$H53,Database!$H53),"")</f>
        <v/>
      </c>
      <c r="P53" s="180">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82">
        <f>IF($B54="","",IFERROR(BDP($B54&amp;" Action","CP036"),""))</f>
        <v/>
      </c>
      <c r="D54" s="183">
        <f>Database!S54</f>
        <v/>
      </c>
      <c r="E54" s="182">
        <f>IF($B54="","",IFERROR(BDP($B54&amp;" Action","CP037"),""))</f>
        <v/>
      </c>
      <c r="F54" s="183">
        <f>Database!T54</f>
        <v/>
      </c>
      <c r="G54" s="182">
        <f>IF($B54="","",IFERROR(BDP($B54&amp;" Action","GREENSHOE_FACILITY"),""))</f>
        <v/>
      </c>
      <c r="H54" s="182">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76">
        <f>Database!Q54</f>
        <v/>
      </c>
      <c r="O54" s="24">
        <f>IFERROR(BDH(Database!$A54&amp;" HK Equity","PE_RATIO",Database!$H54,Database!$H54),"")</f>
        <v/>
      </c>
      <c r="P54" s="180">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82">
        <f>IF($B55="","",IFERROR(BDP($B55&amp;" Action","CP036"),""))</f>
        <v/>
      </c>
      <c r="D55" s="183">
        <f>Database!S55</f>
        <v/>
      </c>
      <c r="E55" s="182">
        <f>IF($B55="","",IFERROR(BDP($B55&amp;" Action","CP037"),""))</f>
        <v/>
      </c>
      <c r="F55" s="183">
        <f>Database!T55</f>
        <v/>
      </c>
      <c r="G55" s="182">
        <f>IF($B55="","",IFERROR(BDP($B55&amp;" Action","GREENSHOE_FACILITY"),""))</f>
        <v/>
      </c>
      <c r="H55" s="182">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76">
        <f>Database!Q55</f>
        <v/>
      </c>
      <c r="O55" s="24">
        <f>IFERROR(BDH(Database!$A55&amp;" HK Equity","PE_RATIO",Database!$H55,Database!$H55),"")</f>
        <v/>
      </c>
      <c r="P55" s="180">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82">
        <f>IF($B56="","",IFERROR(BDP($B56&amp;" Action","CP036"),""))</f>
        <v/>
      </c>
      <c r="D56" s="183">
        <f>Database!S56</f>
        <v/>
      </c>
      <c r="E56" s="182">
        <f>IF($B56="","",IFERROR(BDP($B56&amp;" Action","CP037"),""))</f>
        <v/>
      </c>
      <c r="F56" s="183">
        <f>Database!T56</f>
        <v/>
      </c>
      <c r="G56" s="182">
        <f>IF($B56="","",IFERROR(BDP($B56&amp;" Action","GREENSHOE_FACILITY"),""))</f>
        <v/>
      </c>
      <c r="H56" s="182">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76">
        <f>Database!Q56</f>
        <v/>
      </c>
      <c r="O56" s="24">
        <f>IFERROR(BDH(Database!$A56&amp;" HK Equity","PE_RATIO",Database!$H56,Database!$H56),"")</f>
        <v/>
      </c>
      <c r="P56" s="180">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82">
        <f>IF($B57="","",IFERROR(BDP($B57&amp;" Action","CP036"),""))</f>
        <v/>
      </c>
      <c r="D57" s="183">
        <f>Database!S57</f>
        <v/>
      </c>
      <c r="E57" s="182">
        <f>IF($B57="","",IFERROR(BDP($B57&amp;" Action","CP037"),""))</f>
        <v/>
      </c>
      <c r="F57" s="183">
        <f>Database!T57</f>
        <v/>
      </c>
      <c r="G57" s="182">
        <f>IF($B57="","",IFERROR(BDP($B57&amp;" Action","GREENSHOE_FACILITY"),""))</f>
        <v/>
      </c>
      <c r="H57" s="182">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76">
        <f>Database!Q57</f>
        <v/>
      </c>
      <c r="O57" s="24">
        <f>IFERROR(BDH(Database!$A57&amp;" HK Equity","PE_RATIO",Database!$H57,Database!$H57),"")</f>
        <v/>
      </c>
      <c r="P57" s="180">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82">
        <f>IF($B58="","",IFERROR(BDP($B58&amp;" Action","CP036"),""))</f>
        <v/>
      </c>
      <c r="D58" s="183">
        <f>Database!S58</f>
        <v/>
      </c>
      <c r="E58" s="182">
        <f>IF($B58="","",IFERROR(BDP($B58&amp;" Action","CP037"),""))</f>
        <v/>
      </c>
      <c r="F58" s="183">
        <f>Database!T58</f>
        <v/>
      </c>
      <c r="G58" s="182">
        <f>IF($B58="","",IFERROR(BDP($B58&amp;" Action","GREENSHOE_FACILITY"),""))</f>
        <v/>
      </c>
      <c r="H58" s="182">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76">
        <f>Database!Q58</f>
        <v/>
      </c>
      <c r="O58" s="24">
        <f>IFERROR(BDH(Database!$A58&amp;" HK Equity","PE_RATIO",Database!$H58,Database!$H58),"")</f>
        <v/>
      </c>
      <c r="P58" s="180">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82">
        <f>IF($B59="","",IFERROR(BDP($B59&amp;" Action","CP036"),""))</f>
        <v/>
      </c>
      <c r="D59" s="183">
        <f>Database!S59</f>
        <v/>
      </c>
      <c r="E59" s="182">
        <f>IF($B59="","",IFERROR(BDP($B59&amp;" Action","CP037"),""))</f>
        <v/>
      </c>
      <c r="F59" s="183">
        <f>Database!T59</f>
        <v/>
      </c>
      <c r="G59" s="182">
        <f>IF($B59="","",IFERROR(BDP($B59&amp;" Action","GREENSHOE_FACILITY"),""))</f>
        <v/>
      </c>
      <c r="H59" s="182">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76">
        <f>Database!Q59</f>
        <v/>
      </c>
      <c r="O59" s="24">
        <f>IFERROR(BDH(Database!$A59&amp;" HK Equity","PE_RATIO",Database!$H59,Database!$H59),"")</f>
        <v/>
      </c>
      <c r="P59" s="180">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82">
        <f>IF($B60="","",IFERROR(BDP($B60&amp;" Action","CP036"),""))</f>
        <v/>
      </c>
      <c r="D60" s="183">
        <f>Database!S60</f>
        <v/>
      </c>
      <c r="E60" s="182">
        <f>IF($B60="","",IFERROR(BDP($B60&amp;" Action","CP037"),""))</f>
        <v/>
      </c>
      <c r="F60" s="183">
        <f>Database!T60</f>
        <v/>
      </c>
      <c r="G60" s="182">
        <f>IF($B60="","",IFERROR(BDP($B60&amp;" Action","GREENSHOE_FACILITY"),""))</f>
        <v/>
      </c>
      <c r="H60" s="182">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76">
        <f>Database!Q60</f>
        <v/>
      </c>
      <c r="O60" s="24">
        <f>IFERROR(BDH(Database!$A60&amp;" HK Equity","PE_RATIO",Database!$H60,Database!$H60),"")</f>
        <v/>
      </c>
      <c r="P60" s="180">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82">
        <f>IF($B61="","",IFERROR(BDP($B61&amp;" Action","CP036"),""))</f>
        <v/>
      </c>
      <c r="D61" s="183">
        <f>Database!S61</f>
        <v/>
      </c>
      <c r="E61" s="182">
        <f>IF($B61="","",IFERROR(BDP($B61&amp;" Action","CP037"),""))</f>
        <v/>
      </c>
      <c r="F61" s="183">
        <f>Database!T61</f>
        <v/>
      </c>
      <c r="G61" s="182">
        <f>IF($B61="","",IFERROR(BDP($B61&amp;" Action","GREENSHOE_FACILITY"),""))</f>
        <v/>
      </c>
      <c r="H61" s="182">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76">
        <f>Database!Q61</f>
        <v/>
      </c>
      <c r="O61" s="24">
        <f>IFERROR(BDH(Database!$A61&amp;" HK Equity","PE_RATIO",Database!$H61,Database!$H61),"")</f>
        <v/>
      </c>
      <c r="P61" s="180">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82">
        <f>IF($B62="","",IFERROR(BDP($B62&amp;" Action","CP036"),""))</f>
        <v/>
      </c>
      <c r="D62" s="183">
        <f>Database!S62</f>
        <v/>
      </c>
      <c r="E62" s="182">
        <f>IF($B62="","",IFERROR(BDP($B62&amp;" Action","CP037"),""))</f>
        <v/>
      </c>
      <c r="F62" s="183">
        <f>Database!T62</f>
        <v/>
      </c>
      <c r="G62" s="182">
        <f>IF($B62="","",IFERROR(BDP($B62&amp;" Action","GREENSHOE_FACILITY"),""))</f>
        <v/>
      </c>
      <c r="H62" s="182">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76">
        <f>Database!Q62</f>
        <v/>
      </c>
      <c r="O62" s="24">
        <f>IFERROR(BDH(Database!$A62&amp;" HK Equity","PE_RATIO",Database!$H62,Database!$H62),"")</f>
        <v/>
      </c>
      <c r="P62" s="180">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82">
        <f>IF($B63="","",IFERROR(BDP($B63&amp;" Action","CP036"),""))</f>
        <v/>
      </c>
      <c r="D63" s="183">
        <f>Database!S63</f>
        <v/>
      </c>
      <c r="E63" s="182">
        <f>IF($B63="","",IFERROR(BDP($B63&amp;" Action","CP037"),""))</f>
        <v/>
      </c>
      <c r="F63" s="183">
        <f>Database!T63</f>
        <v/>
      </c>
      <c r="G63" s="182">
        <f>IF($B63="","",IFERROR(BDP($B63&amp;" Action","GREENSHOE_FACILITY"),""))</f>
        <v/>
      </c>
      <c r="H63" s="182">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76">
        <f>Database!Q63</f>
        <v/>
      </c>
      <c r="O63" s="24">
        <f>IFERROR(BDH(Database!$A63&amp;" HK Equity","PE_RATIO",Database!$H63,Database!$H63),"")</f>
        <v/>
      </c>
      <c r="P63" s="180">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82">
        <f>IF($B64="","",IFERROR(BDP($B64&amp;" Action","CP036"),""))</f>
        <v/>
      </c>
      <c r="D64" s="183">
        <f>Database!S64</f>
        <v/>
      </c>
      <c r="E64" s="182">
        <f>IF($B64="","",IFERROR(BDP($B64&amp;" Action","CP037"),""))</f>
        <v/>
      </c>
      <c r="F64" s="183">
        <f>Database!T64</f>
        <v/>
      </c>
      <c r="G64" s="182">
        <f>IF($B64="","",IFERROR(BDP($B64&amp;" Action","GREENSHOE_FACILITY"),""))</f>
        <v/>
      </c>
      <c r="H64" s="182">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76">
        <f>Database!Q64</f>
        <v/>
      </c>
      <c r="O64" s="24">
        <f>IFERROR(BDH(Database!$A64&amp;" HK Equity","PE_RATIO",Database!$H64,Database!$H64),"")</f>
        <v/>
      </c>
      <c r="P64" s="180">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82">
        <f>IF($B65="","",IFERROR(BDP($B65&amp;" Action","CP036"),""))</f>
        <v/>
      </c>
      <c r="D65" s="183">
        <f>Database!S65</f>
        <v/>
      </c>
      <c r="E65" s="182">
        <f>IF($B65="","",IFERROR(BDP($B65&amp;" Action","CP037"),""))</f>
        <v/>
      </c>
      <c r="F65" s="183">
        <f>Database!T65</f>
        <v/>
      </c>
      <c r="G65" s="182">
        <f>IF($B65="","",IFERROR(BDP($B65&amp;" Action","GREENSHOE_FACILITY"),""))</f>
        <v/>
      </c>
      <c r="H65" s="182">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76">
        <f>Database!Q65</f>
        <v/>
      </c>
      <c r="O65" s="24">
        <f>IFERROR(BDH(Database!$A65&amp;" HK Equity","PE_RATIO",Database!$H65,Database!$H65),"")</f>
        <v/>
      </c>
      <c r="P65" s="180">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82">
        <f>IF($B66="","",IFERROR(BDP($B66&amp;" Action","CP036"),""))</f>
        <v/>
      </c>
      <c r="D66" s="183">
        <f>Database!S66</f>
        <v/>
      </c>
      <c r="E66" s="182">
        <f>IF($B66="","",IFERROR(BDP($B66&amp;" Action","CP037"),""))</f>
        <v/>
      </c>
      <c r="F66" s="183">
        <f>Database!T66</f>
        <v/>
      </c>
      <c r="G66" s="182">
        <f>IF($B66="","",IFERROR(BDP($B66&amp;" Action","GREENSHOE_FACILITY"),""))</f>
        <v/>
      </c>
      <c r="H66" s="182">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76">
        <f>Database!Q66</f>
        <v/>
      </c>
      <c r="O66" s="24">
        <f>IFERROR(BDH(Database!$A66&amp;" HK Equity","PE_RATIO",Database!$H66,Database!$H66),"")</f>
        <v/>
      </c>
      <c r="P66" s="180">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82">
        <f>IF($B67="","",IFERROR(BDP($B67&amp;" Action","CP036"),""))</f>
        <v/>
      </c>
      <c r="D67" s="183">
        <f>Database!S67</f>
        <v/>
      </c>
      <c r="E67" s="182">
        <f>IF($B67="","",IFERROR(BDP($B67&amp;" Action","CP037"),""))</f>
        <v/>
      </c>
      <c r="F67" s="183">
        <f>Database!T67</f>
        <v/>
      </c>
      <c r="G67" s="182">
        <f>IF($B67="","",IFERROR(BDP($B67&amp;" Action","GREENSHOE_FACILITY"),""))</f>
        <v/>
      </c>
      <c r="H67" s="182">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76">
        <f>Database!Q67</f>
        <v/>
      </c>
      <c r="O67" s="24">
        <f>IFERROR(BDH(Database!$A67&amp;" HK Equity","PE_RATIO",Database!$H67,Database!$H67),"")</f>
        <v/>
      </c>
      <c r="P67" s="180">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82">
        <f>IF($B68="","",IFERROR(BDP($B68&amp;" Action","CP036"),""))</f>
        <v/>
      </c>
      <c r="D68" s="183">
        <f>Database!S68</f>
        <v/>
      </c>
      <c r="E68" s="182">
        <f>IF($B68="","",IFERROR(BDP($B68&amp;" Action","CP037"),""))</f>
        <v/>
      </c>
      <c r="F68" s="183">
        <f>Database!T68</f>
        <v/>
      </c>
      <c r="G68" s="182">
        <f>IF($B68="","",IFERROR(BDP($B68&amp;" Action","GREENSHOE_FACILITY"),""))</f>
        <v/>
      </c>
      <c r="H68" s="182">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76">
        <f>Database!Q68</f>
        <v/>
      </c>
      <c r="O68" s="24">
        <f>IFERROR(BDH(Database!$A68&amp;" HK Equity","PE_RATIO",Database!$H68,Database!$H68),"")</f>
        <v/>
      </c>
      <c r="P68" s="180">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82">
        <f>IF($B69="","",IFERROR(BDP($B69&amp;" Action","CP036"),""))</f>
        <v/>
      </c>
      <c r="D69" s="183">
        <f>Database!S69</f>
        <v/>
      </c>
      <c r="E69" s="182">
        <f>IF($B69="","",IFERROR(BDP($B69&amp;" Action","CP037"),""))</f>
        <v/>
      </c>
      <c r="F69" s="183">
        <f>Database!T69</f>
        <v/>
      </c>
      <c r="G69" s="182">
        <f>IF($B69="","",IFERROR(BDP($B69&amp;" Action","GREENSHOE_FACILITY"),""))</f>
        <v/>
      </c>
      <c r="H69" s="182">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76">
        <f>Database!Q69</f>
        <v/>
      </c>
      <c r="O69" s="24">
        <f>IFERROR(BDH(Database!$A69&amp;" HK Equity","PE_RATIO",Database!$H69,Database!$H69),"")</f>
        <v/>
      </c>
      <c r="P69" s="180">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82">
        <f>IF($B70="","",IFERROR(BDP($B70&amp;" Action","CP036"),""))</f>
        <v/>
      </c>
      <c r="D70" s="183">
        <f>Database!S70</f>
        <v/>
      </c>
      <c r="E70" s="182">
        <f>IF($B70="","",IFERROR(BDP($B70&amp;" Action","CP037"),""))</f>
        <v/>
      </c>
      <c r="F70" s="183">
        <f>Database!T70</f>
        <v/>
      </c>
      <c r="G70" s="182">
        <f>IF($B70="","",IFERROR(BDP($B70&amp;" Action","GREENSHOE_FACILITY"),""))</f>
        <v/>
      </c>
      <c r="H70" s="182">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76">
        <f>Database!Q70</f>
        <v/>
      </c>
      <c r="O70" s="24">
        <f>IFERROR(BDH(Database!$A70&amp;" HK Equity","PE_RATIO",Database!$H70,Database!$H70),"")</f>
        <v/>
      </c>
      <c r="P70" s="180">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82">
        <f>IF($B71="","",IFERROR(BDP($B71&amp;" Action","CP036"),""))</f>
        <v/>
      </c>
      <c r="D71" s="183">
        <f>Database!S71</f>
        <v/>
      </c>
      <c r="E71" s="182">
        <f>IF($B71="","",IFERROR(BDP($B71&amp;" Action","CP037"),""))</f>
        <v/>
      </c>
      <c r="F71" s="183">
        <f>Database!T71</f>
        <v/>
      </c>
      <c r="G71" s="182">
        <f>IF($B71="","",IFERROR(BDP($B71&amp;" Action","GREENSHOE_FACILITY"),""))</f>
        <v/>
      </c>
      <c r="H71" s="182">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76">
        <f>Database!Q71</f>
        <v/>
      </c>
      <c r="O71" s="24">
        <f>IFERROR(BDH(Database!$A71&amp;" HK Equity","PE_RATIO",Database!$H71,Database!$H71),"")</f>
        <v/>
      </c>
      <c r="P71" s="180">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82">
        <f>IF($B72="","",IFERROR(BDP($B72&amp;" Action","CP036"),""))</f>
        <v/>
      </c>
      <c r="D72" s="183">
        <f>Database!S72</f>
        <v/>
      </c>
      <c r="E72" s="182">
        <f>IF($B72="","",IFERROR(BDP($B72&amp;" Action","CP037"),""))</f>
        <v/>
      </c>
      <c r="F72" s="183">
        <f>Database!T72</f>
        <v/>
      </c>
      <c r="G72" s="182">
        <f>IF($B72="","",IFERROR(BDP($B72&amp;" Action","GREENSHOE_FACILITY"),""))</f>
        <v/>
      </c>
      <c r="H72" s="182">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76">
        <f>Database!Q72</f>
        <v/>
      </c>
      <c r="O72" s="24">
        <f>IFERROR(BDH(Database!$A72&amp;" HK Equity","PE_RATIO",Database!$H72,Database!$H72),"")</f>
        <v/>
      </c>
      <c r="P72" s="180">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82">
        <f>IF($B73="","",IFERROR(BDP($B73&amp;" Action","CP036"),""))</f>
        <v/>
      </c>
      <c r="D73" s="183">
        <f>Database!S73</f>
        <v/>
      </c>
      <c r="E73" s="182">
        <f>IF($B73="","",IFERROR(BDP($B73&amp;" Action","CP037"),""))</f>
        <v/>
      </c>
      <c r="F73" s="183">
        <f>Database!T73</f>
        <v/>
      </c>
      <c r="G73" s="182">
        <f>IF($B73="","",IFERROR(BDP($B73&amp;" Action","GREENSHOE_FACILITY"),""))</f>
        <v/>
      </c>
      <c r="H73" s="182">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76">
        <f>Database!Q73</f>
        <v/>
      </c>
      <c r="O73" s="24">
        <f>IFERROR(BDH(Database!$A73&amp;" HK Equity","PE_RATIO",Database!$H73,Database!$H73),"")</f>
        <v/>
      </c>
      <c r="P73" s="180">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82">
        <f>IF($B74="","",IFERROR(BDP($B74&amp;" Action","CP036"),""))</f>
        <v/>
      </c>
      <c r="D74" s="183">
        <f>Database!S74</f>
        <v/>
      </c>
      <c r="E74" s="182">
        <f>IF($B74="","",IFERROR(BDP($B74&amp;" Action","CP037"),""))</f>
        <v/>
      </c>
      <c r="F74" s="183">
        <f>Database!T74</f>
        <v/>
      </c>
      <c r="G74" s="182">
        <f>IF($B74="","",IFERROR(BDP($B74&amp;" Action","GREENSHOE_FACILITY"),""))</f>
        <v/>
      </c>
      <c r="H74" s="182">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76">
        <f>Database!Q74</f>
        <v/>
      </c>
      <c r="O74" s="24">
        <f>IFERROR(BDH(Database!$A74&amp;" HK Equity","PE_RATIO",Database!$H74,Database!$H74),"")</f>
        <v/>
      </c>
      <c r="P74" s="180">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82">
        <f>IF($B75="","",IFERROR(BDP($B75&amp;" Action","CP036"),""))</f>
        <v/>
      </c>
      <c r="D75" s="183">
        <f>Database!S75</f>
        <v/>
      </c>
      <c r="E75" s="182">
        <f>IF($B75="","",IFERROR(BDP($B75&amp;" Action","CP037"),""))</f>
        <v/>
      </c>
      <c r="F75" s="183">
        <f>Database!T75</f>
        <v/>
      </c>
      <c r="G75" s="182">
        <f>IF($B75="","",IFERROR(BDP($B75&amp;" Action","GREENSHOE_FACILITY"),""))</f>
        <v/>
      </c>
      <c r="H75" s="182">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76">
        <f>Database!Q75</f>
        <v/>
      </c>
      <c r="O75" s="24">
        <f>IFERROR(BDH(Database!$A75&amp;" HK Equity","PE_RATIO",Database!$H75,Database!$H75),"")</f>
        <v/>
      </c>
      <c r="P75" s="180">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82">
        <f>IF($B76="","",IFERROR(BDP($B76&amp;" Action","CP036"),""))</f>
        <v/>
      </c>
      <c r="D76" s="183">
        <f>Database!S76</f>
        <v/>
      </c>
      <c r="E76" s="182">
        <f>IF($B76="","",IFERROR(BDP($B76&amp;" Action","CP037"),""))</f>
        <v/>
      </c>
      <c r="F76" s="183">
        <f>Database!T76</f>
        <v/>
      </c>
      <c r="G76" s="182">
        <f>IF($B76="","",IFERROR(BDP($B76&amp;" Action","GREENSHOE_FACILITY"),""))</f>
        <v/>
      </c>
      <c r="H76" s="182">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76">
        <f>Database!Q76</f>
        <v/>
      </c>
      <c r="O76" s="24">
        <f>IFERROR(BDH(Database!$A76&amp;" HK Equity","PE_RATIO",Database!$H76,Database!$H76),"")</f>
        <v/>
      </c>
      <c r="P76" s="180">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82">
        <f>IF($B77="","",IFERROR(BDP($B77&amp;" Action","CP036"),""))</f>
        <v/>
      </c>
      <c r="D77" s="183">
        <f>Database!S77</f>
        <v/>
      </c>
      <c r="E77" s="182">
        <f>IF($B77="","",IFERROR(BDP($B77&amp;" Action","CP037"),""))</f>
        <v/>
      </c>
      <c r="F77" s="183">
        <f>Database!T77</f>
        <v/>
      </c>
      <c r="G77" s="182">
        <f>IF($B77="","",IFERROR(BDP($B77&amp;" Action","GREENSHOE_FACILITY"),""))</f>
        <v/>
      </c>
      <c r="H77" s="182">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76">
        <f>Database!Q77</f>
        <v/>
      </c>
      <c r="O77" s="24">
        <f>IFERROR(BDH(Database!$A77&amp;" HK Equity","PE_RATIO",Database!$H77,Database!$H77),"")</f>
        <v/>
      </c>
      <c r="P77" s="180">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82">
        <f>IF($B78="","",IFERROR(BDP($B78&amp;" Action","CP036"),""))</f>
        <v/>
      </c>
      <c r="D78" s="183">
        <f>Database!S78</f>
        <v/>
      </c>
      <c r="E78" s="182">
        <f>IF($B78="","",IFERROR(BDP($B78&amp;" Action","CP037"),""))</f>
        <v/>
      </c>
      <c r="F78" s="183">
        <f>Database!T78</f>
        <v/>
      </c>
      <c r="G78" s="182">
        <f>IF($B78="","",IFERROR(BDP($B78&amp;" Action","GREENSHOE_FACILITY"),""))</f>
        <v/>
      </c>
      <c r="H78" s="182">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76">
        <f>Database!Q78</f>
        <v/>
      </c>
      <c r="O78" s="24">
        <f>IFERROR(BDH(Database!$A78&amp;" HK Equity","PE_RATIO",Database!$H78,Database!$H78),"")</f>
        <v/>
      </c>
      <c r="P78" s="180">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82">
        <f>IF($B79="","",IFERROR(BDP($B79&amp;" Action","CP036"),""))</f>
        <v/>
      </c>
      <c r="D79" s="183">
        <f>Database!S79</f>
        <v/>
      </c>
      <c r="E79" s="182">
        <f>IF($B79="","",IFERROR(BDP($B79&amp;" Action","CP037"),""))</f>
        <v/>
      </c>
      <c r="F79" s="183">
        <f>Database!T79</f>
        <v/>
      </c>
      <c r="G79" s="182">
        <f>IF($B79="","",IFERROR(BDP($B79&amp;" Action","GREENSHOE_FACILITY"),""))</f>
        <v/>
      </c>
      <c r="H79" s="182">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76">
        <f>Database!Q79</f>
        <v/>
      </c>
      <c r="O79" s="24">
        <f>IFERROR(BDH(Database!$A79&amp;" HK Equity","PE_RATIO",Database!$H79,Database!$H79),"")</f>
        <v/>
      </c>
      <c r="P79" s="180">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82">
        <f>IF($B80="","",IFERROR(BDP($B80&amp;" Action","CP036"),""))</f>
        <v/>
      </c>
      <c r="D80" s="183">
        <f>Database!S80</f>
        <v/>
      </c>
      <c r="E80" s="182">
        <f>IF($B80="","",IFERROR(BDP($B80&amp;" Action","CP037"),""))</f>
        <v/>
      </c>
      <c r="F80" s="183">
        <f>Database!T80</f>
        <v/>
      </c>
      <c r="G80" s="182">
        <f>IF($B80="","",IFERROR(BDP($B80&amp;" Action","GREENSHOE_FACILITY"),""))</f>
        <v/>
      </c>
      <c r="H80" s="182">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76">
        <f>Database!Q80</f>
        <v/>
      </c>
      <c r="O80" s="24">
        <f>IFERROR(BDH(Database!$A80&amp;" HK Equity","PE_RATIO",Database!$H80,Database!$H80),"")</f>
        <v/>
      </c>
      <c r="P80" s="180">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82">
        <f>IF($B81="","",IFERROR(BDP($B81&amp;" Action","CP036"),""))</f>
        <v/>
      </c>
      <c r="D81" s="183">
        <f>Database!S81</f>
        <v/>
      </c>
      <c r="E81" s="182">
        <f>IF($B81="","",IFERROR(BDP($B81&amp;" Action","CP037"),""))</f>
        <v/>
      </c>
      <c r="F81" s="183">
        <f>Database!T81</f>
        <v/>
      </c>
      <c r="G81" s="182">
        <f>IF($B81="","",IFERROR(BDP($B81&amp;" Action","GREENSHOE_FACILITY"),""))</f>
        <v/>
      </c>
      <c r="H81" s="182">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76">
        <f>Database!Q81</f>
        <v/>
      </c>
      <c r="O81" s="24">
        <f>IFERROR(BDH(Database!$A81&amp;" HK Equity","PE_RATIO",Database!$H81,Database!$H81),"")</f>
        <v/>
      </c>
      <c r="P81" s="180">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82">
        <f>IF($B82="","",IFERROR(BDP($B82&amp;" Action","CP036"),""))</f>
        <v/>
      </c>
      <c r="D82" s="183">
        <f>Database!S82</f>
        <v/>
      </c>
      <c r="E82" s="182">
        <f>IF($B82="","",IFERROR(BDP($B82&amp;" Action","CP037"),""))</f>
        <v/>
      </c>
      <c r="F82" s="183">
        <f>Database!T82</f>
        <v/>
      </c>
      <c r="G82" s="182">
        <f>IF($B82="","",IFERROR(BDP($B82&amp;" Action","GREENSHOE_FACILITY"),""))</f>
        <v/>
      </c>
      <c r="H82" s="182">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76">
        <f>Database!Q82</f>
        <v/>
      </c>
      <c r="O82" s="24">
        <f>IFERROR(BDH(Database!$A82&amp;" HK Equity","PE_RATIO",Database!$H82,Database!$H82),"")</f>
        <v/>
      </c>
      <c r="P82" s="180">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82">
        <f>IF($B83="","",IFERROR(BDP($B83&amp;" Action","CP036"),""))</f>
        <v/>
      </c>
      <c r="D83" s="183">
        <f>Database!S83</f>
        <v/>
      </c>
      <c r="E83" s="182">
        <f>IF($B83="","",IFERROR(BDP($B83&amp;" Action","CP037"),""))</f>
        <v/>
      </c>
      <c r="F83" s="183">
        <f>Database!T83</f>
        <v/>
      </c>
      <c r="G83" s="182">
        <f>IF($B83="","",IFERROR(BDP($B83&amp;" Action","GREENSHOE_FACILITY"),""))</f>
        <v/>
      </c>
      <c r="H83" s="182">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76">
        <f>Database!Q83</f>
        <v/>
      </c>
      <c r="O83" s="24">
        <f>IFERROR(BDH(Database!$A83&amp;" HK Equity","PE_RATIO",Database!$H83,Database!$H83),"")</f>
        <v/>
      </c>
      <c r="P83" s="180">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82">
        <f>IF($B84="","",IFERROR(BDP($B84&amp;" Action","CP036"),""))</f>
        <v/>
      </c>
      <c r="D84" s="183">
        <f>Database!S84</f>
        <v/>
      </c>
      <c r="E84" s="182">
        <f>IF($B84="","",IFERROR(BDP($B84&amp;" Action","CP037"),""))</f>
        <v/>
      </c>
      <c r="F84" s="183">
        <f>Database!T84</f>
        <v/>
      </c>
      <c r="G84" s="182">
        <f>IF($B84="","",IFERROR(BDP($B84&amp;" Action","GREENSHOE_FACILITY"),""))</f>
        <v/>
      </c>
      <c r="H84" s="182">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76">
        <f>Database!Q84</f>
        <v/>
      </c>
      <c r="O84" s="24">
        <f>IFERROR(BDH(Database!$A84&amp;" HK Equity","PE_RATIO",Database!$H84,Database!$H84),"")</f>
        <v/>
      </c>
      <c r="P84" s="180">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82">
        <f>IF($B85="","",IFERROR(BDP($B85&amp;" Action","CP036"),""))</f>
        <v/>
      </c>
      <c r="D85" s="183">
        <f>Database!S85</f>
        <v/>
      </c>
      <c r="E85" s="182">
        <f>IF($B85="","",IFERROR(BDP($B85&amp;" Action","CP037"),""))</f>
        <v/>
      </c>
      <c r="F85" s="183">
        <f>Database!T85</f>
        <v/>
      </c>
      <c r="G85" s="182">
        <f>IF($B85="","",IFERROR(BDP($B85&amp;" Action","GREENSHOE_FACILITY"),""))</f>
        <v/>
      </c>
      <c r="H85" s="182">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76">
        <f>Database!Q85</f>
        <v/>
      </c>
      <c r="O85" s="24">
        <f>IFERROR(BDH(Database!$A85&amp;" HK Equity","PE_RATIO",Database!$H85,Database!$H85),"")</f>
        <v/>
      </c>
      <c r="P85" s="180">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82">
        <f>IF($B86="","",IFERROR(BDP($B86&amp;" Action","CP036"),""))</f>
        <v/>
      </c>
      <c r="D86" s="183">
        <f>Database!S86</f>
        <v/>
      </c>
      <c r="E86" s="182">
        <f>IF($B86="","",IFERROR(BDP($B86&amp;" Action","CP037"),""))</f>
        <v/>
      </c>
      <c r="F86" s="183">
        <f>Database!T86</f>
        <v/>
      </c>
      <c r="G86" s="182">
        <f>IF($B86="","",IFERROR(BDP($B86&amp;" Action","GREENSHOE_FACILITY"),""))</f>
        <v/>
      </c>
      <c r="H86" s="182">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76">
        <f>Database!Q86</f>
        <v/>
      </c>
      <c r="O86" s="24">
        <f>IFERROR(BDH(Database!$A86&amp;" HK Equity","PE_RATIO",Database!$H86,Database!$H86),"")</f>
        <v/>
      </c>
      <c r="P86" s="180">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82">
        <f>IF($B87="","",IFERROR(BDP($B87&amp;" Action","CP036"),""))</f>
        <v/>
      </c>
      <c r="D87" s="183">
        <f>Database!S87</f>
        <v/>
      </c>
      <c r="E87" s="182">
        <f>IF($B87="","",IFERROR(BDP($B87&amp;" Action","CP037"),""))</f>
        <v/>
      </c>
      <c r="F87" s="183">
        <f>Database!T87</f>
        <v/>
      </c>
      <c r="G87" s="182">
        <f>IF($B87="","",IFERROR(BDP($B87&amp;" Action","GREENSHOE_FACILITY"),""))</f>
        <v/>
      </c>
      <c r="H87" s="182">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76">
        <f>Database!Q87</f>
        <v/>
      </c>
      <c r="O87" s="24">
        <f>IFERROR(BDH(Database!$A87&amp;" HK Equity","PE_RATIO",Database!$H87,Database!$H87),"")</f>
        <v/>
      </c>
      <c r="P87" s="180">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82">
        <f>IF($B88="","",IFERROR(BDP($B88&amp;" Action","CP036"),""))</f>
        <v/>
      </c>
      <c r="D88" s="183">
        <f>Database!S88</f>
        <v/>
      </c>
      <c r="E88" s="182">
        <f>IF($B88="","",IFERROR(BDP($B88&amp;" Action","CP037"),""))</f>
        <v/>
      </c>
      <c r="F88" s="183">
        <f>Database!T88</f>
        <v/>
      </c>
      <c r="G88" s="182">
        <f>IF($B88="","",IFERROR(BDP($B88&amp;" Action","GREENSHOE_FACILITY"),""))</f>
        <v/>
      </c>
      <c r="H88" s="182">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76">
        <f>Database!Q88</f>
        <v/>
      </c>
      <c r="O88" s="24">
        <f>IFERROR(BDH(Database!$A88&amp;" HK Equity","PE_RATIO",Database!$H88,Database!$H88),"")</f>
        <v/>
      </c>
      <c r="P88" s="180">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82">
        <f>IF($B89="","",IFERROR(BDP($B89&amp;" Action","CP036"),""))</f>
        <v/>
      </c>
      <c r="D89" s="183">
        <f>Database!S89</f>
        <v/>
      </c>
      <c r="E89" s="182">
        <f>IF($B89="","",IFERROR(BDP($B89&amp;" Action","CP037"),""))</f>
        <v/>
      </c>
      <c r="F89" s="183">
        <f>Database!T89</f>
        <v/>
      </c>
      <c r="G89" s="182">
        <f>IF($B89="","",IFERROR(BDP($B89&amp;" Action","GREENSHOE_FACILITY"),""))</f>
        <v/>
      </c>
      <c r="H89" s="182">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76">
        <f>Database!Q89</f>
        <v/>
      </c>
      <c r="O89" s="24">
        <f>IFERROR(BDH(Database!$A89&amp;" HK Equity","PE_RATIO",Database!$H89,Database!$H89),"")</f>
        <v/>
      </c>
      <c r="P89" s="180">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82">
        <f>IF($B90="","",IFERROR(BDP($B90&amp;" Action","CP036"),""))</f>
        <v/>
      </c>
      <c r="D90" s="183">
        <f>Database!S90</f>
        <v/>
      </c>
      <c r="E90" s="182">
        <f>IF($B90="","",IFERROR(BDP($B90&amp;" Action","CP037"),""))</f>
        <v/>
      </c>
      <c r="F90" s="183">
        <f>Database!T90</f>
        <v/>
      </c>
      <c r="G90" s="182">
        <f>IF($B90="","",IFERROR(BDP($B90&amp;" Action","GREENSHOE_FACILITY"),""))</f>
        <v/>
      </c>
      <c r="H90" s="182">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76">
        <f>Database!Q90</f>
        <v/>
      </c>
      <c r="O90" s="24">
        <f>IFERROR(BDH(Database!$A90&amp;" HK Equity","PE_RATIO",Database!$H90,Database!$H90),"")</f>
        <v/>
      </c>
      <c r="P90" s="180">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82">
        <f>IF($B91="","",IFERROR(BDP($B91&amp;" Action","CP036"),""))</f>
        <v/>
      </c>
      <c r="D91" s="183">
        <f>Database!S91</f>
        <v/>
      </c>
      <c r="E91" s="182">
        <f>IF($B91="","",IFERROR(BDP($B91&amp;" Action","CP037"),""))</f>
        <v/>
      </c>
      <c r="F91" s="183">
        <f>Database!T91</f>
        <v/>
      </c>
      <c r="G91" s="182">
        <f>IF($B91="","",IFERROR(BDP($B91&amp;" Action","GREENSHOE_FACILITY"),""))</f>
        <v/>
      </c>
      <c r="H91" s="182">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76">
        <f>Database!Q91</f>
        <v/>
      </c>
      <c r="O91" s="24">
        <f>IFERROR(BDH(Database!$A91&amp;" HK Equity","PE_RATIO",Database!$H91,Database!$H91),"")</f>
        <v/>
      </c>
      <c r="P91" s="180">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82">
        <f>IF($B92="","",IFERROR(BDP($B92&amp;" Action","CP036"),""))</f>
        <v/>
      </c>
      <c r="D92" s="183">
        <f>Database!S92</f>
        <v/>
      </c>
      <c r="E92" s="182">
        <f>IF($B92="","",IFERROR(BDP($B92&amp;" Action","CP037"),""))</f>
        <v/>
      </c>
      <c r="F92" s="183">
        <f>Database!T92</f>
        <v/>
      </c>
      <c r="G92" s="182">
        <f>IF($B92="","",IFERROR(BDP($B92&amp;" Action","GREENSHOE_FACILITY"),""))</f>
        <v/>
      </c>
      <c r="H92" s="182">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76">
        <f>Database!Q92</f>
        <v/>
      </c>
      <c r="O92" s="24">
        <f>IFERROR(BDH(Database!$A92&amp;" HK Equity","PE_RATIO",Database!$H92,Database!$H92),"")</f>
        <v/>
      </c>
      <c r="P92" s="180">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82">
        <f>IF($B93="","",IFERROR(BDP($B93&amp;" Action","CP036"),""))</f>
        <v/>
      </c>
      <c r="D93" s="183">
        <f>Database!S93</f>
        <v/>
      </c>
      <c r="E93" s="182">
        <f>IF($B93="","",IFERROR(BDP($B93&amp;" Action","CP037"),""))</f>
        <v/>
      </c>
      <c r="F93" s="183">
        <f>Database!T93</f>
        <v/>
      </c>
      <c r="G93" s="182">
        <f>IF($B93="","",IFERROR(BDP($B93&amp;" Action","GREENSHOE_FACILITY"),""))</f>
        <v/>
      </c>
      <c r="H93" s="182">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76">
        <f>Database!Q93</f>
        <v/>
      </c>
      <c r="O93" s="24">
        <f>IFERROR(BDH(Database!$A93&amp;" HK Equity","PE_RATIO",Database!$H93,Database!$H93),"")</f>
        <v/>
      </c>
      <c r="P93" s="180">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82">
        <f>IF($B94="","",IFERROR(BDP($B94&amp;" Action","CP036"),""))</f>
        <v/>
      </c>
      <c r="D94" s="183">
        <f>Database!S94</f>
        <v/>
      </c>
      <c r="E94" s="182">
        <f>IF($B94="","",IFERROR(BDP($B94&amp;" Action","CP037"),""))</f>
        <v/>
      </c>
      <c r="F94" s="183">
        <f>Database!T94</f>
        <v/>
      </c>
      <c r="G94" s="182">
        <f>IF($B94="","",IFERROR(BDP($B94&amp;" Action","GREENSHOE_FACILITY"),""))</f>
        <v/>
      </c>
      <c r="H94" s="182">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76">
        <f>Database!Q94</f>
        <v/>
      </c>
      <c r="O94" s="24">
        <f>IFERROR(BDH(Database!$A94&amp;" HK Equity","PE_RATIO",Database!$H94,Database!$H94),"")</f>
        <v/>
      </c>
      <c r="P94" s="180">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82">
        <f>IF($B95="","",IFERROR(BDP($B95&amp;" Action","CP036"),""))</f>
        <v/>
      </c>
      <c r="D95" s="183">
        <f>Database!S95</f>
        <v/>
      </c>
      <c r="E95" s="182">
        <f>IF($B95="","",IFERROR(BDP($B95&amp;" Action","CP037"),""))</f>
        <v/>
      </c>
      <c r="F95" s="183">
        <f>Database!T95</f>
        <v/>
      </c>
      <c r="G95" s="182">
        <f>IF($B95="","",IFERROR(BDP($B95&amp;" Action","GREENSHOE_FACILITY"),""))</f>
        <v/>
      </c>
      <c r="H95" s="182">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76">
        <f>Database!Q95</f>
        <v/>
      </c>
      <c r="O95" s="24">
        <f>IFERROR(BDH(Database!$A95&amp;" HK Equity","PE_RATIO",Database!$H95,Database!$H95),"")</f>
        <v/>
      </c>
      <c r="P95" s="180">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82">
        <f>IF($B96="","",IFERROR(BDP($B96&amp;" Action","CP036"),""))</f>
        <v/>
      </c>
      <c r="D96" s="183">
        <f>Database!S96</f>
        <v/>
      </c>
      <c r="E96" s="182">
        <f>IF($B96="","",IFERROR(BDP($B96&amp;" Action","CP037"),""))</f>
        <v/>
      </c>
      <c r="F96" s="183">
        <f>Database!T96</f>
        <v/>
      </c>
      <c r="G96" s="182">
        <f>IF($B96="","",IFERROR(BDP($B96&amp;" Action","GREENSHOE_FACILITY"),""))</f>
        <v/>
      </c>
      <c r="H96" s="182">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76">
        <f>Database!Q96</f>
        <v/>
      </c>
      <c r="O96" s="24">
        <f>IFERROR(BDH(Database!$A96&amp;" HK Equity","PE_RATIO",Database!$H96,Database!$H96),"")</f>
        <v/>
      </c>
      <c r="P96" s="180">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82">
        <f>IF($B97="","",IFERROR(BDP($B97&amp;" Action","CP036"),""))</f>
        <v/>
      </c>
      <c r="D97" s="183">
        <f>Database!S97</f>
        <v/>
      </c>
      <c r="E97" s="182">
        <f>IF($B97="","",IFERROR(BDP($B97&amp;" Action","CP037"),""))</f>
        <v/>
      </c>
      <c r="F97" s="183">
        <f>Database!T97</f>
        <v/>
      </c>
      <c r="G97" s="182">
        <f>IF($B97="","",IFERROR(BDP($B97&amp;" Action","GREENSHOE_FACILITY"),""))</f>
        <v/>
      </c>
      <c r="H97" s="182">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76">
        <f>Database!Q97</f>
        <v/>
      </c>
      <c r="O97" s="24">
        <f>IFERROR(BDH(Database!$A97&amp;" HK Equity","PE_RATIO",Database!$H97,Database!$H97),"")</f>
        <v/>
      </c>
      <c r="P97" s="180">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82">
        <f>IF($B98="","",IFERROR(BDP($B98&amp;" Action","CP036"),""))</f>
        <v/>
      </c>
      <c r="D98" s="183">
        <f>Database!S98</f>
        <v/>
      </c>
      <c r="E98" s="182">
        <f>IF($B98="","",IFERROR(BDP($B98&amp;" Action","CP037"),""))</f>
        <v/>
      </c>
      <c r="F98" s="183">
        <f>Database!T98</f>
        <v/>
      </c>
      <c r="G98" s="182">
        <f>IF($B98="","",IFERROR(BDP($B98&amp;" Action","GREENSHOE_FACILITY"),""))</f>
        <v/>
      </c>
      <c r="H98" s="182">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76">
        <f>Database!Q98</f>
        <v/>
      </c>
      <c r="O98" s="24">
        <f>IFERROR(BDH(Database!$A98&amp;" HK Equity","PE_RATIO",Database!$H98,Database!$H98),"")</f>
        <v/>
      </c>
      <c r="P98" s="180">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82">
        <f>IF($B99="","",IFERROR(BDP($B99&amp;" Action","CP036"),""))</f>
        <v/>
      </c>
      <c r="D99" s="183">
        <f>Database!S99</f>
        <v/>
      </c>
      <c r="E99" s="182">
        <f>IF($B99="","",IFERROR(BDP($B99&amp;" Action","CP037"),""))</f>
        <v/>
      </c>
      <c r="F99" s="183">
        <f>Database!T99</f>
        <v/>
      </c>
      <c r="G99" s="182">
        <f>IF($B99="","",IFERROR(BDP($B99&amp;" Action","GREENSHOE_FACILITY"),""))</f>
        <v/>
      </c>
      <c r="H99" s="182">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76">
        <f>Database!Q99</f>
        <v/>
      </c>
      <c r="O99" s="24">
        <f>IFERROR(BDH(Database!$A99&amp;" HK Equity","PE_RATIO",Database!$H99,Database!$H99),"")</f>
        <v/>
      </c>
      <c r="P99" s="180">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82">
        <f>IF($B100="","",IFERROR(BDP($B100&amp;" Action","CP036"),""))</f>
        <v/>
      </c>
      <c r="D100" s="183">
        <f>Database!S100</f>
        <v/>
      </c>
      <c r="E100" s="182">
        <f>IF($B100="","",IFERROR(BDP($B100&amp;" Action","CP037"),""))</f>
        <v/>
      </c>
      <c r="F100" s="183">
        <f>Database!T100</f>
        <v/>
      </c>
      <c r="G100" s="182">
        <f>IF($B100="","",IFERROR(BDP($B100&amp;" Action","GREENSHOE_FACILITY"),""))</f>
        <v/>
      </c>
      <c r="H100" s="182">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76">
        <f>Database!Q100</f>
        <v/>
      </c>
      <c r="O100" s="24">
        <f>IFERROR(BDH(Database!$A100&amp;" HK Equity","PE_RATIO",Database!$H100,Database!$H100),"")</f>
        <v/>
      </c>
      <c r="P100" s="180">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82">
        <f>IF($B101="","",IFERROR(BDP($B101&amp;" Action","CP036"),""))</f>
        <v/>
      </c>
      <c r="D101" s="183">
        <f>Database!S101</f>
        <v/>
      </c>
      <c r="E101" s="182">
        <f>IF($B101="","",IFERROR(BDP($B101&amp;" Action","CP037"),""))</f>
        <v/>
      </c>
      <c r="F101" s="183">
        <f>Database!T101</f>
        <v/>
      </c>
      <c r="G101" s="182">
        <f>IF($B101="","",IFERROR(BDP($B101&amp;" Action","GREENSHOE_FACILITY"),""))</f>
        <v/>
      </c>
      <c r="H101" s="182">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76">
        <f>Database!Q101</f>
        <v/>
      </c>
      <c r="O101" s="24">
        <f>IFERROR(BDH(Database!$A101&amp;" HK Equity","PE_RATIO",Database!$H101,Database!$H101),"")</f>
        <v/>
      </c>
      <c r="P101" s="180">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82">
        <f>IF($B102="","",IFERROR(BDP($B102&amp;" Action","CP036"),""))</f>
        <v/>
      </c>
      <c r="D102" s="183">
        <f>Database!S102</f>
        <v/>
      </c>
      <c r="E102" s="182">
        <f>IF($B102="","",IFERROR(BDP($B102&amp;" Action","CP037"),""))</f>
        <v/>
      </c>
      <c r="F102" s="183">
        <f>Database!T102</f>
        <v/>
      </c>
      <c r="G102" s="182">
        <f>IF($B102="","",IFERROR(BDP($B102&amp;" Action","GREENSHOE_FACILITY"),""))</f>
        <v/>
      </c>
      <c r="H102" s="182">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76">
        <f>Database!Q102</f>
        <v/>
      </c>
      <c r="O102" s="24">
        <f>IFERROR(BDH(Database!$A102&amp;" HK Equity","PE_RATIO",Database!$H102,Database!$H102),"")</f>
        <v/>
      </c>
      <c r="P102" s="180">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82">
        <f>IF($B103="","",IFERROR(BDP($B103&amp;" Action","CP036"),""))</f>
        <v/>
      </c>
      <c r="D103" s="183">
        <f>Database!S103</f>
        <v/>
      </c>
      <c r="E103" s="182">
        <f>IF($B103="","",IFERROR(BDP($B103&amp;" Action","CP037"),""))</f>
        <v/>
      </c>
      <c r="F103" s="183">
        <f>Database!T103</f>
        <v/>
      </c>
      <c r="G103" s="182">
        <f>IF($B103="","",IFERROR(BDP($B103&amp;" Action","GREENSHOE_FACILITY"),""))</f>
        <v/>
      </c>
      <c r="H103" s="182">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76">
        <f>Database!Q103</f>
        <v/>
      </c>
      <c r="O103" s="24">
        <f>IFERROR(BDH(Database!$A103&amp;" HK Equity","PE_RATIO",Database!$H103,Database!$H103),"")</f>
        <v/>
      </c>
      <c r="P103" s="180">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82">
        <f>IF($B104="","",IFERROR(BDP($B104&amp;" Action","CP036"),""))</f>
        <v/>
      </c>
      <c r="D104" s="183">
        <f>Database!S104</f>
        <v/>
      </c>
      <c r="E104" s="182">
        <f>IF($B104="","",IFERROR(BDP($B104&amp;" Action","CP037"),""))</f>
        <v/>
      </c>
      <c r="F104" s="183">
        <f>Database!T104</f>
        <v/>
      </c>
      <c r="G104" s="182">
        <f>IF($B104="","",IFERROR(BDP($B104&amp;" Action","GREENSHOE_FACILITY"),""))</f>
        <v/>
      </c>
      <c r="H104" s="182">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76">
        <f>Database!Q104</f>
        <v/>
      </c>
      <c r="O104" s="24">
        <f>IFERROR(BDH(Database!$A104&amp;" HK Equity","PE_RATIO",Database!$H104,Database!$H104),"")</f>
        <v/>
      </c>
      <c r="P104" s="180">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82">
        <f>IF($B105="","",IFERROR(BDP($B105&amp;" Action","CP036"),""))</f>
        <v/>
      </c>
      <c r="D105" s="183">
        <f>Database!S105</f>
        <v/>
      </c>
      <c r="E105" s="182">
        <f>IF($B105="","",IFERROR(BDP($B105&amp;" Action","CP037"),""))</f>
        <v/>
      </c>
      <c r="F105" s="183">
        <f>Database!T105</f>
        <v/>
      </c>
      <c r="G105" s="182">
        <f>IF($B105="","",IFERROR(BDP($B105&amp;" Action","GREENSHOE_FACILITY"),""))</f>
        <v/>
      </c>
      <c r="H105" s="182">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76">
        <f>Database!Q105</f>
        <v/>
      </c>
      <c r="O105" s="24">
        <f>IFERROR(BDH(Database!$A105&amp;" HK Equity","PE_RATIO",Database!$H105,Database!$H105),"")</f>
        <v/>
      </c>
      <c r="P105" s="180">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82">
        <f>IF($B106="","",IFERROR(BDP($B106&amp;" Action","CP036"),""))</f>
        <v/>
      </c>
      <c r="D106" s="183">
        <f>Database!S106</f>
        <v/>
      </c>
      <c r="E106" s="182">
        <f>IF($B106="","",IFERROR(BDP($B106&amp;" Action","CP037"),""))</f>
        <v/>
      </c>
      <c r="F106" s="183">
        <f>Database!T106</f>
        <v/>
      </c>
      <c r="G106" s="182">
        <f>IF($B106="","",IFERROR(BDP($B106&amp;" Action","GREENSHOE_FACILITY"),""))</f>
        <v/>
      </c>
      <c r="H106" s="182">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76">
        <f>Database!Q106</f>
        <v/>
      </c>
      <c r="O106" s="24">
        <f>IFERROR(BDH(Database!$A106&amp;" HK Equity","PE_RATIO",Database!$H106,Database!$H106),"")</f>
        <v/>
      </c>
      <c r="P106" s="180">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82">
        <f>IF($B107="","",IFERROR(BDP($B107&amp;" Action","CP036"),""))</f>
        <v/>
      </c>
      <c r="D107" s="183">
        <f>Database!S107</f>
        <v/>
      </c>
      <c r="E107" s="182">
        <f>IF($B107="","",IFERROR(BDP($B107&amp;" Action","CP037"),""))</f>
        <v/>
      </c>
      <c r="F107" s="183">
        <f>Database!T107</f>
        <v/>
      </c>
      <c r="G107" s="182">
        <f>IF($B107="","",IFERROR(BDP($B107&amp;" Action","GREENSHOE_FACILITY"),""))</f>
        <v/>
      </c>
      <c r="H107" s="182">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76">
        <f>Database!Q107</f>
        <v/>
      </c>
      <c r="O107" s="24">
        <f>IFERROR(BDH(Database!$A107&amp;" HK Equity","PE_RATIO",Database!$H107,Database!$H107),"")</f>
        <v/>
      </c>
      <c r="P107" s="180">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82">
        <f>IF($B108="","",IFERROR(BDP($B108&amp;" Action","CP036"),""))</f>
        <v/>
      </c>
      <c r="D108" s="183">
        <f>Database!S108</f>
        <v/>
      </c>
      <c r="E108" s="182">
        <f>IF($B108="","",IFERROR(BDP($B108&amp;" Action","CP037"),""))</f>
        <v/>
      </c>
      <c r="F108" s="183">
        <f>Database!T108</f>
        <v/>
      </c>
      <c r="G108" s="182">
        <f>IF($B108="","",IFERROR(BDP($B108&amp;" Action","GREENSHOE_FACILITY"),""))</f>
        <v/>
      </c>
      <c r="H108" s="182">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76">
        <f>Database!Q108</f>
        <v/>
      </c>
      <c r="O108" s="24">
        <f>IFERROR(BDH(Database!$A108&amp;" HK Equity","PE_RATIO",Database!$H108,Database!$H108),"")</f>
        <v/>
      </c>
      <c r="P108" s="180">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82">
        <f>IF($B109="","",IFERROR(BDP($B109&amp;" Action","CP036"),""))</f>
        <v/>
      </c>
      <c r="D109" s="183">
        <f>Database!S109</f>
        <v/>
      </c>
      <c r="E109" s="182">
        <f>IF($B109="","",IFERROR(BDP($B109&amp;" Action","CP037"),""))</f>
        <v/>
      </c>
      <c r="F109" s="183">
        <f>Database!T109</f>
        <v/>
      </c>
      <c r="G109" s="182">
        <f>IF($B109="","",IFERROR(BDP($B109&amp;" Action","GREENSHOE_FACILITY"),""))</f>
        <v/>
      </c>
      <c r="H109" s="182">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76">
        <f>Database!Q109</f>
        <v/>
      </c>
      <c r="O109" s="24">
        <f>IFERROR(BDH(Database!$A109&amp;" HK Equity","PE_RATIO",Database!$H109,Database!$H109),"")</f>
        <v/>
      </c>
      <c r="P109" s="180">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82">
        <f>IF($B110="","",IFERROR(BDP($B110&amp;" Action","CP036"),""))</f>
        <v/>
      </c>
      <c r="D110" s="183">
        <f>Database!S110</f>
        <v/>
      </c>
      <c r="E110" s="182">
        <f>IF($B110="","",IFERROR(BDP($B110&amp;" Action","CP037"),""))</f>
        <v/>
      </c>
      <c r="F110" s="183">
        <f>Database!T110</f>
        <v/>
      </c>
      <c r="G110" s="182">
        <f>IF($B110="","",IFERROR(BDP($B110&amp;" Action","GREENSHOE_FACILITY"),""))</f>
        <v/>
      </c>
      <c r="H110" s="182">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76">
        <f>Database!Q110</f>
        <v/>
      </c>
      <c r="O110" s="24">
        <f>IFERROR(BDH(Database!$A110&amp;" HK Equity","PE_RATIO",Database!$H110,Database!$H110),"")</f>
        <v/>
      </c>
      <c r="P110" s="180">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82">
        <f>IF($B111="","",IFERROR(BDP($B111&amp;" Action","CP036"),""))</f>
        <v/>
      </c>
      <c r="D111" s="183">
        <f>Database!S111</f>
        <v/>
      </c>
      <c r="E111" s="182">
        <f>IF($B111="","",IFERROR(BDP($B111&amp;" Action","CP037"),""))</f>
        <v/>
      </c>
      <c r="F111" s="183">
        <f>Database!T111</f>
        <v/>
      </c>
      <c r="G111" s="182">
        <f>IF($B111="","",IFERROR(BDP($B111&amp;" Action","GREENSHOE_FACILITY"),""))</f>
        <v/>
      </c>
      <c r="H111" s="182">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76">
        <f>Database!Q111</f>
        <v/>
      </c>
      <c r="O111" s="24">
        <f>IFERROR(BDH(Database!$A111&amp;" HK Equity","PE_RATIO",Database!$H111,Database!$H111),"")</f>
        <v/>
      </c>
      <c r="P111" s="180">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82">
        <f>IF($B112="","",IFERROR(BDP($B112&amp;" Action","CP036"),""))</f>
        <v/>
      </c>
      <c r="D112" s="183">
        <f>Database!S112</f>
        <v/>
      </c>
      <c r="E112" s="182">
        <f>IF($B112="","",IFERROR(BDP($B112&amp;" Action","CP037"),""))</f>
        <v/>
      </c>
      <c r="F112" s="183">
        <f>Database!T112</f>
        <v/>
      </c>
      <c r="G112" s="182">
        <f>IF($B112="","",IFERROR(BDP($B112&amp;" Action","GREENSHOE_FACILITY"),""))</f>
        <v/>
      </c>
      <c r="H112" s="182">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76">
        <f>Database!Q112</f>
        <v/>
      </c>
      <c r="O112" s="24">
        <f>IFERROR(BDH(Database!$A112&amp;" HK Equity","PE_RATIO",Database!$H112,Database!$H112),"")</f>
        <v/>
      </c>
      <c r="P112" s="180">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82">
        <f>IF($B113="","",IFERROR(BDP($B113&amp;" Action","CP036"),""))</f>
        <v/>
      </c>
      <c r="D113" s="183">
        <f>Database!S113</f>
        <v/>
      </c>
      <c r="E113" s="182">
        <f>IF($B113="","",IFERROR(BDP($B113&amp;" Action","CP037"),""))</f>
        <v/>
      </c>
      <c r="F113" s="183">
        <f>Database!T113</f>
        <v/>
      </c>
      <c r="G113" s="182">
        <f>IF($B113="","",IFERROR(BDP($B113&amp;" Action","GREENSHOE_FACILITY"),""))</f>
        <v/>
      </c>
      <c r="H113" s="182">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76">
        <f>Database!Q113</f>
        <v/>
      </c>
      <c r="O113" s="24">
        <f>IFERROR(BDH(Database!$A113&amp;" HK Equity","PE_RATIO",Database!$H113,Database!$H113),"")</f>
        <v/>
      </c>
      <c r="P113" s="180">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82">
        <f>IF($B114="","",IFERROR(BDP($B114&amp;" Action","CP036"),""))</f>
        <v/>
      </c>
      <c r="D114" s="183">
        <f>Database!S114</f>
        <v/>
      </c>
      <c r="E114" s="182">
        <f>IF($B114="","",IFERROR(BDP($B114&amp;" Action","CP037"),""))</f>
        <v/>
      </c>
      <c r="F114" s="183">
        <f>Database!T114</f>
        <v/>
      </c>
      <c r="G114" s="182">
        <f>IF($B114="","",IFERROR(BDP($B114&amp;" Action","GREENSHOE_FACILITY"),""))</f>
        <v/>
      </c>
      <c r="H114" s="182">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76">
        <f>Database!Q114</f>
        <v/>
      </c>
      <c r="O114" s="24">
        <f>IFERROR(BDH(Database!$A114&amp;" HK Equity","PE_RATIO",Database!$H114,Database!$H114),"")</f>
        <v/>
      </c>
      <c r="P114" s="180">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82">
        <f>IF($B115="","",IFERROR(BDP($B115&amp;" Action","CP036"),""))</f>
        <v/>
      </c>
      <c r="D115" s="183">
        <f>Database!S115</f>
        <v/>
      </c>
      <c r="E115" s="182">
        <f>IF($B115="","",IFERROR(BDP($B115&amp;" Action","CP037"),""))</f>
        <v/>
      </c>
      <c r="F115" s="183">
        <f>Database!T115</f>
        <v/>
      </c>
      <c r="G115" s="182">
        <f>IF($B115="","",IFERROR(BDP($B115&amp;" Action","GREENSHOE_FACILITY"),""))</f>
        <v/>
      </c>
      <c r="H115" s="182">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76">
        <f>Database!Q115</f>
        <v/>
      </c>
      <c r="O115" s="24">
        <f>IFERROR(BDH(Database!$A115&amp;" HK Equity","PE_RATIO",Database!$H115,Database!$H115),"")</f>
        <v/>
      </c>
      <c r="P115" s="180">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82">
        <f>IF($B116="","",IFERROR(BDP($B116&amp;" Action","CP036"),""))</f>
        <v/>
      </c>
      <c r="D116" s="183">
        <f>Database!S116</f>
        <v/>
      </c>
      <c r="E116" s="182">
        <f>IF($B116="","",IFERROR(BDP($B116&amp;" Action","CP037"),""))</f>
        <v/>
      </c>
      <c r="F116" s="183">
        <f>Database!T116</f>
        <v/>
      </c>
      <c r="G116" s="182">
        <f>IF($B116="","",IFERROR(BDP($B116&amp;" Action","GREENSHOE_FACILITY"),""))</f>
        <v/>
      </c>
      <c r="H116" s="182">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76">
        <f>Database!Q116</f>
        <v/>
      </c>
      <c r="O116" s="24">
        <f>IFERROR(BDH(Database!$A116&amp;" HK Equity","PE_RATIO",Database!$H116,Database!$H116),"")</f>
        <v/>
      </c>
      <c r="P116" s="180">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82">
        <f>IF($B117="","",IFERROR(BDP($B117&amp;" Action","CP036"),""))</f>
        <v/>
      </c>
      <c r="D117" s="183">
        <f>Database!S117</f>
        <v/>
      </c>
      <c r="E117" s="182">
        <f>IF($B117="","",IFERROR(BDP($B117&amp;" Action","CP037"),""))</f>
        <v/>
      </c>
      <c r="F117" s="183">
        <f>Database!T117</f>
        <v/>
      </c>
      <c r="G117" s="182">
        <f>IF($B117="","",IFERROR(BDP($B117&amp;" Action","GREENSHOE_FACILITY"),""))</f>
        <v/>
      </c>
      <c r="H117" s="182">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76">
        <f>Database!Q117</f>
        <v/>
      </c>
      <c r="O117" s="24">
        <f>IFERROR(BDH(Database!$A117&amp;" HK Equity","PE_RATIO",Database!$H117,Database!$H117),"")</f>
        <v/>
      </c>
      <c r="P117" s="180">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82">
        <f>IF($B118="","",IFERROR(BDP($B118&amp;" Action","CP036"),""))</f>
        <v/>
      </c>
      <c r="D118" s="183">
        <f>Database!S118</f>
        <v/>
      </c>
      <c r="E118" s="182">
        <f>IF($B118="","",IFERROR(BDP($B118&amp;" Action","CP037"),""))</f>
        <v/>
      </c>
      <c r="F118" s="183">
        <f>Database!T118</f>
        <v/>
      </c>
      <c r="G118" s="182">
        <f>IF($B118="","",IFERROR(BDP($B118&amp;" Action","GREENSHOE_FACILITY"),""))</f>
        <v/>
      </c>
      <c r="H118" s="182">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76">
        <f>Database!Q118</f>
        <v/>
      </c>
      <c r="O118" s="24">
        <f>IFERROR(BDH(Database!$A118&amp;" HK Equity","PE_RATIO",Database!$H118,Database!$H118),"")</f>
        <v/>
      </c>
      <c r="P118" s="180">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82">
        <f>IF($B119="","",IFERROR(BDP($B119&amp;" Action","CP036"),""))</f>
        <v/>
      </c>
      <c r="D119" s="183">
        <f>Database!S119</f>
        <v/>
      </c>
      <c r="E119" s="182">
        <f>IF($B119="","",IFERROR(BDP($B119&amp;" Action","CP037"),""))</f>
        <v/>
      </c>
      <c r="F119" s="183">
        <f>Database!T119</f>
        <v/>
      </c>
      <c r="G119" s="182">
        <f>IF($B119="","",IFERROR(BDP($B119&amp;" Action","GREENSHOE_FACILITY"),""))</f>
        <v/>
      </c>
      <c r="H119" s="182">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76">
        <f>Database!Q119</f>
        <v/>
      </c>
      <c r="O119" s="24">
        <f>IFERROR(BDH(Database!$A119&amp;" HK Equity","PE_RATIO",Database!$H119,Database!$H119),"")</f>
        <v/>
      </c>
      <c r="P119" s="180">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82">
        <f>IF($B120="","",IFERROR(BDP($B120&amp;" Action","CP036"),""))</f>
        <v/>
      </c>
      <c r="D120" s="183">
        <f>Database!S120</f>
        <v/>
      </c>
      <c r="E120" s="182">
        <f>IF($B120="","",IFERROR(BDP($B120&amp;" Action","CP037"),""))</f>
        <v/>
      </c>
      <c r="F120" s="183">
        <f>Database!T120</f>
        <v/>
      </c>
      <c r="G120" s="182">
        <f>IF($B120="","",IFERROR(BDP($B120&amp;" Action","GREENSHOE_FACILITY"),""))</f>
        <v/>
      </c>
      <c r="H120" s="182">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76">
        <f>Database!Q120</f>
        <v/>
      </c>
      <c r="O120" s="24">
        <f>IFERROR(BDH(Database!$A120&amp;" HK Equity","PE_RATIO",Database!$H120,Database!$H120),"")</f>
        <v/>
      </c>
      <c r="P120" s="180">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82">
        <f>IF($B121="","",IFERROR(BDP($B121&amp;" Action","CP036"),""))</f>
        <v/>
      </c>
      <c r="D121" s="183">
        <f>Database!S121</f>
        <v/>
      </c>
      <c r="E121" s="182">
        <f>IF($B121="","",IFERROR(BDP($B121&amp;" Action","CP037"),""))</f>
        <v/>
      </c>
      <c r="F121" s="183">
        <f>Database!T121</f>
        <v/>
      </c>
      <c r="G121" s="182">
        <f>IF($B121="","",IFERROR(BDP($B121&amp;" Action","GREENSHOE_FACILITY"),""))</f>
        <v/>
      </c>
      <c r="H121" s="182">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76">
        <f>Database!Q121</f>
        <v/>
      </c>
      <c r="O121" s="24">
        <f>IFERROR(BDH(Database!$A121&amp;" HK Equity","PE_RATIO",Database!$H121,Database!$H121),"")</f>
        <v/>
      </c>
      <c r="P121" s="180">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82">
        <f>IF($B122="","",IFERROR(BDP($B122&amp;" Action","CP036"),""))</f>
        <v/>
      </c>
      <c r="D122" s="183">
        <f>Database!S122</f>
        <v/>
      </c>
      <c r="E122" s="182">
        <f>IF($B122="","",IFERROR(BDP($B122&amp;" Action","CP037"),""))</f>
        <v/>
      </c>
      <c r="F122" s="183">
        <f>Database!T122</f>
        <v/>
      </c>
      <c r="G122" s="182">
        <f>IF($B122="","",IFERROR(BDP($B122&amp;" Action","GREENSHOE_FACILITY"),""))</f>
        <v/>
      </c>
      <c r="H122" s="182">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76">
        <f>Database!Q122</f>
        <v/>
      </c>
      <c r="O122" s="24">
        <f>IFERROR(BDH(Database!$A122&amp;" HK Equity","PE_RATIO",Database!$H122,Database!$H122),"")</f>
        <v/>
      </c>
      <c r="P122" s="180">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82">
        <f>IF($B123="","",IFERROR(BDP($B123&amp;" Action","CP036"),""))</f>
        <v/>
      </c>
      <c r="D123" s="183">
        <f>Database!S123</f>
        <v/>
      </c>
      <c r="E123" s="182">
        <f>IF($B123="","",IFERROR(BDP($B123&amp;" Action","CP037"),""))</f>
        <v/>
      </c>
      <c r="F123" s="183">
        <f>Database!T123</f>
        <v/>
      </c>
      <c r="G123" s="182">
        <f>IF($B123="","",IFERROR(BDP($B123&amp;" Action","GREENSHOE_FACILITY"),""))</f>
        <v/>
      </c>
      <c r="H123" s="182">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76">
        <f>Database!Q123</f>
        <v/>
      </c>
      <c r="O123" s="24">
        <f>IFERROR(BDH(Database!$A123&amp;" HK Equity","PE_RATIO",Database!$H123,Database!$H123),"")</f>
        <v/>
      </c>
      <c r="P123" s="180">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82">
        <f>IF($B124="","",IFERROR(BDP($B124&amp;" Action","CP036"),""))</f>
        <v/>
      </c>
      <c r="D124" s="183">
        <f>Database!S124</f>
        <v/>
      </c>
      <c r="E124" s="182">
        <f>IF($B124="","",IFERROR(BDP($B124&amp;" Action","CP037"),""))</f>
        <v/>
      </c>
      <c r="F124" s="183">
        <f>Database!T124</f>
        <v/>
      </c>
      <c r="G124" s="182">
        <f>IF($B124="","",IFERROR(BDP($B124&amp;" Action","GREENSHOE_FACILITY"),""))</f>
        <v/>
      </c>
      <c r="H124" s="182">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76">
        <f>Database!Q124</f>
        <v/>
      </c>
      <c r="O124" s="24">
        <f>IFERROR(BDH(Database!$A124&amp;" HK Equity","PE_RATIO",Database!$H124,Database!$H124),"")</f>
        <v/>
      </c>
      <c r="P124" s="180">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82">
        <f>IF($B125="","",IFERROR(BDP($B125&amp;" Action","CP036"),""))</f>
        <v/>
      </c>
      <c r="D125" s="183">
        <f>Database!S125</f>
        <v/>
      </c>
      <c r="E125" s="182">
        <f>IF($B125="","",IFERROR(BDP($B125&amp;" Action","CP037"),""))</f>
        <v/>
      </c>
      <c r="F125" s="183">
        <f>Database!T125</f>
        <v/>
      </c>
      <c r="G125" s="182">
        <f>IF($B125="","",IFERROR(BDP($B125&amp;" Action","GREENSHOE_FACILITY"),""))</f>
        <v/>
      </c>
      <c r="H125" s="182">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76">
        <f>Database!Q125</f>
        <v/>
      </c>
      <c r="O125" s="24">
        <f>IFERROR(BDH(Database!$A125&amp;" HK Equity","PE_RATIO",Database!$H125,Database!$H125),"")</f>
        <v/>
      </c>
      <c r="P125" s="180">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82">
        <f>IF($B126="","",IFERROR(BDP($B126&amp;" Action","CP036"),""))</f>
        <v/>
      </c>
      <c r="D126" s="183">
        <f>Database!S126</f>
        <v/>
      </c>
      <c r="E126" s="182">
        <f>IF($B126="","",IFERROR(BDP($B126&amp;" Action","CP037"),""))</f>
        <v/>
      </c>
      <c r="F126" s="183">
        <f>Database!T126</f>
        <v/>
      </c>
      <c r="G126" s="182">
        <f>IF($B126="","",IFERROR(BDP($B126&amp;" Action","GREENSHOE_FACILITY"),""))</f>
        <v/>
      </c>
      <c r="H126" s="182">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76">
        <f>Database!Q126</f>
        <v/>
      </c>
      <c r="O126" s="24">
        <f>IFERROR(BDH(Database!$A126&amp;" HK Equity","PE_RATIO",Database!$H126,Database!$H126),"")</f>
        <v/>
      </c>
      <c r="P126" s="180">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82">
        <f>IF($B127="","",IFERROR(BDP($B127&amp;" Action","CP036"),""))</f>
        <v/>
      </c>
      <c r="D127" s="183">
        <f>Database!S127</f>
        <v/>
      </c>
      <c r="E127" s="182">
        <f>IF($B127="","",IFERROR(BDP($B127&amp;" Action","CP037"),""))</f>
        <v/>
      </c>
      <c r="F127" s="183">
        <f>Database!T127</f>
        <v/>
      </c>
      <c r="G127" s="182">
        <f>IF($B127="","",IFERROR(BDP($B127&amp;" Action","GREENSHOE_FACILITY"),""))</f>
        <v/>
      </c>
      <c r="H127" s="182">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76">
        <f>Database!Q127</f>
        <v/>
      </c>
      <c r="O127" s="24">
        <f>IFERROR(BDH(Database!$A127&amp;" HK Equity","PE_RATIO",Database!$H127,Database!$H127),"")</f>
        <v/>
      </c>
      <c r="P127" s="180">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82">
        <f>IF($B128="","",IFERROR(BDP($B128&amp;" Action","CP036"),""))</f>
        <v/>
      </c>
      <c r="D128" s="183">
        <f>Database!S128</f>
        <v/>
      </c>
      <c r="E128" s="182">
        <f>IF($B128="","",IFERROR(BDP($B128&amp;" Action","CP037"),""))</f>
        <v/>
      </c>
      <c r="F128" s="183">
        <f>Database!T128</f>
        <v/>
      </c>
      <c r="G128" s="182">
        <f>IF($B128="","",IFERROR(BDP($B128&amp;" Action","GREENSHOE_FACILITY"),""))</f>
        <v/>
      </c>
      <c r="H128" s="182">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76">
        <f>Database!Q128</f>
        <v/>
      </c>
      <c r="O128" s="24">
        <f>IFERROR(BDH(Database!$A128&amp;" HK Equity","PE_RATIO",Database!$H128,Database!$H128),"")</f>
        <v/>
      </c>
      <c r="P128" s="180">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82">
        <f>IF($B129="","",IFERROR(BDP($B129&amp;" Action","CP036"),""))</f>
        <v/>
      </c>
      <c r="D129" s="183">
        <f>Database!S129</f>
        <v/>
      </c>
      <c r="E129" s="182">
        <f>IF($B129="","",IFERROR(BDP($B129&amp;" Action","CP037"),""))</f>
        <v/>
      </c>
      <c r="F129" s="183">
        <f>Database!T129</f>
        <v/>
      </c>
      <c r="G129" s="182">
        <f>IF($B129="","",IFERROR(BDP($B129&amp;" Action","GREENSHOE_FACILITY"),""))</f>
        <v/>
      </c>
      <c r="H129" s="182">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76">
        <f>Database!Q129</f>
        <v/>
      </c>
      <c r="O129" s="24">
        <f>IFERROR(BDH(Database!$A129&amp;" HK Equity","PE_RATIO",Database!$H129,Database!$H129),"")</f>
        <v/>
      </c>
      <c r="P129" s="180">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82">
        <f>IF($B130="","",IFERROR(BDP($B130&amp;" Action","CP036"),""))</f>
        <v/>
      </c>
      <c r="D130" s="183">
        <f>Database!S130</f>
        <v/>
      </c>
      <c r="E130" s="182">
        <f>IF($B130="","",IFERROR(BDP($B130&amp;" Action","CP037"),""))</f>
        <v/>
      </c>
      <c r="F130" s="183">
        <f>Database!T130</f>
        <v/>
      </c>
      <c r="G130" s="182">
        <f>IF($B130="","",IFERROR(BDP($B130&amp;" Action","GREENSHOE_FACILITY"),""))</f>
        <v/>
      </c>
      <c r="H130" s="182">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76">
        <f>Database!Q130</f>
        <v/>
      </c>
      <c r="O130" s="24">
        <f>IFERROR(BDH(Database!$A130&amp;" HK Equity","PE_RATIO",Database!$H130,Database!$H130),"")</f>
        <v/>
      </c>
      <c r="P130" s="180">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82">
        <f>IF($B131="","",IFERROR(BDP($B131&amp;" Action","CP036"),""))</f>
        <v/>
      </c>
      <c r="D131" s="183">
        <f>Database!S131</f>
        <v/>
      </c>
      <c r="E131" s="182">
        <f>IF($B131="","",IFERROR(BDP($B131&amp;" Action","CP037"),""))</f>
        <v/>
      </c>
      <c r="F131" s="183">
        <f>Database!T131</f>
        <v/>
      </c>
      <c r="G131" s="182">
        <f>IF($B131="","",IFERROR(BDP($B131&amp;" Action","GREENSHOE_FACILITY"),""))</f>
        <v/>
      </c>
      <c r="H131" s="182">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76">
        <f>Database!Q131</f>
        <v/>
      </c>
      <c r="O131" s="24">
        <f>IFERROR(BDH(Database!$A131&amp;" HK Equity","PE_RATIO",Database!$H131,Database!$H131),"")</f>
        <v/>
      </c>
      <c r="P131" s="180">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82">
        <f>IF($B132="","",IFERROR(BDP($B132&amp;" Action","CP036"),""))</f>
        <v/>
      </c>
      <c r="D132" s="183">
        <f>Database!S132</f>
        <v/>
      </c>
      <c r="E132" s="182">
        <f>IF($B132="","",IFERROR(BDP($B132&amp;" Action","CP037"),""))</f>
        <v/>
      </c>
      <c r="F132" s="183">
        <f>Database!T132</f>
        <v/>
      </c>
      <c r="G132" s="182">
        <f>IF($B132="","",IFERROR(BDP($B132&amp;" Action","GREENSHOE_FACILITY"),""))</f>
        <v/>
      </c>
      <c r="H132" s="182">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76">
        <f>Database!Q132</f>
        <v/>
      </c>
      <c r="O132" s="24">
        <f>IFERROR(BDH(Database!$A132&amp;" HK Equity","PE_RATIO",Database!$H132,Database!$H132),"")</f>
        <v/>
      </c>
      <c r="P132" s="180">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82">
        <f>IF($B133="","",IFERROR(BDP($B133&amp;" Action","CP036"),""))</f>
        <v/>
      </c>
      <c r="D133" s="183">
        <f>Database!S133</f>
        <v/>
      </c>
      <c r="E133" s="182">
        <f>IF($B133="","",IFERROR(BDP($B133&amp;" Action","CP037"),""))</f>
        <v/>
      </c>
      <c r="F133" s="183">
        <f>Database!T133</f>
        <v/>
      </c>
      <c r="G133" s="182">
        <f>IF($B133="","",IFERROR(BDP($B133&amp;" Action","GREENSHOE_FACILITY"),""))</f>
        <v/>
      </c>
      <c r="H133" s="182">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76">
        <f>Database!Q133</f>
        <v/>
      </c>
      <c r="O133" s="24">
        <f>IFERROR(BDH(Database!$A133&amp;" HK Equity","PE_RATIO",Database!$H133,Database!$H133),"")</f>
        <v/>
      </c>
      <c r="P133" s="180">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82">
        <f>IF($B134="","",IFERROR(BDP($B134&amp;" Action","CP036"),""))</f>
        <v/>
      </c>
      <c r="D134" s="183">
        <f>Database!S134</f>
        <v/>
      </c>
      <c r="E134" s="182">
        <f>IF($B134="","",IFERROR(BDP($B134&amp;" Action","CP037"),""))</f>
        <v/>
      </c>
      <c r="F134" s="183">
        <f>Database!T134</f>
        <v/>
      </c>
      <c r="G134" s="182">
        <f>IF($B134="","",IFERROR(BDP($B134&amp;" Action","GREENSHOE_FACILITY"),""))</f>
        <v/>
      </c>
      <c r="H134" s="182">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76">
        <f>Database!Q134</f>
        <v/>
      </c>
      <c r="O134" s="24">
        <f>IFERROR(BDH(Database!$A134&amp;" HK Equity","PE_RATIO",Database!$H134,Database!$H134),"")</f>
        <v/>
      </c>
      <c r="P134" s="180">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82">
        <f>IF($B135="","",IFERROR(BDP($B135&amp;" Action","CP036"),""))</f>
        <v/>
      </c>
      <c r="D135" s="183">
        <f>Database!S135</f>
        <v/>
      </c>
      <c r="E135" s="182">
        <f>IF($B135="","",IFERROR(BDP($B135&amp;" Action","CP037"),""))</f>
        <v/>
      </c>
      <c r="F135" s="183">
        <f>Database!T135</f>
        <v/>
      </c>
      <c r="G135" s="182">
        <f>IF($B135="","",IFERROR(BDP($B135&amp;" Action","GREENSHOE_FACILITY"),""))</f>
        <v/>
      </c>
      <c r="H135" s="182">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76">
        <f>Database!Q135</f>
        <v/>
      </c>
      <c r="O135" s="24">
        <f>IFERROR(BDH(Database!$A135&amp;" HK Equity","PE_RATIO",Database!$H135,Database!$H135),"")</f>
        <v/>
      </c>
      <c r="P135" s="180">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82">
        <f>IF($B136="","",IFERROR(BDP($B136&amp;" Action","CP036"),""))</f>
        <v/>
      </c>
      <c r="D136" s="183">
        <f>Database!S136</f>
        <v/>
      </c>
      <c r="E136" s="182">
        <f>IF($B136="","",IFERROR(BDP($B136&amp;" Action","CP037"),""))</f>
        <v/>
      </c>
      <c r="F136" s="183">
        <f>Database!T136</f>
        <v/>
      </c>
      <c r="G136" s="182">
        <f>IF($B136="","",IFERROR(BDP($B136&amp;" Action","GREENSHOE_FACILITY"),""))</f>
        <v/>
      </c>
      <c r="H136" s="182">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76">
        <f>Database!Q136</f>
        <v/>
      </c>
      <c r="O136" s="24">
        <f>IFERROR(BDH(Database!$A136&amp;" HK Equity","PE_RATIO",Database!$H136,Database!$H136),"")</f>
        <v/>
      </c>
      <c r="P136" s="180">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82">
        <f>IF($B137="","",IFERROR(BDP($B137&amp;" Action","CP036"),""))</f>
        <v/>
      </c>
      <c r="D137" s="183">
        <f>Database!S137</f>
        <v/>
      </c>
      <c r="E137" s="182">
        <f>IF($B137="","",IFERROR(BDP($B137&amp;" Action","CP037"),""))</f>
        <v/>
      </c>
      <c r="F137" s="183">
        <f>Database!T137</f>
        <v/>
      </c>
      <c r="G137" s="182">
        <f>IF($B137="","",IFERROR(BDP($B137&amp;" Action","GREENSHOE_FACILITY"),""))</f>
        <v/>
      </c>
      <c r="H137" s="182">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76">
        <f>Database!Q137</f>
        <v/>
      </c>
      <c r="O137" s="24">
        <f>IFERROR(BDH(Database!$A137&amp;" HK Equity","PE_RATIO",Database!$H137,Database!$H137),"")</f>
        <v/>
      </c>
      <c r="P137" s="180">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82">
        <f>IF($B138="","",IFERROR(BDP($B138&amp;" Action","CP036"),""))</f>
        <v/>
      </c>
      <c r="D138" s="183">
        <f>Database!S138</f>
        <v/>
      </c>
      <c r="E138" s="182">
        <f>IF($B138="","",IFERROR(BDP($B138&amp;" Action","CP037"),""))</f>
        <v/>
      </c>
      <c r="F138" s="183">
        <f>Database!T138</f>
        <v/>
      </c>
      <c r="G138" s="182">
        <f>IF($B138="","",IFERROR(BDP($B138&amp;" Action","GREENSHOE_FACILITY"),""))</f>
        <v/>
      </c>
      <c r="H138" s="182">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76">
        <f>Database!Q138</f>
        <v/>
      </c>
      <c r="O138" s="24">
        <f>IFERROR(BDH(Database!$A138&amp;" HK Equity","PE_RATIO",Database!$H138,Database!$H138),"")</f>
        <v/>
      </c>
      <c r="P138" s="180">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82">
        <f>IF($B139="","",IFERROR(BDP($B139&amp;" Action","CP036"),""))</f>
        <v/>
      </c>
      <c r="D139" s="183">
        <f>Database!S139</f>
        <v/>
      </c>
      <c r="E139" s="182">
        <f>IF($B139="","",IFERROR(BDP($B139&amp;" Action","CP037"),""))</f>
        <v/>
      </c>
      <c r="F139" s="183">
        <f>Database!T139</f>
        <v/>
      </c>
      <c r="G139" s="182">
        <f>IF($B139="","",IFERROR(BDP($B139&amp;" Action","GREENSHOE_FACILITY"),""))</f>
        <v/>
      </c>
      <c r="H139" s="182">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76">
        <f>Database!Q139</f>
        <v/>
      </c>
      <c r="O139" s="24">
        <f>IFERROR(BDH(Database!$A139&amp;" HK Equity","PE_RATIO",Database!$H139,Database!$H139),"")</f>
        <v/>
      </c>
      <c r="P139" s="180">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82">
        <f>IF($B140="","",IFERROR(BDP($B140&amp;" Action","CP036"),""))</f>
        <v/>
      </c>
      <c r="D140" s="183">
        <f>Database!S140</f>
        <v/>
      </c>
      <c r="E140" s="182">
        <f>IF($B140="","",IFERROR(BDP($B140&amp;" Action","CP037"),""))</f>
        <v/>
      </c>
      <c r="F140" s="183">
        <f>Database!T140</f>
        <v/>
      </c>
      <c r="G140" s="182">
        <f>IF($B140="","",IFERROR(BDP($B140&amp;" Action","GREENSHOE_FACILITY"),""))</f>
        <v/>
      </c>
      <c r="H140" s="182">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76">
        <f>Database!Q140</f>
        <v/>
      </c>
      <c r="O140" s="24">
        <f>IFERROR(BDH(Database!$A140&amp;" HK Equity","PE_RATIO",Database!$H140,Database!$H140),"")</f>
        <v/>
      </c>
      <c r="P140" s="180">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82">
        <f>IF($B141="","",IFERROR(BDP($B141&amp;" Action","CP036"),""))</f>
        <v/>
      </c>
      <c r="D141" s="183">
        <f>Database!S141</f>
        <v/>
      </c>
      <c r="E141" s="182">
        <f>IF($B141="","",IFERROR(BDP($B141&amp;" Action","CP037"),""))</f>
        <v/>
      </c>
      <c r="F141" s="183">
        <f>Database!T141</f>
        <v/>
      </c>
      <c r="G141" s="182">
        <f>IF($B141="","",IFERROR(BDP($B141&amp;" Action","GREENSHOE_FACILITY"),""))</f>
        <v/>
      </c>
      <c r="H141" s="182">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76">
        <f>Database!Q141</f>
        <v/>
      </c>
      <c r="O141" s="24">
        <f>IFERROR(BDH(Database!$A141&amp;" HK Equity","PE_RATIO",Database!$H141,Database!$H141),"")</f>
        <v/>
      </c>
      <c r="P141" s="180">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82">
        <f>IF($B142="","",IFERROR(BDP($B142&amp;" Action","CP036"),""))</f>
        <v/>
      </c>
      <c r="D142" s="183">
        <f>Database!S142</f>
        <v/>
      </c>
      <c r="E142" s="182">
        <f>IF($B142="","",IFERROR(BDP($B142&amp;" Action","CP037"),""))</f>
        <v/>
      </c>
      <c r="F142" s="183">
        <f>Database!T142</f>
        <v/>
      </c>
      <c r="G142" s="182">
        <f>IF($B142="","",IFERROR(BDP($B142&amp;" Action","GREENSHOE_FACILITY"),""))</f>
        <v/>
      </c>
      <c r="H142" s="182">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76">
        <f>Database!Q142</f>
        <v/>
      </c>
      <c r="O142" s="24">
        <f>IFERROR(BDH(Database!$A142&amp;" HK Equity","PE_RATIO",Database!$H142,Database!$H142),"")</f>
        <v/>
      </c>
      <c r="P142" s="180">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82">
        <f>IF($B143="","",IFERROR(BDP($B143&amp;" Action","CP036"),""))</f>
        <v/>
      </c>
      <c r="D143" s="183">
        <f>Database!S143</f>
        <v/>
      </c>
      <c r="E143" s="182">
        <f>IF($B143="","",IFERROR(BDP($B143&amp;" Action","CP037"),""))</f>
        <v/>
      </c>
      <c r="F143" s="183">
        <f>Database!T143</f>
        <v/>
      </c>
      <c r="G143" s="182">
        <f>IF($B143="","",IFERROR(BDP($B143&amp;" Action","GREENSHOE_FACILITY"),""))</f>
        <v/>
      </c>
      <c r="H143" s="182">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76">
        <f>Database!Q143</f>
        <v/>
      </c>
      <c r="O143" s="24">
        <f>IFERROR(BDH(Database!$A143&amp;" HK Equity","PE_RATIO",Database!$H143,Database!$H143),"")</f>
        <v/>
      </c>
      <c r="P143" s="180">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82">
        <f>IF($B144="","",IFERROR(BDP($B144&amp;" Action","CP036"),""))</f>
        <v/>
      </c>
      <c r="D144" s="183">
        <f>Database!S144</f>
        <v/>
      </c>
      <c r="E144" s="182">
        <f>IF($B144="","",IFERROR(BDP($B144&amp;" Action","CP037"),""))</f>
        <v/>
      </c>
      <c r="F144" s="183">
        <f>Database!T144</f>
        <v/>
      </c>
      <c r="G144" s="182">
        <f>IF($B144="","",IFERROR(BDP($B144&amp;" Action","GREENSHOE_FACILITY"),""))</f>
        <v/>
      </c>
      <c r="H144" s="182">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76">
        <f>Database!Q144</f>
        <v/>
      </c>
      <c r="O144" s="24">
        <f>IFERROR(BDH(Database!$A144&amp;" HK Equity","PE_RATIO",Database!$H144,Database!$H144),"")</f>
        <v/>
      </c>
      <c r="P144" s="180">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82">
        <f>IF($B145="","",IFERROR(BDP($B145&amp;" Action","CP036"),""))</f>
        <v/>
      </c>
      <c r="D145" s="183">
        <f>Database!S145</f>
        <v/>
      </c>
      <c r="E145" s="182">
        <f>IF($B145="","",IFERROR(BDP($B145&amp;" Action","CP037"),""))</f>
        <v/>
      </c>
      <c r="F145" s="183">
        <f>Database!T145</f>
        <v/>
      </c>
      <c r="G145" s="182">
        <f>IF($B145="","",IFERROR(BDP($B145&amp;" Action","GREENSHOE_FACILITY"),""))</f>
        <v/>
      </c>
      <c r="H145" s="182">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76">
        <f>Database!Q145</f>
        <v/>
      </c>
      <c r="O145" s="24">
        <f>IFERROR(BDH(Database!$A145&amp;" HK Equity","PE_RATIO",Database!$H145,Database!$H145),"")</f>
        <v/>
      </c>
      <c r="P145" s="180">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82">
        <f>IF($B146="","",IFERROR(BDP($B146&amp;" Action","CP036"),""))</f>
        <v/>
      </c>
      <c r="D146" s="183">
        <f>Database!S146</f>
        <v/>
      </c>
      <c r="E146" s="182">
        <f>IF($B146="","",IFERROR(BDP($B146&amp;" Action","CP037"),""))</f>
        <v/>
      </c>
      <c r="F146" s="183">
        <f>Database!T146</f>
        <v/>
      </c>
      <c r="G146" s="182">
        <f>IF($B146="","",IFERROR(BDP($B146&amp;" Action","GREENSHOE_FACILITY"),""))</f>
        <v/>
      </c>
      <c r="H146" s="182">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76">
        <f>Database!Q146</f>
        <v/>
      </c>
      <c r="O146" s="24">
        <f>IFERROR(BDH(Database!$A146&amp;" HK Equity","PE_RATIO",Database!$H146,Database!$H146),"")</f>
        <v/>
      </c>
      <c r="P146" s="180">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82">
        <f>IF($B147="","",IFERROR(BDP($B147&amp;" Action","CP036"),""))</f>
        <v/>
      </c>
      <c r="D147" s="183">
        <f>Database!S147</f>
        <v/>
      </c>
      <c r="E147" s="182">
        <f>IF($B147="","",IFERROR(BDP($B147&amp;" Action","CP037"),""))</f>
        <v/>
      </c>
      <c r="F147" s="183">
        <f>Database!T147</f>
        <v/>
      </c>
      <c r="G147" s="182">
        <f>IF($B147="","",IFERROR(BDP($B147&amp;" Action","GREENSHOE_FACILITY"),""))</f>
        <v/>
      </c>
      <c r="H147" s="182">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76">
        <f>Database!Q147</f>
        <v/>
      </c>
      <c r="O147" s="24">
        <f>IFERROR(BDH(Database!$A147&amp;" HK Equity","PE_RATIO",Database!$H147,Database!$H147),"")</f>
        <v/>
      </c>
      <c r="P147" s="180">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82">
        <f>IF($B148="","",IFERROR(BDP($B148&amp;" Action","CP036"),""))</f>
        <v/>
      </c>
      <c r="D148" s="183">
        <f>Database!S148</f>
        <v/>
      </c>
      <c r="E148" s="182">
        <f>IF($B148="","",IFERROR(BDP($B148&amp;" Action","CP037"),""))</f>
        <v/>
      </c>
      <c r="F148" s="183">
        <f>Database!T148</f>
        <v/>
      </c>
      <c r="G148" s="182">
        <f>IF($B148="","",IFERROR(BDP($B148&amp;" Action","GREENSHOE_FACILITY"),""))</f>
        <v/>
      </c>
      <c r="H148" s="182">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76">
        <f>Database!Q148</f>
        <v/>
      </c>
      <c r="O148" s="24">
        <f>IFERROR(BDH(Database!$A148&amp;" HK Equity","PE_RATIO",Database!$H148,Database!$H148),"")</f>
        <v/>
      </c>
      <c r="P148" s="180">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82">
        <f>IF($B149="","",IFERROR(BDP($B149&amp;" Action","CP036"),""))</f>
        <v/>
      </c>
      <c r="D149" s="183">
        <f>Database!S149</f>
        <v/>
      </c>
      <c r="E149" s="182">
        <f>IF($B149="","",IFERROR(BDP($B149&amp;" Action","CP037"),""))</f>
        <v/>
      </c>
      <c r="F149" s="183">
        <f>Database!T149</f>
        <v/>
      </c>
      <c r="G149" s="182">
        <f>IF($B149="","",IFERROR(BDP($B149&amp;" Action","GREENSHOE_FACILITY"),""))</f>
        <v/>
      </c>
      <c r="H149" s="182">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76">
        <f>Database!Q149</f>
        <v/>
      </c>
      <c r="O149" s="24">
        <f>IFERROR(BDH(Database!$A149&amp;" HK Equity","PE_RATIO",Database!$H149,Database!$H149),"")</f>
        <v/>
      </c>
      <c r="P149" s="180">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82">
        <f>IF($B150="","",IFERROR(BDP($B150&amp;" Action","CP036"),""))</f>
        <v/>
      </c>
      <c r="D150" s="183">
        <f>Database!S150</f>
        <v/>
      </c>
      <c r="E150" s="182">
        <f>IF($B150="","",IFERROR(BDP($B150&amp;" Action","CP037"),""))</f>
        <v/>
      </c>
      <c r="F150" s="183">
        <f>Database!T150</f>
        <v/>
      </c>
      <c r="G150" s="182">
        <f>IF($B150="","",IFERROR(BDP($B150&amp;" Action","GREENSHOE_FACILITY"),""))</f>
        <v/>
      </c>
      <c r="H150" s="182">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76">
        <f>Database!Q150</f>
        <v/>
      </c>
      <c r="O150" s="24">
        <f>IFERROR(BDH(Database!$A150&amp;" HK Equity","PE_RATIO",Database!$H150,Database!$H150),"")</f>
        <v/>
      </c>
      <c r="P150" s="180">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82">
        <f>IF($B151="","",IFERROR(BDP($B151&amp;" Action","CP036"),""))</f>
        <v/>
      </c>
      <c r="D151" s="183">
        <f>Database!S151</f>
        <v/>
      </c>
      <c r="E151" s="182">
        <f>IF($B151="","",IFERROR(BDP($B151&amp;" Action","CP037"),""))</f>
        <v/>
      </c>
      <c r="F151" s="183">
        <f>Database!T151</f>
        <v/>
      </c>
      <c r="G151" s="182">
        <f>IF($B151="","",IFERROR(BDP($B151&amp;" Action","GREENSHOE_FACILITY"),""))</f>
        <v/>
      </c>
      <c r="H151" s="182">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76">
        <f>Database!Q151</f>
        <v/>
      </c>
      <c r="O151" s="24">
        <f>IFERROR(BDH(Database!$A151&amp;" HK Equity","PE_RATIO",Database!$H151,Database!$H151),"")</f>
        <v/>
      </c>
      <c r="P151" s="180">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82">
        <f>IF($B152="","",IFERROR(BDP($B152&amp;" Action","CP036"),""))</f>
        <v/>
      </c>
      <c r="D152" s="183">
        <f>Database!S152</f>
        <v/>
      </c>
      <c r="E152" s="182">
        <f>IF($B152="","",IFERROR(BDP($B152&amp;" Action","CP037"),""))</f>
        <v/>
      </c>
      <c r="F152" s="183">
        <f>Database!T152</f>
        <v/>
      </c>
      <c r="G152" s="182">
        <f>IF($B152="","",IFERROR(BDP($B152&amp;" Action","GREENSHOE_FACILITY"),""))</f>
        <v/>
      </c>
      <c r="H152" s="182">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76">
        <f>Database!Q152</f>
        <v/>
      </c>
      <c r="O152" s="24">
        <f>IFERROR(BDH(Database!$A152&amp;" HK Equity","PE_RATIO",Database!$H152,Database!$H152),"")</f>
        <v/>
      </c>
      <c r="P152" s="180">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82">
        <f>IF($B153="","",IFERROR(BDP($B153&amp;" Action","CP036"),""))</f>
        <v/>
      </c>
      <c r="D153" s="183">
        <f>Database!S153</f>
        <v/>
      </c>
      <c r="E153" s="182">
        <f>IF($B153="","",IFERROR(BDP($B153&amp;" Action","CP037"),""))</f>
        <v/>
      </c>
      <c r="F153" s="183">
        <f>Database!T153</f>
        <v/>
      </c>
      <c r="G153" s="182">
        <f>IF($B153="","",IFERROR(BDP($B153&amp;" Action","GREENSHOE_FACILITY"),""))</f>
        <v/>
      </c>
      <c r="H153" s="182">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76">
        <f>Database!Q153</f>
        <v/>
      </c>
      <c r="O153" s="24">
        <f>IFERROR(BDH(Database!$A153&amp;" HK Equity","PE_RATIO",Database!$H153,Database!$H153),"")</f>
        <v/>
      </c>
      <c r="P153" s="180">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82">
        <f>IF($B154="","",IFERROR(BDP($B154&amp;" Action","CP036"),""))</f>
        <v/>
      </c>
      <c r="D154" s="183">
        <f>Database!S154</f>
        <v/>
      </c>
      <c r="E154" s="182">
        <f>IF($B154="","",IFERROR(BDP($B154&amp;" Action","CP037"),""))</f>
        <v/>
      </c>
      <c r="F154" s="183">
        <f>Database!T154</f>
        <v/>
      </c>
      <c r="G154" s="182">
        <f>IF($B154="","",IFERROR(BDP($B154&amp;" Action","GREENSHOE_FACILITY"),""))</f>
        <v/>
      </c>
      <c r="H154" s="182">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76">
        <f>Database!Q154</f>
        <v/>
      </c>
      <c r="O154" s="24">
        <f>IFERROR(BDH(Database!$A154&amp;" HK Equity","PE_RATIO",Database!$H154,Database!$H154),"")</f>
        <v/>
      </c>
      <c r="P154" s="180">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82">
        <f>IF($B155="","",IFERROR(BDP($B155&amp;" Action","CP036"),""))</f>
        <v/>
      </c>
      <c r="D155" s="183">
        <f>Database!S155</f>
        <v/>
      </c>
      <c r="E155" s="182">
        <f>IF($B155="","",IFERROR(BDP($B155&amp;" Action","CP037"),""))</f>
        <v/>
      </c>
      <c r="F155" s="183">
        <f>Database!T155</f>
        <v/>
      </c>
      <c r="G155" s="182">
        <f>IF($B155="","",IFERROR(BDP($B155&amp;" Action","GREENSHOE_FACILITY"),""))</f>
        <v/>
      </c>
      <c r="H155" s="182">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76">
        <f>Database!Q155</f>
        <v/>
      </c>
      <c r="O155" s="24">
        <f>IFERROR(BDH(Database!$A155&amp;" HK Equity","PE_RATIO",Database!$H155,Database!$H155),"")</f>
        <v/>
      </c>
      <c r="P155" s="180">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82">
        <f>IF($B156="","",IFERROR(BDP($B156&amp;" Action","CP036"),""))</f>
        <v/>
      </c>
      <c r="D156" s="183">
        <f>Database!S156</f>
        <v/>
      </c>
      <c r="E156" s="182">
        <f>IF($B156="","",IFERROR(BDP($B156&amp;" Action","CP037"),""))</f>
        <v/>
      </c>
      <c r="F156" s="183">
        <f>Database!T156</f>
        <v/>
      </c>
      <c r="G156" s="182">
        <f>IF($B156="","",IFERROR(BDP($B156&amp;" Action","GREENSHOE_FACILITY"),""))</f>
        <v/>
      </c>
      <c r="H156" s="182">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76">
        <f>Database!Q156</f>
        <v/>
      </c>
      <c r="O156" s="24">
        <f>IFERROR(BDH(Database!$A156&amp;" HK Equity","PE_RATIO",Database!$H156,Database!$H156),"")</f>
        <v/>
      </c>
      <c r="P156" s="180">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82">
        <f>IF($B157="","",IFERROR(BDP($B157&amp;" Action","CP036"),""))</f>
        <v/>
      </c>
      <c r="D157" s="183">
        <f>Database!S157</f>
        <v/>
      </c>
      <c r="E157" s="182">
        <f>IF($B157="","",IFERROR(BDP($B157&amp;" Action","CP037"),""))</f>
        <v/>
      </c>
      <c r="F157" s="183">
        <f>Database!T157</f>
        <v/>
      </c>
      <c r="G157" s="182">
        <f>IF($B157="","",IFERROR(BDP($B157&amp;" Action","GREENSHOE_FACILITY"),""))</f>
        <v/>
      </c>
      <c r="H157" s="182">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76">
        <f>Database!Q157</f>
        <v/>
      </c>
      <c r="O157" s="24">
        <f>IFERROR(BDH(Database!$A157&amp;" HK Equity","PE_RATIO",Database!$H157,Database!$H157),"")</f>
        <v/>
      </c>
      <c r="P157" s="180">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82">
        <f>IF($B158="","",IFERROR(BDP($B158&amp;" Action","CP036"),""))</f>
        <v/>
      </c>
      <c r="D158" s="183">
        <f>Database!S158</f>
        <v/>
      </c>
      <c r="E158" s="182">
        <f>IF($B158="","",IFERROR(BDP($B158&amp;" Action","CP037"),""))</f>
        <v/>
      </c>
      <c r="F158" s="183">
        <f>Database!T158</f>
        <v/>
      </c>
      <c r="G158" s="182">
        <f>IF($B158="","",IFERROR(BDP($B158&amp;" Action","GREENSHOE_FACILITY"),""))</f>
        <v/>
      </c>
      <c r="H158" s="182">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76">
        <f>Database!Q158</f>
        <v/>
      </c>
      <c r="O158" s="24">
        <f>IFERROR(BDH(Database!$A158&amp;" HK Equity","PE_RATIO",Database!$H158,Database!$H158),"")</f>
        <v/>
      </c>
      <c r="P158" s="180">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82">
        <f>IF($B159="","",IFERROR(BDP($B159&amp;" Action","CP036"),""))</f>
        <v/>
      </c>
      <c r="D159" s="183">
        <f>Database!S159</f>
        <v/>
      </c>
      <c r="E159" s="182">
        <f>IF($B159="","",IFERROR(BDP($B159&amp;" Action","CP037"),""))</f>
        <v/>
      </c>
      <c r="F159" s="183">
        <f>Database!T159</f>
        <v/>
      </c>
      <c r="G159" s="182">
        <f>IF($B159="","",IFERROR(BDP($B159&amp;" Action","GREENSHOE_FACILITY"),""))</f>
        <v/>
      </c>
      <c r="H159" s="182">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76">
        <f>Database!Q159</f>
        <v/>
      </c>
      <c r="O159" s="24">
        <f>IFERROR(BDH(Database!$A159&amp;" HK Equity","PE_RATIO",Database!$H159,Database!$H159),"")</f>
        <v/>
      </c>
      <c r="P159" s="180">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82">
        <f>IF($B160="","",IFERROR(BDP($B160&amp;" Action","CP036"),""))</f>
        <v/>
      </c>
      <c r="D160" s="183">
        <f>Database!S160</f>
        <v/>
      </c>
      <c r="E160" s="182">
        <f>IF($B160="","",IFERROR(BDP($B160&amp;" Action","CP037"),""))</f>
        <v/>
      </c>
      <c r="F160" s="183">
        <f>Database!T160</f>
        <v/>
      </c>
      <c r="G160" s="182">
        <f>IF($B160="","",IFERROR(BDP($B160&amp;" Action","GREENSHOE_FACILITY"),""))</f>
        <v/>
      </c>
      <c r="H160" s="182">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76">
        <f>Database!Q160</f>
        <v/>
      </c>
      <c r="O160" s="24">
        <f>IFERROR(BDH(Database!$A160&amp;" HK Equity","PE_RATIO",Database!$H160,Database!$H160),"")</f>
        <v/>
      </c>
      <c r="P160" s="180">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82">
        <f>IF($B161="","",IFERROR(BDP($B161&amp;" Action","CP036"),""))</f>
        <v/>
      </c>
      <c r="D161" s="183">
        <f>Database!S161</f>
        <v/>
      </c>
      <c r="E161" s="182">
        <f>IF($B161="","",IFERROR(BDP($B161&amp;" Action","CP037"),""))</f>
        <v/>
      </c>
      <c r="F161" s="183">
        <f>Database!T161</f>
        <v/>
      </c>
      <c r="G161" s="182">
        <f>IF($B161="","",IFERROR(BDP($B161&amp;" Action","GREENSHOE_FACILITY"),""))</f>
        <v/>
      </c>
      <c r="H161" s="182">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76">
        <f>Database!Q161</f>
        <v/>
      </c>
      <c r="O161" s="24">
        <f>IFERROR(BDH(Database!$A161&amp;" HK Equity","PE_RATIO",Database!$H161,Database!$H161),"")</f>
        <v/>
      </c>
      <c r="P161" s="180">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82">
        <f>IF($B162="","",IFERROR(BDP($B162&amp;" Action","CP036"),""))</f>
        <v/>
      </c>
      <c r="D162" s="183">
        <f>Database!S162</f>
        <v/>
      </c>
      <c r="E162" s="182">
        <f>IF($B162="","",IFERROR(BDP($B162&amp;" Action","CP037"),""))</f>
        <v/>
      </c>
      <c r="F162" s="183">
        <f>Database!T162</f>
        <v/>
      </c>
      <c r="G162" s="182">
        <f>IF($B162="","",IFERROR(BDP($B162&amp;" Action","GREENSHOE_FACILITY"),""))</f>
        <v/>
      </c>
      <c r="H162" s="182">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76">
        <f>Database!Q162</f>
        <v/>
      </c>
      <c r="O162" s="24">
        <f>IFERROR(BDH(Database!$A162&amp;" HK Equity","PE_RATIO",Database!$H162,Database!$H162),"")</f>
        <v/>
      </c>
      <c r="P162" s="180">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82">
        <f>IF($B163="","",IFERROR(BDP($B163&amp;" Action","CP036"),""))</f>
        <v/>
      </c>
      <c r="D163" s="183">
        <f>Database!S163</f>
        <v/>
      </c>
      <c r="E163" s="182">
        <f>IF($B163="","",IFERROR(BDP($B163&amp;" Action","CP037"),""))</f>
        <v/>
      </c>
      <c r="F163" s="183">
        <f>Database!T163</f>
        <v/>
      </c>
      <c r="G163" s="182">
        <f>IF($B163="","",IFERROR(BDP($B163&amp;" Action","GREENSHOE_FACILITY"),""))</f>
        <v/>
      </c>
      <c r="H163" s="182">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76">
        <f>Database!Q163</f>
        <v/>
      </c>
      <c r="O163" s="24">
        <f>IFERROR(BDH(Database!$A163&amp;" HK Equity","PE_RATIO",Database!$H163,Database!$H163),"")</f>
        <v/>
      </c>
      <c r="P163" s="180">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82">
        <f>IF($B164="","",IFERROR(BDP($B164&amp;" Action","CP036"),""))</f>
        <v/>
      </c>
      <c r="D164" s="183">
        <f>Database!S164</f>
        <v/>
      </c>
      <c r="E164" s="182">
        <f>IF($B164="","",IFERROR(BDP($B164&amp;" Action","CP037"),""))</f>
        <v/>
      </c>
      <c r="F164" s="183">
        <f>Database!T164</f>
        <v/>
      </c>
      <c r="G164" s="182">
        <f>IF($B164="","",IFERROR(BDP($B164&amp;" Action","GREENSHOE_FACILITY"),""))</f>
        <v/>
      </c>
      <c r="H164" s="182">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76">
        <f>Database!Q164</f>
        <v/>
      </c>
      <c r="O164" s="24">
        <f>IFERROR(BDH(Database!$A164&amp;" HK Equity","PE_RATIO",Database!$H164,Database!$H164),"")</f>
        <v/>
      </c>
      <c r="P164" s="180">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82">
        <f>IF($B165="","",IFERROR(BDP($B165&amp;" Action","CP036"),""))</f>
        <v/>
      </c>
      <c r="D165" s="183">
        <f>Database!S165</f>
        <v/>
      </c>
      <c r="E165" s="182">
        <f>IF($B165="","",IFERROR(BDP($B165&amp;" Action","CP037"),""))</f>
        <v/>
      </c>
      <c r="F165" s="183">
        <f>Database!T165</f>
        <v/>
      </c>
      <c r="G165" s="182">
        <f>IF($B165="","",IFERROR(BDP($B165&amp;" Action","GREENSHOE_FACILITY"),""))</f>
        <v/>
      </c>
      <c r="H165" s="182">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76">
        <f>Database!Q165</f>
        <v/>
      </c>
      <c r="O165" s="24">
        <f>IFERROR(BDH(Database!$A165&amp;" HK Equity","PE_RATIO",Database!$H165,Database!$H165),"")</f>
        <v/>
      </c>
      <c r="P165" s="180">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82">
        <f>IF($B166="","",IFERROR(BDP($B166&amp;" Action","CP036"),""))</f>
        <v/>
      </c>
      <c r="D166" s="183">
        <f>Database!S166</f>
        <v/>
      </c>
      <c r="E166" s="182">
        <f>IF($B166="","",IFERROR(BDP($B166&amp;" Action","CP037"),""))</f>
        <v/>
      </c>
      <c r="F166" s="183">
        <f>Database!T166</f>
        <v/>
      </c>
      <c r="G166" s="182">
        <f>IF($B166="","",IFERROR(BDP($B166&amp;" Action","GREENSHOE_FACILITY"),""))</f>
        <v/>
      </c>
      <c r="H166" s="182">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76">
        <f>Database!Q166</f>
        <v/>
      </c>
      <c r="O166" s="24">
        <f>IFERROR(BDH(Database!$A166&amp;" HK Equity","PE_RATIO",Database!$H166,Database!$H166),"")</f>
        <v/>
      </c>
      <c r="P166" s="180">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82">
        <f>IF($B167="","",IFERROR(BDP($B167&amp;" Action","CP036"),""))</f>
        <v/>
      </c>
      <c r="D167" s="183">
        <f>Database!S167</f>
        <v/>
      </c>
      <c r="E167" s="182">
        <f>IF($B167="","",IFERROR(BDP($B167&amp;" Action","CP037"),""))</f>
        <v/>
      </c>
      <c r="F167" s="183">
        <f>Database!T167</f>
        <v/>
      </c>
      <c r="G167" s="182">
        <f>IF($B167="","",IFERROR(BDP($B167&amp;" Action","GREENSHOE_FACILITY"),""))</f>
        <v/>
      </c>
      <c r="H167" s="182">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76">
        <f>Database!Q167</f>
        <v/>
      </c>
      <c r="O167" s="24">
        <f>IFERROR(BDH(Database!$A167&amp;" HK Equity","PE_RATIO",Database!$H167,Database!$H167),"")</f>
        <v/>
      </c>
      <c r="P167" s="180">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82">
        <f>IF($B168="","",IFERROR(BDP($B168&amp;" Action","CP036"),""))</f>
        <v/>
      </c>
      <c r="D168" s="183">
        <f>Database!S168</f>
        <v/>
      </c>
      <c r="E168" s="182">
        <f>IF($B168="","",IFERROR(BDP($B168&amp;" Action","CP037"),""))</f>
        <v/>
      </c>
      <c r="F168" s="183">
        <f>Database!T168</f>
        <v/>
      </c>
      <c r="G168" s="182">
        <f>IF($B168="","",IFERROR(BDP($B168&amp;" Action","GREENSHOE_FACILITY"),""))</f>
        <v/>
      </c>
      <c r="H168" s="182">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76">
        <f>Database!Q168</f>
        <v/>
      </c>
      <c r="O168" s="24">
        <f>IFERROR(BDH(Database!$A168&amp;" HK Equity","PE_RATIO",Database!$H168,Database!$H168),"")</f>
        <v/>
      </c>
      <c r="P168" s="180">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82">
        <f>IF($B169="","",IFERROR(BDP($B169&amp;" Action","CP036"),""))</f>
        <v/>
      </c>
      <c r="D169" s="183">
        <f>Database!S169</f>
        <v/>
      </c>
      <c r="E169" s="182">
        <f>IF($B169="","",IFERROR(BDP($B169&amp;" Action","CP037"),""))</f>
        <v/>
      </c>
      <c r="F169" s="183">
        <f>Database!T169</f>
        <v/>
      </c>
      <c r="G169" s="182">
        <f>IF($B169="","",IFERROR(BDP($B169&amp;" Action","GREENSHOE_FACILITY"),""))</f>
        <v/>
      </c>
      <c r="H169" s="182">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76">
        <f>Database!Q169</f>
        <v/>
      </c>
      <c r="O169" s="24">
        <f>IFERROR(BDH(Database!$A169&amp;" HK Equity","PE_RATIO",Database!$H169,Database!$H169),"")</f>
        <v/>
      </c>
      <c r="P169" s="180">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82">
        <f>IF($B170="","",IFERROR(BDP($B170&amp;" Action","CP036"),""))</f>
        <v/>
      </c>
      <c r="D170" s="183">
        <f>Database!S170</f>
        <v/>
      </c>
      <c r="E170" s="182">
        <f>IF($B170="","",IFERROR(BDP($B170&amp;" Action","CP037"),""))</f>
        <v/>
      </c>
      <c r="F170" s="183">
        <f>Database!T170</f>
        <v/>
      </c>
      <c r="G170" s="182">
        <f>IF($B170="","",IFERROR(BDP($B170&amp;" Action","GREENSHOE_FACILITY"),""))</f>
        <v/>
      </c>
      <c r="H170" s="182">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76">
        <f>Database!Q170</f>
        <v/>
      </c>
      <c r="O170" s="24">
        <f>IFERROR(BDH(Database!$A170&amp;" HK Equity","PE_RATIO",Database!$H170,Database!$H170),"")</f>
        <v/>
      </c>
      <c r="P170" s="180">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82">
        <f>IF($B171="","",IFERROR(BDP($B171&amp;" Action","CP036"),""))</f>
        <v/>
      </c>
      <c r="D171" s="183">
        <f>Database!S171</f>
        <v/>
      </c>
      <c r="E171" s="182">
        <f>IF($B171="","",IFERROR(BDP($B171&amp;" Action","CP037"),""))</f>
        <v/>
      </c>
      <c r="F171" s="183">
        <f>Database!T171</f>
        <v/>
      </c>
      <c r="G171" s="182">
        <f>IF($B171="","",IFERROR(BDP($B171&amp;" Action","GREENSHOE_FACILITY"),""))</f>
        <v/>
      </c>
      <c r="H171" s="182">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76">
        <f>Database!Q171</f>
        <v/>
      </c>
      <c r="O171" s="24">
        <f>IFERROR(BDH(Database!$A171&amp;" HK Equity","PE_RATIO",Database!$H171,Database!$H171),"")</f>
        <v/>
      </c>
      <c r="P171" s="180">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82">
        <f>IF($B172="","",IFERROR(BDP($B172&amp;" Action","CP036"),""))</f>
        <v/>
      </c>
      <c r="D172" s="183">
        <f>Database!S172</f>
        <v/>
      </c>
      <c r="E172" s="182">
        <f>IF($B172="","",IFERROR(BDP($B172&amp;" Action","CP037"),""))</f>
        <v/>
      </c>
      <c r="F172" s="183">
        <f>Database!T172</f>
        <v/>
      </c>
      <c r="G172" s="182">
        <f>IF($B172="","",IFERROR(BDP($B172&amp;" Action","GREENSHOE_FACILITY"),""))</f>
        <v/>
      </c>
      <c r="H172" s="182">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76">
        <f>Database!Q172</f>
        <v/>
      </c>
      <c r="O172" s="24">
        <f>IFERROR(BDH(Database!$A172&amp;" HK Equity","PE_RATIO",Database!$H172,Database!$H172),"")</f>
        <v/>
      </c>
      <c r="P172" s="180">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82">
        <f>IF($B173="","",IFERROR(BDP($B173&amp;" Action","CP036"),""))</f>
        <v/>
      </c>
      <c r="D173" s="183">
        <f>Database!S173</f>
        <v/>
      </c>
      <c r="E173" s="182">
        <f>IF($B173="","",IFERROR(BDP($B173&amp;" Action","CP037"),""))</f>
        <v/>
      </c>
      <c r="F173" s="183">
        <f>Database!T173</f>
        <v/>
      </c>
      <c r="G173" s="182">
        <f>IF($B173="","",IFERROR(BDP($B173&amp;" Action","GREENSHOE_FACILITY"),""))</f>
        <v/>
      </c>
      <c r="H173" s="182">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76">
        <f>Database!Q173</f>
        <v/>
      </c>
      <c r="O173" s="24">
        <f>IFERROR(BDH(Database!$A173&amp;" HK Equity","PE_RATIO",Database!$H173,Database!$H173),"")</f>
        <v/>
      </c>
      <c r="P173" s="180">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82">
        <f>IF($B174="","",IFERROR(BDP($B174&amp;" Action","CP036"),""))</f>
        <v/>
      </c>
      <c r="D174" s="183">
        <f>Database!S174</f>
        <v/>
      </c>
      <c r="E174" s="182">
        <f>IF($B174="","",IFERROR(BDP($B174&amp;" Action","CP037"),""))</f>
        <v/>
      </c>
      <c r="F174" s="183">
        <f>Database!T174</f>
        <v/>
      </c>
      <c r="G174" s="182">
        <f>IF($B174="","",IFERROR(BDP($B174&amp;" Action","GREENSHOE_FACILITY"),""))</f>
        <v/>
      </c>
      <c r="H174" s="182">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76">
        <f>Database!Q174</f>
        <v/>
      </c>
      <c r="O174" s="24">
        <f>IFERROR(BDH(Database!$A174&amp;" HK Equity","PE_RATIO",Database!$H174,Database!$H174),"")</f>
        <v/>
      </c>
      <c r="P174" s="180">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82">
        <f>IF($B175="","",IFERROR(BDP($B175&amp;" Action","CP036"),""))</f>
        <v/>
      </c>
      <c r="D175" s="183">
        <f>Database!S175</f>
        <v/>
      </c>
      <c r="E175" s="182">
        <f>IF($B175="","",IFERROR(BDP($B175&amp;" Action","CP037"),""))</f>
        <v/>
      </c>
      <c r="F175" s="183">
        <f>Database!T175</f>
        <v/>
      </c>
      <c r="G175" s="182">
        <f>IF($B175="","",IFERROR(BDP($B175&amp;" Action","GREENSHOE_FACILITY"),""))</f>
        <v/>
      </c>
      <c r="H175" s="182">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76">
        <f>Database!Q175</f>
        <v/>
      </c>
      <c r="O175" s="24">
        <f>IFERROR(BDH(Database!$A175&amp;" HK Equity","PE_RATIO",Database!$H175,Database!$H175),"")</f>
        <v/>
      </c>
      <c r="P175" s="180">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82">
        <f>IF($B176="","",IFERROR(BDP($B176&amp;" Action","CP036"),""))</f>
        <v/>
      </c>
      <c r="D176" s="183">
        <f>Database!S176</f>
        <v/>
      </c>
      <c r="E176" s="182">
        <f>IF($B176="","",IFERROR(BDP($B176&amp;" Action","CP037"),""))</f>
        <v/>
      </c>
      <c r="F176" s="183">
        <f>Database!T176</f>
        <v/>
      </c>
      <c r="G176" s="182">
        <f>IF($B176="","",IFERROR(BDP($B176&amp;" Action","GREENSHOE_FACILITY"),""))</f>
        <v/>
      </c>
      <c r="H176" s="182">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76">
        <f>Database!Q176</f>
        <v/>
      </c>
      <c r="O176" s="24">
        <f>IFERROR(BDH(Database!$A176&amp;" HK Equity","PE_RATIO",Database!$H176,Database!$H176),"")</f>
        <v/>
      </c>
      <c r="P176" s="180">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82">
        <f>IF($B177="","",IFERROR(BDP($B177&amp;" Action","CP036"),""))</f>
        <v/>
      </c>
      <c r="D177" s="183">
        <f>Database!S177</f>
        <v/>
      </c>
      <c r="E177" s="182">
        <f>IF($B177="","",IFERROR(BDP($B177&amp;" Action","CP037"),""))</f>
        <v/>
      </c>
      <c r="F177" s="183">
        <f>Database!T177</f>
        <v/>
      </c>
      <c r="G177" s="182">
        <f>IF($B177="","",IFERROR(BDP($B177&amp;" Action","GREENSHOE_FACILITY"),""))</f>
        <v/>
      </c>
      <c r="H177" s="182">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76">
        <f>Database!Q177</f>
        <v/>
      </c>
      <c r="O177" s="24">
        <f>IFERROR(BDH(Database!$A177&amp;" HK Equity","PE_RATIO",Database!$H177,Database!$H177),"")</f>
        <v/>
      </c>
      <c r="P177" s="180">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82">
        <f>IF($B178="","",IFERROR(BDP($B178&amp;" Action","CP036"),""))</f>
        <v/>
      </c>
      <c r="D178" s="183">
        <f>Database!S178</f>
        <v/>
      </c>
      <c r="E178" s="182">
        <f>IF($B178="","",IFERROR(BDP($B178&amp;" Action","CP037"),""))</f>
        <v/>
      </c>
      <c r="F178" s="183">
        <f>Database!T178</f>
        <v/>
      </c>
      <c r="G178" s="182">
        <f>IF($B178="","",IFERROR(BDP($B178&amp;" Action","GREENSHOE_FACILITY"),""))</f>
        <v/>
      </c>
      <c r="H178" s="182">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76">
        <f>Database!Q178</f>
        <v/>
      </c>
      <c r="O178" s="24">
        <f>IFERROR(BDH(Database!$A178&amp;" HK Equity","PE_RATIO",Database!$H178,Database!$H178),"")</f>
        <v/>
      </c>
      <c r="P178" s="180">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82">
        <f>IF($B179="","",IFERROR(BDP($B179&amp;" Action","CP036"),""))</f>
        <v/>
      </c>
      <c r="D179" s="183">
        <f>Database!S179</f>
        <v/>
      </c>
      <c r="E179" s="182">
        <f>IF($B179="","",IFERROR(BDP($B179&amp;" Action","CP037"),""))</f>
        <v/>
      </c>
      <c r="F179" s="183">
        <f>Database!T179</f>
        <v/>
      </c>
      <c r="G179" s="182">
        <f>IF($B179="","",IFERROR(BDP($B179&amp;" Action","GREENSHOE_FACILITY"),""))</f>
        <v/>
      </c>
      <c r="H179" s="182">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76">
        <f>Database!Q179</f>
        <v/>
      </c>
      <c r="O179" s="24">
        <f>IFERROR(BDH(Database!$A179&amp;" HK Equity","PE_RATIO",Database!$H179,Database!$H179),"")</f>
        <v/>
      </c>
      <c r="P179" s="180">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82">
        <f>IF($B180="","",IFERROR(BDP($B180&amp;" Action","CP036"),""))</f>
        <v/>
      </c>
      <c r="D180" s="183">
        <f>Database!S180</f>
        <v/>
      </c>
      <c r="E180" s="182">
        <f>IF($B180="","",IFERROR(BDP($B180&amp;" Action","CP037"),""))</f>
        <v/>
      </c>
      <c r="F180" s="183">
        <f>Database!T180</f>
        <v/>
      </c>
      <c r="G180" s="182">
        <f>IF($B180="","",IFERROR(BDP($B180&amp;" Action","GREENSHOE_FACILITY"),""))</f>
        <v/>
      </c>
      <c r="H180" s="182">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76">
        <f>Database!Q180</f>
        <v/>
      </c>
      <c r="O180" s="24">
        <f>IFERROR(BDH(Database!$A180&amp;" HK Equity","PE_RATIO",Database!$H180,Database!$H180),"")</f>
        <v/>
      </c>
      <c r="P180" s="180">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82">
        <f>IF($B181="","",IFERROR(BDP($B181&amp;" Action","CP036"),""))</f>
        <v/>
      </c>
      <c r="D181" s="183">
        <f>Database!S181</f>
        <v/>
      </c>
      <c r="E181" s="182">
        <f>IF($B181="","",IFERROR(BDP($B181&amp;" Action","CP037"),""))</f>
        <v/>
      </c>
      <c r="F181" s="183">
        <f>Database!T181</f>
        <v/>
      </c>
      <c r="G181" s="182">
        <f>IF($B181="","",IFERROR(BDP($B181&amp;" Action","GREENSHOE_FACILITY"),""))</f>
        <v/>
      </c>
      <c r="H181" s="182">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76">
        <f>Database!Q181</f>
        <v/>
      </c>
      <c r="O181" s="24">
        <f>IFERROR(BDH(Database!$A181&amp;" HK Equity","PE_RATIO",Database!$H181,Database!$H181),"")</f>
        <v/>
      </c>
      <c r="P181" s="180">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82">
        <f>IF($B182="","",IFERROR(BDP($B182&amp;" Action","CP036"),""))</f>
        <v/>
      </c>
      <c r="D182" s="183">
        <f>Database!S182</f>
        <v/>
      </c>
      <c r="E182" s="182">
        <f>IF($B182="","",IFERROR(BDP($B182&amp;" Action","CP037"),""))</f>
        <v/>
      </c>
      <c r="F182" s="183">
        <f>Database!T182</f>
        <v/>
      </c>
      <c r="G182" s="182">
        <f>IF($B182="","",IFERROR(BDP($B182&amp;" Action","GREENSHOE_FACILITY"),""))</f>
        <v/>
      </c>
      <c r="H182" s="182">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76">
        <f>Database!Q182</f>
        <v/>
      </c>
      <c r="O182" s="24">
        <f>IFERROR(BDH(Database!$A182&amp;" HK Equity","PE_RATIO",Database!$H182,Database!$H182),"")</f>
        <v/>
      </c>
      <c r="P182" s="180">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82">
        <f>IF($B183="","",IFERROR(BDP($B183&amp;" Action","CP036"),""))</f>
        <v/>
      </c>
      <c r="D183" s="183">
        <f>Database!S183</f>
        <v/>
      </c>
      <c r="E183" s="182">
        <f>IF($B183="","",IFERROR(BDP($B183&amp;" Action","CP037"),""))</f>
        <v/>
      </c>
      <c r="F183" s="183">
        <f>Database!T183</f>
        <v/>
      </c>
      <c r="G183" s="182">
        <f>IF($B183="","",IFERROR(BDP($B183&amp;" Action","GREENSHOE_FACILITY"),""))</f>
        <v/>
      </c>
      <c r="H183" s="182">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76">
        <f>Database!Q183</f>
        <v/>
      </c>
      <c r="O183" s="24">
        <f>IFERROR(BDH(Database!$A183&amp;" HK Equity","PE_RATIO",Database!$H183,Database!$H183),"")</f>
        <v/>
      </c>
      <c r="P183" s="180">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82">
        <f>IF($B184="","",IFERROR(BDP($B184&amp;" Action","CP036"),""))</f>
        <v/>
      </c>
      <c r="D184" s="183">
        <f>Database!S184</f>
        <v/>
      </c>
      <c r="E184" s="182">
        <f>IF($B184="","",IFERROR(BDP($B184&amp;" Action","CP037"),""))</f>
        <v/>
      </c>
      <c r="F184" s="183">
        <f>Database!T184</f>
        <v/>
      </c>
      <c r="G184" s="182">
        <f>IF($B184="","",IFERROR(BDP($B184&amp;" Action","GREENSHOE_FACILITY"),""))</f>
        <v/>
      </c>
      <c r="H184" s="182">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76">
        <f>Database!Q184</f>
        <v/>
      </c>
      <c r="O184" s="24">
        <f>IFERROR(BDH(Database!$A184&amp;" HK Equity","PE_RATIO",Database!$H184,Database!$H184),"")</f>
        <v/>
      </c>
      <c r="P184" s="180">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82">
        <f>IF($B185="","",IFERROR(BDP($B185&amp;" Action","CP036"),""))</f>
        <v/>
      </c>
      <c r="D185" s="183">
        <f>Database!S185</f>
        <v/>
      </c>
      <c r="E185" s="182">
        <f>IF($B185="","",IFERROR(BDP($B185&amp;" Action","CP037"),""))</f>
        <v/>
      </c>
      <c r="F185" s="183">
        <f>Database!T185</f>
        <v/>
      </c>
      <c r="G185" s="182">
        <f>IF($B185="","",IFERROR(BDP($B185&amp;" Action","GREENSHOE_FACILITY"),""))</f>
        <v/>
      </c>
      <c r="H185" s="182">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76">
        <f>Database!Q185</f>
        <v/>
      </c>
      <c r="O185" s="24">
        <f>IFERROR(BDH(Database!$A185&amp;" HK Equity","PE_RATIO",Database!$H185,Database!$H185),"")</f>
        <v/>
      </c>
      <c r="P185" s="180">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82">
        <f>IF($B186="","",IFERROR(BDP($B186&amp;" Action","CP036"),""))</f>
        <v/>
      </c>
      <c r="D186" s="183">
        <f>Database!S186</f>
        <v/>
      </c>
      <c r="E186" s="182">
        <f>IF($B186="","",IFERROR(BDP($B186&amp;" Action","CP037"),""))</f>
        <v/>
      </c>
      <c r="F186" s="183">
        <f>Database!T186</f>
        <v/>
      </c>
      <c r="G186" s="182">
        <f>IF($B186="","",IFERROR(BDP($B186&amp;" Action","GREENSHOE_FACILITY"),""))</f>
        <v/>
      </c>
      <c r="H186" s="182">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76">
        <f>Database!Q186</f>
        <v/>
      </c>
      <c r="O186" s="24">
        <f>IFERROR(BDH(Database!$A186&amp;" HK Equity","PE_RATIO",Database!$H186,Database!$H186),"")</f>
        <v/>
      </c>
      <c r="P186" s="180">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82">
        <f>IF($B187="","",IFERROR(BDP($B187&amp;" Action","CP036"),""))</f>
        <v/>
      </c>
      <c r="D187" s="183">
        <f>Database!S187</f>
        <v/>
      </c>
      <c r="E187" s="182">
        <f>IF($B187="","",IFERROR(BDP($B187&amp;" Action","CP037"),""))</f>
        <v/>
      </c>
      <c r="F187" s="183">
        <f>Database!T187</f>
        <v/>
      </c>
      <c r="G187" s="182">
        <f>IF($B187="","",IFERROR(BDP($B187&amp;" Action","GREENSHOE_FACILITY"),""))</f>
        <v/>
      </c>
      <c r="H187" s="182">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76">
        <f>Database!Q187</f>
        <v/>
      </c>
      <c r="O187" s="24">
        <f>IFERROR(BDH(Database!$A187&amp;" HK Equity","PE_RATIO",Database!$H187,Database!$H187),"")</f>
        <v/>
      </c>
      <c r="P187" s="180">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82">
        <f>IF($B188="","",IFERROR(BDP($B188&amp;" Action","CP036"),""))</f>
        <v/>
      </c>
      <c r="D188" s="183">
        <f>Database!S188</f>
        <v/>
      </c>
      <c r="E188" s="182">
        <f>IF($B188="","",IFERROR(BDP($B188&amp;" Action","CP037"),""))</f>
        <v/>
      </c>
      <c r="F188" s="183">
        <f>Database!T188</f>
        <v/>
      </c>
      <c r="G188" s="182">
        <f>IF($B188="","",IFERROR(BDP($B188&amp;" Action","GREENSHOE_FACILITY"),""))</f>
        <v/>
      </c>
      <c r="H188" s="182">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76">
        <f>Database!Q188</f>
        <v/>
      </c>
      <c r="O188" s="24">
        <f>IFERROR(BDH(Database!$A188&amp;" HK Equity","PE_RATIO",Database!$H188,Database!$H188),"")</f>
        <v/>
      </c>
      <c r="P188" s="180">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82">
        <f>IF($B189="","",IFERROR(BDP($B189&amp;" Action","CP036"),""))</f>
        <v/>
      </c>
      <c r="D189" s="183">
        <f>Database!S189</f>
        <v/>
      </c>
      <c r="E189" s="182">
        <f>IF($B189="","",IFERROR(BDP($B189&amp;" Action","CP037"),""))</f>
        <v/>
      </c>
      <c r="F189" s="183">
        <f>Database!T189</f>
        <v/>
      </c>
      <c r="G189" s="182">
        <f>IF($B189="","",IFERROR(BDP($B189&amp;" Action","GREENSHOE_FACILITY"),""))</f>
        <v/>
      </c>
      <c r="H189" s="182">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76">
        <f>Database!Q189</f>
        <v/>
      </c>
      <c r="O189" s="24">
        <f>IFERROR(BDH(Database!$A189&amp;" HK Equity","PE_RATIO",Database!$H189,Database!$H189),"")</f>
        <v/>
      </c>
      <c r="P189" s="180">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82">
        <f>IF($B190="","",IFERROR(BDP($B190&amp;" Action","CP036"),""))</f>
        <v/>
      </c>
      <c r="D190" s="183">
        <f>Database!S190</f>
        <v/>
      </c>
      <c r="E190" s="182">
        <f>IF($B190="","",IFERROR(BDP($B190&amp;" Action","CP037"),""))</f>
        <v/>
      </c>
      <c r="F190" s="183">
        <f>Database!T190</f>
        <v/>
      </c>
      <c r="G190" s="182">
        <f>IF($B190="","",IFERROR(BDP($B190&amp;" Action","GREENSHOE_FACILITY"),""))</f>
        <v/>
      </c>
      <c r="H190" s="182">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76">
        <f>Database!Q190</f>
        <v/>
      </c>
      <c r="O190" s="24">
        <f>IFERROR(BDH(Database!$A190&amp;" HK Equity","PE_RATIO",Database!$H190,Database!$H190),"")</f>
        <v/>
      </c>
      <c r="P190" s="180">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82">
        <f>IF($B191="","",IFERROR(BDP($B191&amp;" Action","CP036"),""))</f>
        <v/>
      </c>
      <c r="D191" s="183">
        <f>Database!S191</f>
        <v/>
      </c>
      <c r="E191" s="182">
        <f>IF($B191="","",IFERROR(BDP($B191&amp;" Action","CP037"),""))</f>
        <v/>
      </c>
      <c r="F191" s="183">
        <f>Database!T191</f>
        <v/>
      </c>
      <c r="G191" s="182">
        <f>IF($B191="","",IFERROR(BDP($B191&amp;" Action","GREENSHOE_FACILITY"),""))</f>
        <v/>
      </c>
      <c r="H191" s="182">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76">
        <f>Database!Q191</f>
        <v/>
      </c>
      <c r="O191" s="24">
        <f>IFERROR(BDH(Database!$A191&amp;" HK Equity","PE_RATIO",Database!$H191,Database!$H191),"")</f>
        <v/>
      </c>
      <c r="P191" s="180">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82">
        <f>IF($B192="","",IFERROR(BDP($B192&amp;" Action","CP036"),""))</f>
        <v/>
      </c>
      <c r="D192" s="183">
        <f>Database!S192</f>
        <v/>
      </c>
      <c r="E192" s="182">
        <f>IF($B192="","",IFERROR(BDP($B192&amp;" Action","CP037"),""))</f>
        <v/>
      </c>
      <c r="F192" s="183">
        <f>Database!T192</f>
        <v/>
      </c>
      <c r="G192" s="182">
        <f>IF($B192="","",IFERROR(BDP($B192&amp;" Action","GREENSHOE_FACILITY"),""))</f>
        <v/>
      </c>
      <c r="H192" s="182">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76">
        <f>Database!Q192</f>
        <v/>
      </c>
      <c r="O192" s="24">
        <f>IFERROR(BDH(Database!$A192&amp;" HK Equity","PE_RATIO",Database!$H192,Database!$H192),"")</f>
        <v/>
      </c>
      <c r="P192" s="180">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82">
        <f>IF($B193="","",IFERROR(BDP($B193&amp;" Action","CP036"),""))</f>
        <v/>
      </c>
      <c r="D193" s="183">
        <f>Database!S193</f>
        <v/>
      </c>
      <c r="E193" s="182">
        <f>IF($B193="","",IFERROR(BDP($B193&amp;" Action","CP037"),""))</f>
        <v/>
      </c>
      <c r="F193" s="183">
        <f>Database!T193</f>
        <v/>
      </c>
      <c r="G193" s="182">
        <f>IF($B193="","",IFERROR(BDP($B193&amp;" Action","GREENSHOE_FACILITY"),""))</f>
        <v/>
      </c>
      <c r="H193" s="182">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76">
        <f>Database!Q193</f>
        <v/>
      </c>
      <c r="O193" s="24">
        <f>IFERROR(BDH(Database!$A193&amp;" HK Equity","PE_RATIO",Database!$H193,Database!$H193),"")</f>
        <v/>
      </c>
      <c r="P193" s="180">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82">
        <f>IF($B194="","",IFERROR(BDP($B194&amp;" Action","CP036"),""))</f>
        <v/>
      </c>
      <c r="D194" s="183">
        <f>Database!S194</f>
        <v/>
      </c>
      <c r="E194" s="182">
        <f>IF($B194="","",IFERROR(BDP($B194&amp;" Action","CP037"),""))</f>
        <v/>
      </c>
      <c r="F194" s="183">
        <f>Database!T194</f>
        <v/>
      </c>
      <c r="G194" s="182">
        <f>IF($B194="","",IFERROR(BDP($B194&amp;" Action","GREENSHOE_FACILITY"),""))</f>
        <v/>
      </c>
      <c r="H194" s="182">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76">
        <f>Database!Q194</f>
        <v/>
      </c>
      <c r="O194" s="24">
        <f>IFERROR(BDH(Database!$A194&amp;" HK Equity","PE_RATIO",Database!$H194,Database!$H194),"")</f>
        <v/>
      </c>
      <c r="P194" s="180">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82">
        <f>IF($B195="","",IFERROR(BDP($B195&amp;" Action","CP036"),""))</f>
        <v/>
      </c>
      <c r="D195" s="183">
        <f>Database!S195</f>
        <v/>
      </c>
      <c r="E195" s="182">
        <f>IF($B195="","",IFERROR(BDP($B195&amp;" Action","CP037"),""))</f>
        <v/>
      </c>
      <c r="F195" s="183">
        <f>Database!T195</f>
        <v/>
      </c>
      <c r="G195" s="182">
        <f>IF($B195="","",IFERROR(BDP($B195&amp;" Action","GREENSHOE_FACILITY"),""))</f>
        <v/>
      </c>
      <c r="H195" s="182">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76">
        <f>Database!Q195</f>
        <v/>
      </c>
      <c r="O195" s="24">
        <f>IFERROR(BDH(Database!$A195&amp;" HK Equity","PE_RATIO",Database!$H195,Database!$H195),"")</f>
        <v/>
      </c>
      <c r="P195" s="180">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82">
        <f>IF($B196="","",IFERROR(BDP($B196&amp;" Action","CP036"),""))</f>
        <v/>
      </c>
      <c r="D196" s="183">
        <f>Database!S196</f>
        <v/>
      </c>
      <c r="E196" s="182">
        <f>IF($B196="","",IFERROR(BDP($B196&amp;" Action","CP037"),""))</f>
        <v/>
      </c>
      <c r="F196" s="183">
        <f>Database!T196</f>
        <v/>
      </c>
      <c r="G196" s="182">
        <f>IF($B196="","",IFERROR(BDP($B196&amp;" Action","GREENSHOE_FACILITY"),""))</f>
        <v/>
      </c>
      <c r="H196" s="182">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76">
        <f>Database!Q196</f>
        <v/>
      </c>
      <c r="O196" s="24">
        <f>IFERROR(BDH(Database!$A196&amp;" HK Equity","PE_RATIO",Database!$H196,Database!$H196),"")</f>
        <v/>
      </c>
      <c r="P196" s="180">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82">
        <f>IF($B197="","",IFERROR(BDP($B197&amp;" Action","CP036"),""))</f>
        <v/>
      </c>
      <c r="D197" s="183">
        <f>Database!S197</f>
        <v/>
      </c>
      <c r="E197" s="182">
        <f>IF($B197="","",IFERROR(BDP($B197&amp;" Action","CP037"),""))</f>
        <v/>
      </c>
      <c r="F197" s="183">
        <f>Database!T197</f>
        <v/>
      </c>
      <c r="G197" s="182">
        <f>IF($B197="","",IFERROR(BDP($B197&amp;" Action","GREENSHOE_FACILITY"),""))</f>
        <v/>
      </c>
      <c r="H197" s="182">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76">
        <f>Database!Q197</f>
        <v/>
      </c>
      <c r="O197" s="24">
        <f>IFERROR(BDH(Database!$A197&amp;" HK Equity","PE_RATIO",Database!$H197,Database!$H197),"")</f>
        <v/>
      </c>
      <c r="P197" s="180">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82">
        <f>IF($B198="","",IFERROR(BDP($B198&amp;" Action","CP036"),""))</f>
        <v/>
      </c>
      <c r="D198" s="183">
        <f>Database!S198</f>
        <v/>
      </c>
      <c r="E198" s="182">
        <f>IF($B198="","",IFERROR(BDP($B198&amp;" Action","CP037"),""))</f>
        <v/>
      </c>
      <c r="F198" s="183">
        <f>Database!T198</f>
        <v/>
      </c>
      <c r="G198" s="182">
        <f>IF($B198="","",IFERROR(BDP($B198&amp;" Action","GREENSHOE_FACILITY"),""))</f>
        <v/>
      </c>
      <c r="H198" s="182">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76">
        <f>Database!Q198</f>
        <v/>
      </c>
      <c r="O198" s="24">
        <f>IFERROR(BDH(Database!$A198&amp;" HK Equity","PE_RATIO",Database!$H198,Database!$H198),"")</f>
        <v/>
      </c>
      <c r="P198" s="180">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82">
        <f>IF($B199="","",IFERROR(BDP($B199&amp;" Action","CP036"),""))</f>
        <v/>
      </c>
      <c r="D199" s="183">
        <f>Database!S199</f>
        <v/>
      </c>
      <c r="E199" s="182">
        <f>IF($B199="","",IFERROR(BDP($B199&amp;" Action","CP037"),""))</f>
        <v/>
      </c>
      <c r="F199" s="183">
        <f>Database!T199</f>
        <v/>
      </c>
      <c r="G199" s="182">
        <f>IF($B199="","",IFERROR(BDP($B199&amp;" Action","GREENSHOE_FACILITY"),""))</f>
        <v/>
      </c>
      <c r="H199" s="182">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76">
        <f>Database!Q199</f>
        <v/>
      </c>
      <c r="O199" s="24">
        <f>IFERROR(BDH(Database!$A199&amp;" HK Equity","PE_RATIO",Database!$H199,Database!$H199),"")</f>
        <v/>
      </c>
      <c r="P199" s="180">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82">
        <f>IF($B200="","",IFERROR(BDP($B200&amp;" Action","CP036"),""))</f>
        <v/>
      </c>
      <c r="D200" s="183">
        <f>Database!S200</f>
        <v/>
      </c>
      <c r="E200" s="182">
        <f>IF($B200="","",IFERROR(BDP($B200&amp;" Action","CP037"),""))</f>
        <v/>
      </c>
      <c r="F200" s="183">
        <f>Database!T200</f>
        <v/>
      </c>
      <c r="G200" s="182">
        <f>IF($B200="","",IFERROR(BDP($B200&amp;" Action","GREENSHOE_FACILITY"),""))</f>
        <v/>
      </c>
      <c r="H200" s="182">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76">
        <f>Database!Q200</f>
        <v/>
      </c>
      <c r="O200" s="24">
        <f>IFERROR(BDH(Database!$A200&amp;" HK Equity","PE_RATIO",Database!$H200,Database!$H200),"")</f>
        <v/>
      </c>
      <c r="P200" s="180">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82">
        <f>IF($B201="","",IFERROR(BDP($B201&amp;" Action","CP036"),""))</f>
        <v/>
      </c>
      <c r="D201" s="183">
        <f>Database!S201</f>
        <v/>
      </c>
      <c r="E201" s="182">
        <f>IF($B201="","",IFERROR(BDP($B201&amp;" Action","CP037"),""))</f>
        <v/>
      </c>
      <c r="F201" s="183">
        <f>Database!T201</f>
        <v/>
      </c>
      <c r="G201" s="182">
        <f>IF($B201="","",IFERROR(BDP($B201&amp;" Action","GREENSHOE_FACILITY"),""))</f>
        <v/>
      </c>
      <c r="H201" s="182">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76">
        <f>Database!Q201</f>
        <v/>
      </c>
      <c r="O201" s="24">
        <f>IFERROR(BDH(Database!$A201&amp;" HK Equity","PE_RATIO",Database!$H201,Database!$H201),"")</f>
        <v/>
      </c>
      <c r="P201" s="180">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82">
        <f>IF($B202="","",IFERROR(BDP($B202&amp;" Action","CP036"),""))</f>
        <v/>
      </c>
      <c r="D202" s="183">
        <f>Database!S202</f>
        <v/>
      </c>
      <c r="E202" s="182">
        <f>IF($B202="","",IFERROR(BDP($B202&amp;" Action","CP037"),""))</f>
        <v/>
      </c>
      <c r="F202" s="183">
        <f>Database!T202</f>
        <v/>
      </c>
      <c r="G202" s="182">
        <f>IF($B202="","",IFERROR(BDP($B202&amp;" Action","GREENSHOE_FACILITY"),""))</f>
        <v/>
      </c>
      <c r="H202" s="182">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76">
        <f>Database!Q202</f>
        <v/>
      </c>
      <c r="O202" s="24">
        <f>IFERROR(BDH(Database!$A202&amp;" HK Equity","PE_RATIO",Database!$H202,Database!$H202),"")</f>
        <v/>
      </c>
      <c r="P202" s="180">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82">
        <f>IF($B203="","",IFERROR(BDP($B203&amp;" Action","CP036"),""))</f>
        <v/>
      </c>
      <c r="D203" s="183">
        <f>Database!S203</f>
        <v/>
      </c>
      <c r="E203" s="182">
        <f>IF($B203="","",IFERROR(BDP($B203&amp;" Action","CP037"),""))</f>
        <v/>
      </c>
      <c r="F203" s="183">
        <f>Database!T203</f>
        <v/>
      </c>
      <c r="G203" s="182">
        <f>IF($B203="","",IFERROR(BDP($B203&amp;" Action","GREENSHOE_FACILITY"),""))</f>
        <v/>
      </c>
      <c r="H203" s="182">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76">
        <f>Database!Q203</f>
        <v/>
      </c>
      <c r="O203" s="24">
        <f>IFERROR(BDH(Database!$A203&amp;" HK Equity","PE_RATIO",Database!$H203,Database!$H203),"")</f>
        <v/>
      </c>
      <c r="P203" s="180">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82">
        <f>IF($B204="","",IFERROR(BDP($B204&amp;" Action","CP036"),""))</f>
        <v/>
      </c>
      <c r="D204" s="183">
        <f>Database!S204</f>
        <v/>
      </c>
      <c r="E204" s="182">
        <f>IF($B204="","",IFERROR(BDP($B204&amp;" Action","CP037"),""))</f>
        <v/>
      </c>
      <c r="F204" s="183">
        <f>Database!T204</f>
        <v/>
      </c>
      <c r="G204" s="182">
        <f>IF($B204="","",IFERROR(BDP($B204&amp;" Action","GREENSHOE_FACILITY"),""))</f>
        <v/>
      </c>
      <c r="H204" s="182">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76">
        <f>Database!Q204</f>
        <v/>
      </c>
      <c r="O204" s="24">
        <f>IFERROR(BDH(Database!$A204&amp;" HK Equity","PE_RATIO",Database!$H204,Database!$H204),"")</f>
        <v/>
      </c>
      <c r="P204" s="180">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82">
        <f>IF($B205="","",IFERROR(BDP($B205&amp;" Action","CP036"),""))</f>
        <v/>
      </c>
      <c r="D205" s="183">
        <f>Database!S205</f>
        <v/>
      </c>
      <c r="E205" s="182">
        <f>IF($B205="","",IFERROR(BDP($B205&amp;" Action","CP037"),""))</f>
        <v/>
      </c>
      <c r="F205" s="183">
        <f>Database!T205</f>
        <v/>
      </c>
      <c r="G205" s="182">
        <f>IF($B205="","",IFERROR(BDP($B205&amp;" Action","GREENSHOE_FACILITY"),""))</f>
        <v/>
      </c>
      <c r="H205" s="182">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76">
        <f>Database!Q205</f>
        <v/>
      </c>
      <c r="O205" s="24">
        <f>IFERROR(BDH(Database!$A205&amp;" HK Equity","PE_RATIO",Database!$H205,Database!$H205),"")</f>
        <v/>
      </c>
      <c r="P205" s="180">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82">
        <f>IF($B206="","",IFERROR(BDP($B206&amp;" Action","CP036"),""))</f>
        <v/>
      </c>
      <c r="D206" s="183">
        <f>Database!S206</f>
        <v/>
      </c>
      <c r="E206" s="182">
        <f>IF($B206="","",IFERROR(BDP($B206&amp;" Action","CP037"),""))</f>
        <v/>
      </c>
      <c r="F206" s="183">
        <f>Database!T206</f>
        <v/>
      </c>
      <c r="G206" s="182">
        <f>IF($B206="","",IFERROR(BDP($B206&amp;" Action","GREENSHOE_FACILITY"),""))</f>
        <v/>
      </c>
      <c r="H206" s="182">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76">
        <f>Database!Q206</f>
        <v/>
      </c>
      <c r="O206" s="24">
        <f>IFERROR(BDH(Database!$A206&amp;" HK Equity","PE_RATIO",Database!$H206,Database!$H206),"")</f>
        <v/>
      </c>
      <c r="P206" s="180">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82">
        <f>IF($B207="","",IFERROR(BDP($B207&amp;" Action","CP036"),""))</f>
        <v/>
      </c>
      <c r="D207" s="183">
        <f>Database!S207</f>
        <v/>
      </c>
      <c r="E207" s="182">
        <f>IF($B207="","",IFERROR(BDP($B207&amp;" Action","CP037"),""))</f>
        <v/>
      </c>
      <c r="F207" s="183">
        <f>Database!T207</f>
        <v/>
      </c>
      <c r="G207" s="182">
        <f>IF($B207="","",IFERROR(BDP($B207&amp;" Action","GREENSHOE_FACILITY"),""))</f>
        <v/>
      </c>
      <c r="H207" s="182">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76">
        <f>Database!Q207</f>
        <v/>
      </c>
      <c r="O207" s="24">
        <f>IFERROR(BDH(Database!$A207&amp;" HK Equity","PE_RATIO",Database!$H207,Database!$H207),"")</f>
        <v/>
      </c>
      <c r="P207" s="180">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82">
        <f>IF($B208="","",IFERROR(BDP($B208&amp;" Action","CP036"),""))</f>
        <v/>
      </c>
      <c r="D208" s="183">
        <f>Database!S208</f>
        <v/>
      </c>
      <c r="E208" s="182">
        <f>IF($B208="","",IFERROR(BDP($B208&amp;" Action","CP037"),""))</f>
        <v/>
      </c>
      <c r="F208" s="183">
        <f>Database!T208</f>
        <v/>
      </c>
      <c r="G208" s="182">
        <f>IF($B208="","",IFERROR(BDP($B208&amp;" Action","GREENSHOE_FACILITY"),""))</f>
        <v/>
      </c>
      <c r="H208" s="182">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76">
        <f>Database!Q208</f>
        <v/>
      </c>
      <c r="O208" s="24">
        <f>IFERROR(BDH(Database!$A208&amp;" HK Equity","PE_RATIO",Database!$H208,Database!$H208),"")</f>
        <v/>
      </c>
      <c r="P208" s="180">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82">
        <f>IF($B209="","",IFERROR(BDP($B209&amp;" Action","CP036"),""))</f>
        <v/>
      </c>
      <c r="D209" s="183">
        <f>Database!S209</f>
        <v/>
      </c>
      <c r="E209" s="182">
        <f>IF($B209="","",IFERROR(BDP($B209&amp;" Action","CP037"),""))</f>
        <v/>
      </c>
      <c r="F209" s="183">
        <f>Database!T209</f>
        <v/>
      </c>
      <c r="G209" s="182">
        <f>IF($B209="","",IFERROR(BDP($B209&amp;" Action","GREENSHOE_FACILITY"),""))</f>
        <v/>
      </c>
      <c r="H209" s="182">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76">
        <f>Database!Q209</f>
        <v/>
      </c>
      <c r="O209" s="24">
        <f>IFERROR(BDH(Database!$A209&amp;" HK Equity","PE_RATIO",Database!$H209,Database!$H209),"")</f>
        <v/>
      </c>
      <c r="P209" s="180">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82">
        <f>IF($B210="","",IFERROR(BDP($B210&amp;" Action","CP036"),""))</f>
        <v/>
      </c>
      <c r="D210" s="183">
        <f>Database!S210</f>
        <v/>
      </c>
      <c r="E210" s="182">
        <f>IF($B210="","",IFERROR(BDP($B210&amp;" Action","CP037"),""))</f>
        <v/>
      </c>
      <c r="F210" s="183">
        <f>Database!T210</f>
        <v/>
      </c>
      <c r="G210" s="182">
        <f>IF($B210="","",IFERROR(BDP($B210&amp;" Action","GREENSHOE_FACILITY"),""))</f>
        <v/>
      </c>
      <c r="H210" s="182">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76">
        <f>Database!Q210</f>
        <v/>
      </c>
      <c r="O210" s="24">
        <f>IFERROR(BDH(Database!$A210&amp;" HK Equity","PE_RATIO",Database!$H210,Database!$H210),"")</f>
        <v/>
      </c>
      <c r="P210" s="180">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82">
        <f>IF($B211="","",IFERROR(BDP($B211&amp;" Action","CP036"),""))</f>
        <v/>
      </c>
      <c r="D211" s="183">
        <f>Database!S211</f>
        <v/>
      </c>
      <c r="E211" s="182">
        <f>IF($B211="","",IFERROR(BDP($B211&amp;" Action","CP037"),""))</f>
        <v/>
      </c>
      <c r="F211" s="183">
        <f>Database!T211</f>
        <v/>
      </c>
      <c r="G211" s="182">
        <f>IF($B211="","",IFERROR(BDP($B211&amp;" Action","GREENSHOE_FACILITY"),""))</f>
        <v/>
      </c>
      <c r="H211" s="182">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76">
        <f>Database!Q211</f>
        <v/>
      </c>
      <c r="O211" s="24">
        <f>IFERROR(BDH(Database!$A211&amp;" HK Equity","PE_RATIO",Database!$H211,Database!$H211),"")</f>
        <v/>
      </c>
      <c r="P211" s="180">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82">
        <f>IF($B212="","",IFERROR(BDP($B212&amp;" Action","CP036"),""))</f>
        <v/>
      </c>
      <c r="D212" s="183">
        <f>Database!S212</f>
        <v/>
      </c>
      <c r="E212" s="182">
        <f>IF($B212="","",IFERROR(BDP($B212&amp;" Action","CP037"),""))</f>
        <v/>
      </c>
      <c r="F212" s="183">
        <f>Database!T212</f>
        <v/>
      </c>
      <c r="G212" s="182">
        <f>IF($B212="","",IFERROR(BDP($B212&amp;" Action","GREENSHOE_FACILITY"),""))</f>
        <v/>
      </c>
      <c r="H212" s="182">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76">
        <f>Database!Q212</f>
        <v/>
      </c>
      <c r="O212" s="24">
        <f>IFERROR(BDH(Database!$A212&amp;" HK Equity","PE_RATIO",Database!$H212,Database!$H212),"")</f>
        <v/>
      </c>
      <c r="P212" s="180">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82">
        <f>IF($B213="","",IFERROR(BDP($B213&amp;" Action","CP036"),""))</f>
        <v/>
      </c>
      <c r="D213" s="183">
        <f>Database!S213</f>
        <v/>
      </c>
      <c r="E213" s="182">
        <f>IF($B213="","",IFERROR(BDP($B213&amp;" Action","CP037"),""))</f>
        <v/>
      </c>
      <c r="F213" s="183">
        <f>Database!T213</f>
        <v/>
      </c>
      <c r="G213" s="182">
        <f>IF($B213="","",IFERROR(BDP($B213&amp;" Action","GREENSHOE_FACILITY"),""))</f>
        <v/>
      </c>
      <c r="H213" s="182">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76">
        <f>Database!Q213</f>
        <v/>
      </c>
      <c r="O213" s="24">
        <f>IFERROR(BDH(Database!$A213&amp;" HK Equity","PE_RATIO",Database!$H213,Database!$H213),"")</f>
        <v/>
      </c>
      <c r="P213" s="180">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82">
        <f>IF($B214="","",IFERROR(BDP($B214&amp;" Action","CP036"),""))</f>
        <v/>
      </c>
      <c r="D214" s="183">
        <f>Database!S214</f>
        <v/>
      </c>
      <c r="E214" s="182">
        <f>IF($B214="","",IFERROR(BDP($B214&amp;" Action","CP037"),""))</f>
        <v/>
      </c>
      <c r="F214" s="183">
        <f>Database!T214</f>
        <v/>
      </c>
      <c r="G214" s="182">
        <f>IF($B214="","",IFERROR(BDP($B214&amp;" Action","GREENSHOE_FACILITY"),""))</f>
        <v/>
      </c>
      <c r="H214" s="182">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76">
        <f>Database!Q214</f>
        <v/>
      </c>
      <c r="O214" s="24">
        <f>IFERROR(BDH(Database!$A214&amp;" HK Equity","PE_RATIO",Database!$H214,Database!$H214),"")</f>
        <v/>
      </c>
      <c r="P214" s="180">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82">
        <f>IF($B215="","",IFERROR(BDP($B215&amp;" Action","CP036"),""))</f>
        <v/>
      </c>
      <c r="D215" s="183">
        <f>Database!S215</f>
        <v/>
      </c>
      <c r="E215" s="182">
        <f>IF($B215="","",IFERROR(BDP($B215&amp;" Action","CP037"),""))</f>
        <v/>
      </c>
      <c r="F215" s="183">
        <f>Database!T215</f>
        <v/>
      </c>
      <c r="G215" s="182">
        <f>IF($B215="","",IFERROR(BDP($B215&amp;" Action","GREENSHOE_FACILITY"),""))</f>
        <v/>
      </c>
      <c r="H215" s="182">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76">
        <f>Database!Q215</f>
        <v/>
      </c>
      <c r="O215" s="24">
        <f>IFERROR(BDH(Database!$A215&amp;" HK Equity","PE_RATIO",Database!$H215,Database!$H215),"")</f>
        <v/>
      </c>
      <c r="P215" s="180">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82">
        <f>IF($B216="","",IFERROR(BDP($B216&amp;" Action","CP036"),""))</f>
        <v/>
      </c>
      <c r="D216" s="183">
        <f>Database!S216</f>
        <v/>
      </c>
      <c r="E216" s="182">
        <f>IF($B216="","",IFERROR(BDP($B216&amp;" Action","CP037"),""))</f>
        <v/>
      </c>
      <c r="F216" s="183">
        <f>Database!T216</f>
        <v/>
      </c>
      <c r="G216" s="182">
        <f>IF($B216="","",IFERROR(BDP($B216&amp;" Action","GREENSHOE_FACILITY"),""))</f>
        <v/>
      </c>
      <c r="H216" s="182">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76">
        <f>Database!Q216</f>
        <v/>
      </c>
      <c r="O216" s="24">
        <f>IFERROR(BDH(Database!$A216&amp;" HK Equity","PE_RATIO",Database!$H216,Database!$H216),"")</f>
        <v/>
      </c>
      <c r="P216" s="180">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82">
        <f>IF($B217="","",IFERROR(BDP($B217&amp;" Action","CP036"),""))</f>
        <v/>
      </c>
      <c r="D217" s="183">
        <f>Database!S217</f>
        <v/>
      </c>
      <c r="E217" s="182">
        <f>IF($B217="","",IFERROR(BDP($B217&amp;" Action","CP037"),""))</f>
        <v/>
      </c>
      <c r="F217" s="183">
        <f>Database!T217</f>
        <v/>
      </c>
      <c r="G217" s="182">
        <f>IF($B217="","",IFERROR(BDP($B217&amp;" Action","GREENSHOE_FACILITY"),""))</f>
        <v/>
      </c>
      <c r="H217" s="182">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76">
        <f>Database!Q217</f>
        <v/>
      </c>
      <c r="O217" s="24">
        <f>IFERROR(BDH(Database!$A217&amp;" HK Equity","PE_RATIO",Database!$H217,Database!$H217),"")</f>
        <v/>
      </c>
      <c r="P217" s="180">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82">
        <f>IF($B218="","",IFERROR(BDP($B218&amp;" Action","CP036"),""))</f>
        <v/>
      </c>
      <c r="D218" s="183">
        <f>Database!S218</f>
        <v/>
      </c>
      <c r="E218" s="182">
        <f>IF($B218="","",IFERROR(BDP($B218&amp;" Action","CP037"),""))</f>
        <v/>
      </c>
      <c r="F218" s="183">
        <f>Database!T218</f>
        <v/>
      </c>
      <c r="G218" s="182">
        <f>IF($B218="","",IFERROR(BDP($B218&amp;" Action","GREENSHOE_FACILITY"),""))</f>
        <v/>
      </c>
      <c r="H218" s="182">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76">
        <f>Database!Q218</f>
        <v/>
      </c>
      <c r="O218" s="24">
        <f>IFERROR(BDH(Database!$A218&amp;" HK Equity","PE_RATIO",Database!$H218,Database!$H218),"")</f>
        <v/>
      </c>
      <c r="P218" s="180">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82">
        <f>IF($B219="","",IFERROR(BDP($B219&amp;" Action","CP036"),""))</f>
        <v/>
      </c>
      <c r="D219" s="183">
        <f>Database!S219</f>
        <v/>
      </c>
      <c r="E219" s="182">
        <f>IF($B219="","",IFERROR(BDP($B219&amp;" Action","CP037"),""))</f>
        <v/>
      </c>
      <c r="F219" s="183">
        <f>Database!T219</f>
        <v/>
      </c>
      <c r="G219" s="182">
        <f>IF($B219="","",IFERROR(BDP($B219&amp;" Action","GREENSHOE_FACILITY"),""))</f>
        <v/>
      </c>
      <c r="H219" s="182">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76">
        <f>Database!Q219</f>
        <v/>
      </c>
      <c r="O219" s="24">
        <f>IFERROR(BDH(Database!$A219&amp;" HK Equity","PE_RATIO",Database!$H219,Database!$H219),"")</f>
        <v/>
      </c>
      <c r="P219" s="180">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82">
        <f>IF($B220="","",IFERROR(BDP($B220&amp;" Action","CP036"),""))</f>
        <v/>
      </c>
      <c r="D220" s="183">
        <f>Database!S220</f>
        <v/>
      </c>
      <c r="E220" s="182">
        <f>IF($B220="","",IFERROR(BDP($B220&amp;" Action","CP037"),""))</f>
        <v/>
      </c>
      <c r="F220" s="183">
        <f>Database!T220</f>
        <v/>
      </c>
      <c r="G220" s="182">
        <f>IF($B220="","",IFERROR(BDP($B220&amp;" Action","GREENSHOE_FACILITY"),""))</f>
        <v/>
      </c>
      <c r="H220" s="182">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76">
        <f>Database!Q220</f>
        <v/>
      </c>
      <c r="O220" s="24">
        <f>IFERROR(BDH(Database!$A220&amp;" HK Equity","PE_RATIO",Database!$H220,Database!$H220),"")</f>
        <v/>
      </c>
      <c r="P220" s="180">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82">
        <f>IF($B221="","",IFERROR(BDP($B221&amp;" Action","CP036"),""))</f>
        <v/>
      </c>
      <c r="D221" s="183">
        <f>Database!S221</f>
        <v/>
      </c>
      <c r="E221" s="182">
        <f>IF($B221="","",IFERROR(BDP($B221&amp;" Action","CP037"),""))</f>
        <v/>
      </c>
      <c r="F221" s="183">
        <f>Database!T221</f>
        <v/>
      </c>
      <c r="G221" s="182">
        <f>IF($B221="","",IFERROR(BDP($B221&amp;" Action","GREENSHOE_FACILITY"),""))</f>
        <v/>
      </c>
      <c r="H221" s="182">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76">
        <f>Database!Q221</f>
        <v/>
      </c>
      <c r="O221" s="24">
        <f>IFERROR(BDH(Database!$A221&amp;" HK Equity","PE_RATIO",Database!$H221,Database!$H221),"")</f>
        <v/>
      </c>
      <c r="P221" s="180">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82">
        <f>IF($B222="","",IFERROR(BDP($B222&amp;" Action","CP036"),""))</f>
        <v/>
      </c>
      <c r="D222" s="183">
        <f>Database!S222</f>
        <v/>
      </c>
      <c r="E222" s="182">
        <f>IF($B222="","",IFERROR(BDP($B222&amp;" Action","CP037"),""))</f>
        <v/>
      </c>
      <c r="F222" s="183">
        <f>Database!T222</f>
        <v/>
      </c>
      <c r="G222" s="182">
        <f>IF($B222="","",IFERROR(BDP($B222&amp;" Action","GREENSHOE_FACILITY"),""))</f>
        <v/>
      </c>
      <c r="H222" s="182">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76">
        <f>Database!Q222</f>
        <v/>
      </c>
      <c r="O222" s="24">
        <f>IFERROR(BDH(Database!$A222&amp;" HK Equity","PE_RATIO",Database!$H222,Database!$H222),"")</f>
        <v/>
      </c>
      <c r="P222" s="180">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82">
        <f>IF($B223="","",IFERROR(BDP($B223&amp;" Action","CP036"),""))</f>
        <v/>
      </c>
      <c r="D223" s="183">
        <f>Database!S223</f>
        <v/>
      </c>
      <c r="E223" s="182">
        <f>IF($B223="","",IFERROR(BDP($B223&amp;" Action","CP037"),""))</f>
        <v/>
      </c>
      <c r="F223" s="183">
        <f>Database!T223</f>
        <v/>
      </c>
      <c r="G223" s="182">
        <f>IF($B223="","",IFERROR(BDP($B223&amp;" Action","GREENSHOE_FACILITY"),""))</f>
        <v/>
      </c>
      <c r="H223" s="182">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76">
        <f>Database!Q223</f>
        <v/>
      </c>
      <c r="O223" s="24">
        <f>IFERROR(BDH(Database!$A223&amp;" HK Equity","PE_RATIO",Database!$H223,Database!$H223),"")</f>
        <v/>
      </c>
      <c r="P223" s="180">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82">
        <f>IF($B224="","",IFERROR(BDP($B224&amp;" Action","CP036"),""))</f>
        <v/>
      </c>
      <c r="D224" s="183">
        <f>Database!S224</f>
        <v/>
      </c>
      <c r="E224" s="182">
        <f>IF($B224="","",IFERROR(BDP($B224&amp;" Action","CP037"),""))</f>
        <v/>
      </c>
      <c r="F224" s="183">
        <f>Database!T224</f>
        <v/>
      </c>
      <c r="G224" s="182">
        <f>IF($B224="","",IFERROR(BDP($B224&amp;" Action","GREENSHOE_FACILITY"),""))</f>
        <v/>
      </c>
      <c r="H224" s="182">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76">
        <f>Database!Q224</f>
        <v/>
      </c>
      <c r="O224" s="24">
        <f>IFERROR(BDH(Database!$A224&amp;" HK Equity","PE_RATIO",Database!$H224,Database!$H224),"")</f>
        <v/>
      </c>
      <c r="P224" s="180">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82">
        <f>IF($B225="","",IFERROR(BDP($B225&amp;" Action","CP036"),""))</f>
        <v/>
      </c>
      <c r="D225" s="183">
        <f>Database!S225</f>
        <v/>
      </c>
      <c r="E225" s="182">
        <f>IF($B225="","",IFERROR(BDP($B225&amp;" Action","CP037"),""))</f>
        <v/>
      </c>
      <c r="F225" s="183">
        <f>Database!T225</f>
        <v/>
      </c>
      <c r="G225" s="182">
        <f>IF($B225="","",IFERROR(BDP($B225&amp;" Action","GREENSHOE_FACILITY"),""))</f>
        <v/>
      </c>
      <c r="H225" s="182">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76">
        <f>Database!Q225</f>
        <v/>
      </c>
      <c r="O225" s="24">
        <f>IFERROR(BDH(Database!$A225&amp;" HK Equity","PE_RATIO",Database!$H225,Database!$H225),"")</f>
        <v/>
      </c>
      <c r="P225" s="180">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82">
        <f>IF($B226="","",IFERROR(BDP($B226&amp;" Action","CP036"),""))</f>
        <v/>
      </c>
      <c r="D226" s="183">
        <f>Database!S226</f>
        <v/>
      </c>
      <c r="E226" s="182">
        <f>IF($B226="","",IFERROR(BDP($B226&amp;" Action","CP037"),""))</f>
        <v/>
      </c>
      <c r="F226" s="183">
        <f>Database!T226</f>
        <v/>
      </c>
      <c r="G226" s="182">
        <f>IF($B226="","",IFERROR(BDP($B226&amp;" Action","GREENSHOE_FACILITY"),""))</f>
        <v/>
      </c>
      <c r="H226" s="182">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76">
        <f>Database!Q226</f>
        <v/>
      </c>
      <c r="O226" s="24">
        <f>IFERROR(BDH(Database!$A226&amp;" HK Equity","PE_RATIO",Database!$H226,Database!$H226),"")</f>
        <v/>
      </c>
      <c r="P226" s="180">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82">
        <f>IF($B227="","",IFERROR(BDP($B227&amp;" Action","CP036"),""))</f>
        <v/>
      </c>
      <c r="D227" s="183">
        <f>Database!S227</f>
        <v/>
      </c>
      <c r="E227" s="182">
        <f>IF($B227="","",IFERROR(BDP($B227&amp;" Action","CP037"),""))</f>
        <v/>
      </c>
      <c r="F227" s="183">
        <f>Database!T227</f>
        <v/>
      </c>
      <c r="G227" s="182">
        <f>IF($B227="","",IFERROR(BDP($B227&amp;" Action","GREENSHOE_FACILITY"),""))</f>
        <v/>
      </c>
      <c r="H227" s="182">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76">
        <f>Database!Q227</f>
        <v/>
      </c>
      <c r="O227" s="24">
        <f>IFERROR(BDH(Database!$A227&amp;" HK Equity","PE_RATIO",Database!$H227,Database!$H227),"")</f>
        <v/>
      </c>
      <c r="P227" s="180">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82">
        <f>IF($B228="","",IFERROR(BDP($B228&amp;" Action","CP036"),""))</f>
        <v/>
      </c>
      <c r="D228" s="183">
        <f>Database!S228</f>
        <v/>
      </c>
      <c r="E228" s="182">
        <f>IF($B228="","",IFERROR(BDP($B228&amp;" Action","CP037"),""))</f>
        <v/>
      </c>
      <c r="F228" s="183">
        <f>Database!T228</f>
        <v/>
      </c>
      <c r="G228" s="182">
        <f>IF($B228="","",IFERROR(BDP($B228&amp;" Action","GREENSHOE_FACILITY"),""))</f>
        <v/>
      </c>
      <c r="H228" s="182">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76">
        <f>Database!Q228</f>
        <v/>
      </c>
      <c r="O228" s="24">
        <f>IFERROR(BDH(Database!$A228&amp;" HK Equity","PE_RATIO",Database!$H228,Database!$H228),"")</f>
        <v/>
      </c>
      <c r="P228" s="180">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82">
        <f>IF($B229="","",IFERROR(BDP($B229&amp;" Action","CP036"),""))</f>
        <v/>
      </c>
      <c r="D229" s="183">
        <f>Database!S229</f>
        <v/>
      </c>
      <c r="E229" s="182">
        <f>IF($B229="","",IFERROR(BDP($B229&amp;" Action","CP037"),""))</f>
        <v/>
      </c>
      <c r="F229" s="183">
        <f>Database!T229</f>
        <v/>
      </c>
      <c r="G229" s="182">
        <f>IF($B229="","",IFERROR(BDP($B229&amp;" Action","GREENSHOE_FACILITY"),""))</f>
        <v/>
      </c>
      <c r="H229" s="182">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76">
        <f>Database!Q229</f>
        <v/>
      </c>
      <c r="O229" s="24">
        <f>IFERROR(BDH(Database!$A229&amp;" HK Equity","PE_RATIO",Database!$H229,Database!$H229),"")</f>
        <v/>
      </c>
      <c r="P229" s="180">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82">
        <f>IF($B230="","",IFERROR(BDP($B230&amp;" Action","CP036"),""))</f>
        <v/>
      </c>
      <c r="D230" s="183">
        <f>Database!S230</f>
        <v/>
      </c>
      <c r="E230" s="182">
        <f>IF($B230="","",IFERROR(BDP($B230&amp;" Action","CP037"),""))</f>
        <v/>
      </c>
      <c r="F230" s="183">
        <f>Database!T230</f>
        <v/>
      </c>
      <c r="G230" s="182">
        <f>IF($B230="","",IFERROR(BDP($B230&amp;" Action","GREENSHOE_FACILITY"),""))</f>
        <v/>
      </c>
      <c r="H230" s="182">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76">
        <f>Database!Q230</f>
        <v/>
      </c>
      <c r="O230" s="24">
        <f>IFERROR(BDH(Database!$A230&amp;" HK Equity","PE_RATIO",Database!$H230,Database!$H230),"")</f>
        <v/>
      </c>
      <c r="P230" s="180">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82">
        <f>IF($B231="","",IFERROR(BDP($B231&amp;" Action","CP036"),""))</f>
        <v/>
      </c>
      <c r="D231" s="183">
        <f>Database!S231</f>
        <v/>
      </c>
      <c r="E231" s="182">
        <f>IF($B231="","",IFERROR(BDP($B231&amp;" Action","CP037"),""))</f>
        <v/>
      </c>
      <c r="F231" s="183">
        <f>Database!T231</f>
        <v/>
      </c>
      <c r="G231" s="182">
        <f>IF($B231="","",IFERROR(BDP($B231&amp;" Action","GREENSHOE_FACILITY"),""))</f>
        <v/>
      </c>
      <c r="H231" s="182">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76">
        <f>Database!Q231</f>
        <v/>
      </c>
      <c r="O231" s="24">
        <f>IFERROR(BDH(Database!$A231&amp;" HK Equity","PE_RATIO",Database!$H231,Database!$H231),"")</f>
        <v/>
      </c>
      <c r="P231" s="180">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82">
        <f>IF($B232="","",IFERROR(BDP($B232&amp;" Action","CP036"),""))</f>
        <v/>
      </c>
      <c r="D232" s="183">
        <f>Database!S232</f>
        <v/>
      </c>
      <c r="E232" s="182">
        <f>IF($B232="","",IFERROR(BDP($B232&amp;" Action","CP037"),""))</f>
        <v/>
      </c>
      <c r="F232" s="183">
        <f>Database!T232</f>
        <v/>
      </c>
      <c r="G232" s="182">
        <f>IF($B232="","",IFERROR(BDP($B232&amp;" Action","GREENSHOE_FACILITY"),""))</f>
        <v/>
      </c>
      <c r="H232" s="182">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76">
        <f>Database!Q232</f>
        <v/>
      </c>
      <c r="O232" s="24">
        <f>IFERROR(BDH(Database!$A232&amp;" HK Equity","PE_RATIO",Database!$H232,Database!$H232),"")</f>
        <v/>
      </c>
      <c r="P232" s="180">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82">
        <f>IF($B233="","",IFERROR(BDP($B233&amp;" Action","CP036"),""))</f>
        <v/>
      </c>
      <c r="D233" s="183">
        <f>Database!S233</f>
        <v/>
      </c>
      <c r="E233" s="182">
        <f>IF($B233="","",IFERROR(BDP($B233&amp;" Action","CP037"),""))</f>
        <v/>
      </c>
      <c r="F233" s="183">
        <f>Database!T233</f>
        <v/>
      </c>
      <c r="G233" s="182">
        <f>IF($B233="","",IFERROR(BDP($B233&amp;" Action","GREENSHOE_FACILITY"),""))</f>
        <v/>
      </c>
      <c r="H233" s="182">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76">
        <f>Database!Q233</f>
        <v/>
      </c>
      <c r="O233" s="24">
        <f>IFERROR(BDH(Database!$A233&amp;" HK Equity","PE_RATIO",Database!$H233,Database!$H233),"")</f>
        <v/>
      </c>
      <c r="P233" s="180">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82">
        <f>IF($B234="","",IFERROR(BDP($B234&amp;" Action","CP036"),""))</f>
        <v/>
      </c>
      <c r="D234" s="183">
        <f>Database!S234</f>
        <v/>
      </c>
      <c r="E234" s="182">
        <f>IF($B234="","",IFERROR(BDP($B234&amp;" Action","CP037"),""))</f>
        <v/>
      </c>
      <c r="F234" s="183">
        <f>Database!T234</f>
        <v/>
      </c>
      <c r="G234" s="182">
        <f>IF($B234="","",IFERROR(BDP($B234&amp;" Action","GREENSHOE_FACILITY"),""))</f>
        <v/>
      </c>
      <c r="H234" s="182">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76">
        <f>Database!Q234</f>
        <v/>
      </c>
      <c r="O234" s="24">
        <f>IFERROR(BDH(Database!$A234&amp;" HK Equity","PE_RATIO",Database!$H234,Database!$H234),"")</f>
        <v/>
      </c>
      <c r="P234" s="180">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82">
        <f>IF($B235="","",IFERROR(BDP($B235&amp;" Action","CP036"),""))</f>
        <v/>
      </c>
      <c r="D235" s="183">
        <f>Database!S235</f>
        <v/>
      </c>
      <c r="E235" s="182">
        <f>IF($B235="","",IFERROR(BDP($B235&amp;" Action","CP037"),""))</f>
        <v/>
      </c>
      <c r="F235" s="183">
        <f>Database!T235</f>
        <v/>
      </c>
      <c r="G235" s="182">
        <f>IF($B235="","",IFERROR(BDP($B235&amp;" Action","GREENSHOE_FACILITY"),""))</f>
        <v/>
      </c>
      <c r="H235" s="182">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76">
        <f>Database!Q235</f>
        <v/>
      </c>
      <c r="O235" s="24">
        <f>IFERROR(BDH(Database!$A235&amp;" HK Equity","PE_RATIO",Database!$H235,Database!$H235),"")</f>
        <v/>
      </c>
      <c r="P235" s="180">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82">
        <f>IF($B236="","",IFERROR(BDP($B236&amp;" Action","CP036"),""))</f>
        <v/>
      </c>
      <c r="D236" s="183">
        <f>Database!S236</f>
        <v/>
      </c>
      <c r="E236" s="182">
        <f>IF($B236="","",IFERROR(BDP($B236&amp;" Action","CP037"),""))</f>
        <v/>
      </c>
      <c r="F236" s="183">
        <f>Database!T236</f>
        <v/>
      </c>
      <c r="G236" s="182">
        <f>IF($B236="","",IFERROR(BDP($B236&amp;" Action","GREENSHOE_FACILITY"),""))</f>
        <v/>
      </c>
      <c r="H236" s="182">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76">
        <f>Database!Q236</f>
        <v/>
      </c>
      <c r="O236" s="24">
        <f>IFERROR(BDH(Database!$A236&amp;" HK Equity","PE_RATIO",Database!$H236,Database!$H236),"")</f>
        <v/>
      </c>
      <c r="P236" s="180">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82">
        <f>IF($B237="","",IFERROR(BDP($B237&amp;" Action","CP036"),""))</f>
        <v/>
      </c>
      <c r="D237" s="183">
        <f>Database!S237</f>
        <v/>
      </c>
      <c r="E237" s="182">
        <f>IF($B237="","",IFERROR(BDP($B237&amp;" Action","CP037"),""))</f>
        <v/>
      </c>
      <c r="F237" s="183">
        <f>Database!T237</f>
        <v/>
      </c>
      <c r="G237" s="182">
        <f>IF($B237="","",IFERROR(BDP($B237&amp;" Action","GREENSHOE_FACILITY"),""))</f>
        <v/>
      </c>
      <c r="H237" s="182">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76">
        <f>Database!Q237</f>
        <v/>
      </c>
      <c r="O237" s="24">
        <f>IFERROR(BDH(Database!$A237&amp;" HK Equity","PE_RATIO",Database!$H237,Database!$H237),"")</f>
        <v/>
      </c>
      <c r="P237" s="180">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82">
        <f>IF($B238="","",IFERROR(BDP($B238&amp;" Action","CP036"),""))</f>
        <v/>
      </c>
      <c r="D238" s="183">
        <f>Database!S238</f>
        <v/>
      </c>
      <c r="E238" s="182">
        <f>IF($B238="","",IFERROR(BDP($B238&amp;" Action","CP037"),""))</f>
        <v/>
      </c>
      <c r="F238" s="183">
        <f>Database!T238</f>
        <v/>
      </c>
      <c r="G238" s="182">
        <f>IF($B238="","",IFERROR(BDP($B238&amp;" Action","GREENSHOE_FACILITY"),""))</f>
        <v/>
      </c>
      <c r="H238" s="182">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76">
        <f>Database!Q238</f>
        <v/>
      </c>
      <c r="O238" s="24">
        <f>IFERROR(BDH(Database!$A238&amp;" HK Equity","PE_RATIO",Database!$H238,Database!$H238),"")</f>
        <v/>
      </c>
      <c r="P238" s="180">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82">
        <f>IF($B239="","",IFERROR(BDP($B239&amp;" Action","CP036"),""))</f>
        <v/>
      </c>
      <c r="D239" s="183">
        <f>Database!S239</f>
        <v/>
      </c>
      <c r="E239" s="182">
        <f>IF($B239="","",IFERROR(BDP($B239&amp;" Action","CP037"),""))</f>
        <v/>
      </c>
      <c r="F239" s="183">
        <f>Database!T239</f>
        <v/>
      </c>
      <c r="G239" s="182">
        <f>IF($B239="","",IFERROR(BDP($B239&amp;" Action","GREENSHOE_FACILITY"),""))</f>
        <v/>
      </c>
      <c r="H239" s="182">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76">
        <f>Database!Q239</f>
        <v/>
      </c>
      <c r="O239" s="24">
        <f>IFERROR(BDH(Database!$A239&amp;" HK Equity","PE_RATIO",Database!$H239,Database!$H239),"")</f>
        <v/>
      </c>
      <c r="P239" s="180">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82">
        <f>IF($B240="","",IFERROR(BDP($B240&amp;" Action","CP036"),""))</f>
        <v/>
      </c>
      <c r="D240" s="183">
        <f>Database!S240</f>
        <v/>
      </c>
      <c r="E240" s="182">
        <f>IF($B240="","",IFERROR(BDP($B240&amp;" Action","CP037"),""))</f>
        <v/>
      </c>
      <c r="F240" s="183">
        <f>Database!T240</f>
        <v/>
      </c>
      <c r="G240" s="182">
        <f>IF($B240="","",IFERROR(BDP($B240&amp;" Action","GREENSHOE_FACILITY"),""))</f>
        <v/>
      </c>
      <c r="H240" s="182">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76">
        <f>Database!Q240</f>
        <v/>
      </c>
      <c r="O240" s="24">
        <f>IFERROR(BDH(Database!$A240&amp;" HK Equity","PE_RATIO",Database!$H240,Database!$H240),"")</f>
        <v/>
      </c>
      <c r="P240" s="180">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82">
        <f>IF($B241="","",IFERROR(BDP($B241&amp;" Action","CP036"),""))</f>
        <v/>
      </c>
      <c r="D241" s="183">
        <f>Database!S241</f>
        <v/>
      </c>
      <c r="E241" s="182">
        <f>IF($B241="","",IFERROR(BDP($B241&amp;" Action","CP037"),""))</f>
        <v/>
      </c>
      <c r="F241" s="183">
        <f>Database!T241</f>
        <v/>
      </c>
      <c r="G241" s="182">
        <f>IF($B241="","",IFERROR(BDP($B241&amp;" Action","GREENSHOE_FACILITY"),""))</f>
        <v/>
      </c>
      <c r="H241" s="182">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76">
        <f>Database!Q241</f>
        <v/>
      </c>
      <c r="O241" s="24">
        <f>IFERROR(BDH(Database!$A241&amp;" HK Equity","PE_RATIO",Database!$H241,Database!$H241),"")</f>
        <v/>
      </c>
      <c r="P241" s="180">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82">
        <f>IF($B242="","",IFERROR(BDP($B242&amp;" Action","CP036"),""))</f>
        <v/>
      </c>
      <c r="D242" s="183">
        <f>Database!S242</f>
        <v/>
      </c>
      <c r="E242" s="182">
        <f>IF($B242="","",IFERROR(BDP($B242&amp;" Action","CP037"),""))</f>
        <v/>
      </c>
      <c r="F242" s="183">
        <f>Database!T242</f>
        <v/>
      </c>
      <c r="G242" s="182">
        <f>IF($B242="","",IFERROR(BDP($B242&amp;" Action","GREENSHOE_FACILITY"),""))</f>
        <v/>
      </c>
      <c r="H242" s="182">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76">
        <f>Database!Q242</f>
        <v/>
      </c>
      <c r="O242" s="24">
        <f>IFERROR(BDH(Database!$A242&amp;" HK Equity","PE_RATIO",Database!$H242,Database!$H242),"")</f>
        <v/>
      </c>
      <c r="P242" s="180">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82">
        <f>IF($B243="","",IFERROR(BDP($B243&amp;" Action","CP036"),""))</f>
        <v/>
      </c>
      <c r="D243" s="183">
        <f>Database!S243</f>
        <v/>
      </c>
      <c r="E243" s="182">
        <f>IF($B243="","",IFERROR(BDP($B243&amp;" Action","CP037"),""))</f>
        <v/>
      </c>
      <c r="F243" s="183">
        <f>Database!T243</f>
        <v/>
      </c>
      <c r="G243" s="182">
        <f>IF($B243="","",IFERROR(BDP($B243&amp;" Action","GREENSHOE_FACILITY"),""))</f>
        <v/>
      </c>
      <c r="H243" s="182">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76">
        <f>Database!Q243</f>
        <v/>
      </c>
      <c r="O243" s="24">
        <f>IFERROR(BDH(Database!$A243&amp;" HK Equity","PE_RATIO",Database!$H243,Database!$H243),"")</f>
        <v/>
      </c>
      <c r="P243" s="180">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82">
        <f>IF($B244="","",IFERROR(BDP($B244&amp;" Action","CP036"),""))</f>
        <v/>
      </c>
      <c r="D244" s="183">
        <f>Database!S244</f>
        <v/>
      </c>
      <c r="E244" s="182">
        <f>IF($B244="","",IFERROR(BDP($B244&amp;" Action","CP037"),""))</f>
        <v/>
      </c>
      <c r="F244" s="183">
        <f>Database!T244</f>
        <v/>
      </c>
      <c r="G244" s="182">
        <f>IF($B244="","",IFERROR(BDP($B244&amp;" Action","GREENSHOE_FACILITY"),""))</f>
        <v/>
      </c>
      <c r="H244" s="182">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76">
        <f>Database!Q244</f>
        <v/>
      </c>
      <c r="O244" s="24">
        <f>IFERROR(BDH(Database!$A244&amp;" HK Equity","PE_RATIO",Database!$H244,Database!$H244),"")</f>
        <v/>
      </c>
      <c r="P244" s="180">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82">
        <f>IF($B245="","",IFERROR(BDP($B245&amp;" Action","CP036"),""))</f>
        <v/>
      </c>
      <c r="D245" s="183">
        <f>Database!S245</f>
        <v/>
      </c>
      <c r="E245" s="182">
        <f>IF($B245="","",IFERROR(BDP($B245&amp;" Action","CP037"),""))</f>
        <v/>
      </c>
      <c r="F245" s="183">
        <f>Database!T245</f>
        <v/>
      </c>
      <c r="G245" s="182">
        <f>IF($B245="","",IFERROR(BDP($B245&amp;" Action","GREENSHOE_FACILITY"),""))</f>
        <v/>
      </c>
      <c r="H245" s="182">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76">
        <f>Database!Q245</f>
        <v/>
      </c>
      <c r="O245" s="24">
        <f>IFERROR(BDH(Database!$A245&amp;" HK Equity","PE_RATIO",Database!$H245,Database!$H245),"")</f>
        <v/>
      </c>
      <c r="P245" s="180">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82">
        <f>IF($B246="","",IFERROR(BDP($B246&amp;" Action","CP036"),""))</f>
        <v/>
      </c>
      <c r="D246" s="183">
        <f>Database!S246</f>
        <v/>
      </c>
      <c r="E246" s="182">
        <f>IF($B246="","",IFERROR(BDP($B246&amp;" Action","CP037"),""))</f>
        <v/>
      </c>
      <c r="F246" s="183">
        <f>Database!T246</f>
        <v/>
      </c>
      <c r="G246" s="182">
        <f>IF($B246="","",IFERROR(BDP($B246&amp;" Action","GREENSHOE_FACILITY"),""))</f>
        <v/>
      </c>
      <c r="H246" s="182">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76">
        <f>Database!Q246</f>
        <v/>
      </c>
      <c r="O246" s="24">
        <f>IFERROR(BDH(Database!$A246&amp;" HK Equity","PE_RATIO",Database!$H246,Database!$H246),"")</f>
        <v/>
      </c>
      <c r="P246" s="180">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82">
        <f>IF($B247="","",IFERROR(BDP($B247&amp;" Action","CP036"),""))</f>
        <v/>
      </c>
      <c r="D247" s="183">
        <f>Database!S247</f>
        <v/>
      </c>
      <c r="E247" s="182">
        <f>IF($B247="","",IFERROR(BDP($B247&amp;" Action","CP037"),""))</f>
        <v/>
      </c>
      <c r="F247" s="183">
        <f>Database!T247</f>
        <v/>
      </c>
      <c r="G247" s="182">
        <f>IF($B247="","",IFERROR(BDP($B247&amp;" Action","GREENSHOE_FACILITY"),""))</f>
        <v/>
      </c>
      <c r="H247" s="182">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76">
        <f>Database!Q247</f>
        <v/>
      </c>
      <c r="O247" s="24">
        <f>IFERROR(BDH(Database!$A247&amp;" HK Equity","PE_RATIO",Database!$H247,Database!$H247),"")</f>
        <v/>
      </c>
      <c r="P247" s="180">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82">
        <f>IF($B248="","",IFERROR(BDP($B248&amp;" Action","CP036"),""))</f>
        <v/>
      </c>
      <c r="D248" s="183">
        <f>Database!S248</f>
        <v/>
      </c>
      <c r="E248" s="182">
        <f>IF($B248="","",IFERROR(BDP($B248&amp;" Action","CP037"),""))</f>
        <v/>
      </c>
      <c r="F248" s="183">
        <f>Database!T248</f>
        <v/>
      </c>
      <c r="G248" s="182">
        <f>IF($B248="","",IFERROR(BDP($B248&amp;" Action","GREENSHOE_FACILITY"),""))</f>
        <v/>
      </c>
      <c r="H248" s="182">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76">
        <f>Database!Q248</f>
        <v/>
      </c>
      <c r="O248" s="24">
        <f>IFERROR(BDH(Database!$A248&amp;" HK Equity","PE_RATIO",Database!$H248,Database!$H248),"")</f>
        <v/>
      </c>
      <c r="P248" s="180">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82">
        <f>IF($B249="","",IFERROR(BDP($B249&amp;" Action","CP036"),""))</f>
        <v/>
      </c>
      <c r="D249" s="183">
        <f>Database!S249</f>
        <v/>
      </c>
      <c r="E249" s="182">
        <f>IF($B249="","",IFERROR(BDP($B249&amp;" Action","CP037"),""))</f>
        <v/>
      </c>
      <c r="F249" s="183">
        <f>Database!T249</f>
        <v/>
      </c>
      <c r="G249" s="182">
        <f>IF($B249="","",IFERROR(BDP($B249&amp;" Action","GREENSHOE_FACILITY"),""))</f>
        <v/>
      </c>
      <c r="H249" s="182">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76">
        <f>Database!Q249</f>
        <v/>
      </c>
      <c r="O249" s="24">
        <f>IFERROR(BDH(Database!$A249&amp;" HK Equity","PE_RATIO",Database!$H249,Database!$H249),"")</f>
        <v/>
      </c>
      <c r="P249" s="180">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82">
        <f>IF($B250="","",IFERROR(BDP($B250&amp;" Action","CP036"),""))</f>
        <v/>
      </c>
      <c r="D250" s="183">
        <f>Database!S250</f>
        <v/>
      </c>
      <c r="E250" s="182">
        <f>IF($B250="","",IFERROR(BDP($B250&amp;" Action","CP037"),""))</f>
        <v/>
      </c>
      <c r="F250" s="183">
        <f>Database!T250</f>
        <v/>
      </c>
      <c r="G250" s="182">
        <f>IF($B250="","",IFERROR(BDP($B250&amp;" Action","GREENSHOE_FACILITY"),""))</f>
        <v/>
      </c>
      <c r="H250" s="182">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76">
        <f>Database!Q250</f>
        <v/>
      </c>
      <c r="O250" s="24">
        <f>IFERROR(BDH(Database!$A250&amp;" HK Equity","PE_RATIO",Database!$H250,Database!$H250),"")</f>
        <v/>
      </c>
      <c r="P250" s="180">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82">
        <f>IF($B251="","",IFERROR(BDP($B251&amp;" Action","CP036"),""))</f>
        <v/>
      </c>
      <c r="D251" s="183">
        <f>Database!S251</f>
        <v/>
      </c>
      <c r="E251" s="182">
        <f>IF($B251="","",IFERROR(BDP($B251&amp;" Action","CP037"),""))</f>
        <v/>
      </c>
      <c r="F251" s="183">
        <f>Database!T251</f>
        <v/>
      </c>
      <c r="G251" s="182">
        <f>IF($B251="","",IFERROR(BDP($B251&amp;" Action","GREENSHOE_FACILITY"),""))</f>
        <v/>
      </c>
      <c r="H251" s="182">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76">
        <f>Database!Q251</f>
        <v/>
      </c>
      <c r="O251" s="24">
        <f>IFERROR(BDH(Database!$A251&amp;" HK Equity","PE_RATIO",Database!$H251,Database!$H251),"")</f>
        <v/>
      </c>
      <c r="P251" s="180">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82">
        <f>IF($B252="","",IFERROR(BDP($B252&amp;" Action","CP036"),""))</f>
        <v/>
      </c>
      <c r="D252" s="183">
        <f>Database!S252</f>
        <v/>
      </c>
      <c r="E252" s="182">
        <f>IF($B252="","",IFERROR(BDP($B252&amp;" Action","CP037"),""))</f>
        <v/>
      </c>
      <c r="F252" s="183">
        <f>Database!T252</f>
        <v/>
      </c>
      <c r="G252" s="182">
        <f>IF($B252="","",IFERROR(BDP($B252&amp;" Action","GREENSHOE_FACILITY"),""))</f>
        <v/>
      </c>
      <c r="H252" s="182">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76">
        <f>Database!Q252</f>
        <v/>
      </c>
      <c r="O252" s="24">
        <f>IFERROR(BDH(Database!$A252&amp;" HK Equity","PE_RATIO",Database!$H252,Database!$H252),"")</f>
        <v/>
      </c>
      <c r="P252" s="180">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82">
        <f>IF($B253="","",IFERROR(BDP($B253&amp;" Action","CP036"),""))</f>
        <v/>
      </c>
      <c r="D253" s="183">
        <f>Database!S253</f>
        <v/>
      </c>
      <c r="E253" s="182">
        <f>IF($B253="","",IFERROR(BDP($B253&amp;" Action","CP037"),""))</f>
        <v/>
      </c>
      <c r="F253" s="183">
        <f>Database!T253</f>
        <v/>
      </c>
      <c r="G253" s="182">
        <f>IF($B253="","",IFERROR(BDP($B253&amp;" Action","GREENSHOE_FACILITY"),""))</f>
        <v/>
      </c>
      <c r="H253" s="182">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76">
        <f>Database!Q253</f>
        <v/>
      </c>
      <c r="O253" s="24">
        <f>IFERROR(BDH(Database!$A253&amp;" HK Equity","PE_RATIO",Database!$H253,Database!$H253),"")</f>
        <v/>
      </c>
      <c r="P253" s="180">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82">
        <f>IF($B254="","",IFERROR(BDP($B254&amp;" Action","CP036"),""))</f>
        <v/>
      </c>
      <c r="D254" s="183">
        <f>Database!S254</f>
        <v/>
      </c>
      <c r="E254" s="182">
        <f>IF($B254="","",IFERROR(BDP($B254&amp;" Action","CP037"),""))</f>
        <v/>
      </c>
      <c r="F254" s="183">
        <f>Database!T254</f>
        <v/>
      </c>
      <c r="G254" s="182">
        <f>IF($B254="","",IFERROR(BDP($B254&amp;" Action","GREENSHOE_FACILITY"),""))</f>
        <v/>
      </c>
      <c r="H254" s="182">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76">
        <f>Database!Q254</f>
        <v/>
      </c>
      <c r="O254" s="24">
        <f>IFERROR(BDH(Database!$A254&amp;" HK Equity","PE_RATIO",Database!$H254,Database!$H254),"")</f>
        <v/>
      </c>
      <c r="P254" s="180">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82">
        <f>IF($B255="","",IFERROR(BDP($B255&amp;" Action","CP036"),""))</f>
        <v/>
      </c>
      <c r="D255" s="183">
        <f>Database!S255</f>
        <v/>
      </c>
      <c r="E255" s="182">
        <f>IF($B255="","",IFERROR(BDP($B255&amp;" Action","CP037"),""))</f>
        <v/>
      </c>
      <c r="F255" s="183">
        <f>Database!T255</f>
        <v/>
      </c>
      <c r="G255" s="182">
        <f>IF($B255="","",IFERROR(BDP($B255&amp;" Action","GREENSHOE_FACILITY"),""))</f>
        <v/>
      </c>
      <c r="H255" s="182">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76">
        <f>Database!Q255</f>
        <v/>
      </c>
      <c r="O255" s="24">
        <f>IFERROR(BDH(Database!$A255&amp;" HK Equity","PE_RATIO",Database!$H255,Database!$H255),"")</f>
        <v/>
      </c>
      <c r="P255" s="180">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82">
        <f>IF($B256="","",IFERROR(BDP($B256&amp;" Action","CP036"),""))</f>
        <v/>
      </c>
      <c r="D256" s="183">
        <f>Database!S256</f>
        <v/>
      </c>
      <c r="E256" s="182">
        <f>IF($B256="","",IFERROR(BDP($B256&amp;" Action","CP037"),""))</f>
        <v/>
      </c>
      <c r="F256" s="183">
        <f>Database!T256</f>
        <v/>
      </c>
      <c r="G256" s="182">
        <f>IF($B256="","",IFERROR(BDP($B256&amp;" Action","GREENSHOE_FACILITY"),""))</f>
        <v/>
      </c>
      <c r="H256" s="182">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76">
        <f>Database!Q256</f>
        <v/>
      </c>
      <c r="O256" s="24">
        <f>IFERROR(BDH(Database!$A256&amp;" HK Equity","PE_RATIO",Database!$H256,Database!$H256),"")</f>
        <v/>
      </c>
      <c r="P256" s="180">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82">
        <f>IF($B257="","",IFERROR(BDP($B257&amp;" Action","CP036"),""))</f>
        <v/>
      </c>
      <c r="D257" s="183">
        <f>Database!S257</f>
        <v/>
      </c>
      <c r="E257" s="182">
        <f>IF($B257="","",IFERROR(BDP($B257&amp;" Action","CP037"),""))</f>
        <v/>
      </c>
      <c r="F257" s="183">
        <f>Database!T257</f>
        <v/>
      </c>
      <c r="G257" s="182">
        <f>IF($B257="","",IFERROR(BDP($B257&amp;" Action","GREENSHOE_FACILITY"),""))</f>
        <v/>
      </c>
      <c r="H257" s="182">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76">
        <f>Database!Q257</f>
        <v/>
      </c>
      <c r="O257" s="24">
        <f>IFERROR(BDH(Database!$A257&amp;" HK Equity","PE_RATIO",Database!$H257,Database!$H257),"")</f>
        <v/>
      </c>
      <c r="P257" s="180">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82">
        <f>IF($B258="","",IFERROR(BDP($B258&amp;" Action","CP036"),""))</f>
        <v/>
      </c>
      <c r="D258" s="183">
        <f>Database!S258</f>
        <v/>
      </c>
      <c r="E258" s="182">
        <f>IF($B258="","",IFERROR(BDP($B258&amp;" Action","CP037"),""))</f>
        <v/>
      </c>
      <c r="F258" s="183">
        <f>Database!T258</f>
        <v/>
      </c>
      <c r="G258" s="182">
        <f>IF($B258="","",IFERROR(BDP($B258&amp;" Action","GREENSHOE_FACILITY"),""))</f>
        <v/>
      </c>
      <c r="H258" s="182">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76">
        <f>Database!Q258</f>
        <v/>
      </c>
      <c r="O258" s="24">
        <f>IFERROR(BDH(Database!$A258&amp;" HK Equity","PE_RATIO",Database!$H258,Database!$H258),"")</f>
        <v/>
      </c>
      <c r="P258" s="180">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82">
        <f>IF($B259="","",IFERROR(BDP($B259&amp;" Action","CP036"),""))</f>
        <v/>
      </c>
      <c r="D259" s="183">
        <f>Database!S259</f>
        <v/>
      </c>
      <c r="E259" s="182">
        <f>IF($B259="","",IFERROR(BDP($B259&amp;" Action","CP037"),""))</f>
        <v/>
      </c>
      <c r="F259" s="183">
        <f>Database!T259</f>
        <v/>
      </c>
      <c r="G259" s="182">
        <f>IF($B259="","",IFERROR(BDP($B259&amp;" Action","GREENSHOE_FACILITY"),""))</f>
        <v/>
      </c>
      <c r="H259" s="182">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76">
        <f>Database!Q259</f>
        <v/>
      </c>
      <c r="O259" s="24">
        <f>IFERROR(BDH(Database!$A259&amp;" HK Equity","PE_RATIO",Database!$H259,Database!$H259),"")</f>
        <v/>
      </c>
      <c r="P259" s="180">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82">
        <f>IF($B260="","",IFERROR(BDP($B260&amp;" Action","CP036"),""))</f>
        <v/>
      </c>
      <c r="D260" s="183">
        <f>Database!S260</f>
        <v/>
      </c>
      <c r="E260" s="182">
        <f>IF($B260="","",IFERROR(BDP($B260&amp;" Action","CP037"),""))</f>
        <v/>
      </c>
      <c r="F260" s="183">
        <f>Database!T260</f>
        <v/>
      </c>
      <c r="G260" s="182">
        <f>IF($B260="","",IFERROR(BDP($B260&amp;" Action","GREENSHOE_FACILITY"),""))</f>
        <v/>
      </c>
      <c r="H260" s="182">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76">
        <f>Database!Q260</f>
        <v/>
      </c>
      <c r="O260" s="24">
        <f>IFERROR(BDH(Database!$A260&amp;" HK Equity","PE_RATIO",Database!$H260,Database!$H260),"")</f>
        <v/>
      </c>
      <c r="P260" s="180">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82">
        <f>IF($B261="","",IFERROR(BDP($B261&amp;" Action","CP036"),""))</f>
        <v/>
      </c>
      <c r="D261" s="183">
        <f>Database!S261</f>
        <v/>
      </c>
      <c r="E261" s="182">
        <f>IF($B261="","",IFERROR(BDP($B261&amp;" Action","CP037"),""))</f>
        <v/>
      </c>
      <c r="F261" s="183">
        <f>Database!T261</f>
        <v/>
      </c>
      <c r="G261" s="182">
        <f>IF($B261="","",IFERROR(BDP($B261&amp;" Action","GREENSHOE_FACILITY"),""))</f>
        <v/>
      </c>
      <c r="H261" s="182">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76">
        <f>Database!Q261</f>
        <v/>
      </c>
      <c r="O261" s="24">
        <f>IFERROR(BDH(Database!$A261&amp;" HK Equity","PE_RATIO",Database!$H261,Database!$H261),"")</f>
        <v/>
      </c>
      <c r="P261" s="180">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82">
        <f>IF($B262="","",IFERROR(BDP($B262&amp;" Action","CP036"),""))</f>
        <v/>
      </c>
      <c r="D262" s="183">
        <f>Database!S262</f>
        <v/>
      </c>
      <c r="E262" s="182">
        <f>IF($B262="","",IFERROR(BDP($B262&amp;" Action","CP037"),""))</f>
        <v/>
      </c>
      <c r="F262" s="183">
        <f>Database!T262</f>
        <v/>
      </c>
      <c r="G262" s="182">
        <f>IF($B262="","",IFERROR(BDP($B262&amp;" Action","GREENSHOE_FACILITY"),""))</f>
        <v/>
      </c>
      <c r="H262" s="182">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76">
        <f>Database!Q262</f>
        <v/>
      </c>
      <c r="O262" s="24">
        <f>IFERROR(BDH(Database!$A262&amp;" HK Equity","PE_RATIO",Database!$H262,Database!$H262),"")</f>
        <v/>
      </c>
      <c r="P262" s="180">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82">
        <f>IF($B263="","",IFERROR(BDP($B263&amp;" Action","CP036"),""))</f>
        <v/>
      </c>
      <c r="D263" s="183">
        <f>Database!S263</f>
        <v/>
      </c>
      <c r="E263" s="182">
        <f>IF($B263="","",IFERROR(BDP($B263&amp;" Action","CP037"),""))</f>
        <v/>
      </c>
      <c r="F263" s="183">
        <f>Database!T263</f>
        <v/>
      </c>
      <c r="G263" s="182">
        <f>IF($B263="","",IFERROR(BDP($B263&amp;" Action","GREENSHOE_FACILITY"),""))</f>
        <v/>
      </c>
      <c r="H263" s="182">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76">
        <f>Database!Q263</f>
        <v/>
      </c>
      <c r="O263" s="24">
        <f>IFERROR(BDH(Database!$A263&amp;" HK Equity","PE_RATIO",Database!$H263,Database!$H263),"")</f>
        <v/>
      </c>
      <c r="P263" s="180">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82">
        <f>IF($B264="","",IFERROR(BDP($B264&amp;" Action","CP036"),""))</f>
        <v/>
      </c>
      <c r="D264" s="183">
        <f>Database!S264</f>
        <v/>
      </c>
      <c r="E264" s="182">
        <f>IF($B264="","",IFERROR(BDP($B264&amp;" Action","CP037"),""))</f>
        <v/>
      </c>
      <c r="F264" s="183">
        <f>Database!T264</f>
        <v/>
      </c>
      <c r="G264" s="182">
        <f>IF($B264="","",IFERROR(BDP($B264&amp;" Action","GREENSHOE_FACILITY"),""))</f>
        <v/>
      </c>
      <c r="H264" s="182">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76">
        <f>Database!Q264</f>
        <v/>
      </c>
      <c r="O264" s="24">
        <f>IFERROR(BDH(Database!$A264&amp;" HK Equity","PE_RATIO",Database!$H264,Database!$H264),"")</f>
        <v/>
      </c>
      <c r="P264" s="180">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82">
        <f>IF($B265="","",IFERROR(BDP($B265&amp;" Action","CP036"),""))</f>
        <v/>
      </c>
      <c r="D265" s="183">
        <f>Database!S265</f>
        <v/>
      </c>
      <c r="E265" s="182">
        <f>IF($B265="","",IFERROR(BDP($B265&amp;" Action","CP037"),""))</f>
        <v/>
      </c>
      <c r="F265" s="183">
        <f>Database!T265</f>
        <v/>
      </c>
      <c r="G265" s="182">
        <f>IF($B265="","",IFERROR(BDP($B265&amp;" Action","GREENSHOE_FACILITY"),""))</f>
        <v/>
      </c>
      <c r="H265" s="182">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76">
        <f>Database!Q265</f>
        <v/>
      </c>
      <c r="O265" s="24">
        <f>IFERROR(BDH(Database!$A265&amp;" HK Equity","PE_RATIO",Database!$H265,Database!$H265),"")</f>
        <v/>
      </c>
      <c r="P265" s="180">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82">
        <f>IF($B266="","",IFERROR(BDP($B266&amp;" Action","CP036"),""))</f>
        <v/>
      </c>
      <c r="D266" s="183">
        <f>Database!S266</f>
        <v/>
      </c>
      <c r="E266" s="182">
        <f>IF($B266="","",IFERROR(BDP($B266&amp;" Action","CP037"),""))</f>
        <v/>
      </c>
      <c r="F266" s="183">
        <f>Database!T266</f>
        <v/>
      </c>
      <c r="G266" s="182">
        <f>IF($B266="","",IFERROR(BDP($B266&amp;" Action","GREENSHOE_FACILITY"),""))</f>
        <v/>
      </c>
      <c r="H266" s="182">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76">
        <f>Database!Q266</f>
        <v/>
      </c>
      <c r="O266" s="24">
        <f>IFERROR(BDH(Database!$A266&amp;" HK Equity","PE_RATIO",Database!$H266,Database!$H266),"")</f>
        <v/>
      </c>
      <c r="P266" s="180">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82">
        <f>IF($B267="","",IFERROR(BDP($B267&amp;" Action","CP036"),""))</f>
        <v/>
      </c>
      <c r="D267" s="183">
        <f>Database!S267</f>
        <v/>
      </c>
      <c r="E267" s="182">
        <f>IF($B267="","",IFERROR(BDP($B267&amp;" Action","CP037"),""))</f>
        <v/>
      </c>
      <c r="F267" s="183">
        <f>Database!T267</f>
        <v/>
      </c>
      <c r="G267" s="182">
        <f>IF($B267="","",IFERROR(BDP($B267&amp;" Action","GREENSHOE_FACILITY"),""))</f>
        <v/>
      </c>
      <c r="H267" s="182">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76">
        <f>Database!Q267</f>
        <v/>
      </c>
      <c r="O267" s="24">
        <f>IFERROR(BDH(Database!$A267&amp;" HK Equity","PE_RATIO",Database!$H267,Database!$H267),"")</f>
        <v/>
      </c>
      <c r="P267" s="180">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82">
        <f>IF($B268="","",IFERROR(BDP($B268&amp;" Action","CP036"),""))</f>
        <v/>
      </c>
      <c r="D268" s="183">
        <f>Database!S268</f>
        <v/>
      </c>
      <c r="E268" s="182">
        <f>IF($B268="","",IFERROR(BDP($B268&amp;" Action","CP037"),""))</f>
        <v/>
      </c>
      <c r="F268" s="183">
        <f>Database!T268</f>
        <v/>
      </c>
      <c r="G268" s="182">
        <f>IF($B268="","",IFERROR(BDP($B268&amp;" Action","GREENSHOE_FACILITY"),""))</f>
        <v/>
      </c>
      <c r="H268" s="182">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76">
        <f>Database!Q268</f>
        <v/>
      </c>
      <c r="O268" s="24">
        <f>IFERROR(BDH(Database!$A268&amp;" HK Equity","PE_RATIO",Database!$H268,Database!$H268),"")</f>
        <v/>
      </c>
      <c r="P268" s="180">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82">
        <f>IF($B269="","",IFERROR(BDP($B269&amp;" Action","CP036"),""))</f>
        <v/>
      </c>
      <c r="D269" s="183">
        <f>Database!S269</f>
        <v/>
      </c>
      <c r="E269" s="182">
        <f>IF($B269="","",IFERROR(BDP($B269&amp;" Action","CP037"),""))</f>
        <v/>
      </c>
      <c r="F269" s="183">
        <f>Database!T269</f>
        <v/>
      </c>
      <c r="G269" s="182">
        <f>IF($B269="","",IFERROR(BDP($B269&amp;" Action","GREENSHOE_FACILITY"),""))</f>
        <v/>
      </c>
      <c r="H269" s="182">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76">
        <f>Database!Q269</f>
        <v/>
      </c>
      <c r="O269" s="24">
        <f>IFERROR(BDH(Database!$A269&amp;" HK Equity","PE_RATIO",Database!$H269,Database!$H269),"")</f>
        <v/>
      </c>
      <c r="P269" s="180">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82">
        <f>IF($B270="","",IFERROR(BDP($B270&amp;" Action","CP036"),""))</f>
        <v/>
      </c>
      <c r="D270" s="183">
        <f>Database!S270</f>
        <v/>
      </c>
      <c r="E270" s="182">
        <f>IF($B270="","",IFERROR(BDP($B270&amp;" Action","CP037"),""))</f>
        <v/>
      </c>
      <c r="F270" s="183">
        <f>Database!T270</f>
        <v/>
      </c>
      <c r="G270" s="182">
        <f>IF($B270="","",IFERROR(BDP($B270&amp;" Action","GREENSHOE_FACILITY"),""))</f>
        <v/>
      </c>
      <c r="H270" s="182">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76">
        <f>Database!Q270</f>
        <v/>
      </c>
      <c r="O270" s="24">
        <f>IFERROR(BDH(Database!$A270&amp;" HK Equity","PE_RATIO",Database!$H270,Database!$H270),"")</f>
        <v/>
      </c>
      <c r="P270" s="180">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82">
        <f>IF($B271="","",IFERROR(BDP($B271&amp;" Action","CP036"),""))</f>
        <v/>
      </c>
      <c r="D271" s="183">
        <f>Database!S271</f>
        <v/>
      </c>
      <c r="E271" s="182">
        <f>IF($B271="","",IFERROR(BDP($B271&amp;" Action","CP037"),""))</f>
        <v/>
      </c>
      <c r="F271" s="183">
        <f>Database!T271</f>
        <v/>
      </c>
      <c r="G271" s="182">
        <f>IF($B271="","",IFERROR(BDP($B271&amp;" Action","GREENSHOE_FACILITY"),""))</f>
        <v/>
      </c>
      <c r="H271" s="182">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76">
        <f>Database!Q271</f>
        <v/>
      </c>
      <c r="O271" s="24">
        <f>IFERROR(BDH(Database!$A271&amp;" HK Equity","PE_RATIO",Database!$H271,Database!$H271),"")</f>
        <v/>
      </c>
      <c r="P271" s="180">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82">
        <f>IF($B272="","",IFERROR(BDP($B272&amp;" Action","CP036"),""))</f>
        <v/>
      </c>
      <c r="D272" s="183">
        <f>Database!S272</f>
        <v/>
      </c>
      <c r="E272" s="182">
        <f>IF($B272="","",IFERROR(BDP($B272&amp;" Action","CP037"),""))</f>
        <v/>
      </c>
      <c r="F272" s="183">
        <f>Database!T272</f>
        <v/>
      </c>
      <c r="G272" s="182">
        <f>IF($B272="","",IFERROR(BDP($B272&amp;" Action","GREENSHOE_FACILITY"),""))</f>
        <v/>
      </c>
      <c r="H272" s="182">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76">
        <f>Database!Q272</f>
        <v/>
      </c>
      <c r="O272" s="24">
        <f>IFERROR(BDH(Database!$A272&amp;" HK Equity","PE_RATIO",Database!$H272,Database!$H272),"")</f>
        <v/>
      </c>
      <c r="P272" s="180">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82">
        <f>IF($B273="","",IFERROR(BDP($B273&amp;" Action","CP036"),""))</f>
        <v/>
      </c>
      <c r="D273" s="183">
        <f>Database!S273</f>
        <v/>
      </c>
      <c r="E273" s="182">
        <f>IF($B273="","",IFERROR(BDP($B273&amp;" Action","CP037"),""))</f>
        <v/>
      </c>
      <c r="F273" s="183">
        <f>Database!T273</f>
        <v/>
      </c>
      <c r="G273" s="182">
        <f>IF($B273="","",IFERROR(BDP($B273&amp;" Action","GREENSHOE_FACILITY"),""))</f>
        <v/>
      </c>
      <c r="H273" s="182">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76">
        <f>Database!Q273</f>
        <v/>
      </c>
      <c r="O273" s="24">
        <f>IFERROR(BDH(Database!$A273&amp;" HK Equity","PE_RATIO",Database!$H273,Database!$H273),"")</f>
        <v/>
      </c>
      <c r="P273" s="180">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82">
        <f>IF($B274="","",IFERROR(BDP($B274&amp;" Action","CP036"),""))</f>
        <v/>
      </c>
      <c r="D274" s="183">
        <f>Database!S274</f>
        <v/>
      </c>
      <c r="E274" s="182">
        <f>IF($B274="","",IFERROR(BDP($B274&amp;" Action","CP037"),""))</f>
        <v/>
      </c>
      <c r="F274" s="183">
        <f>Database!T274</f>
        <v/>
      </c>
      <c r="G274" s="182">
        <f>IF($B274="","",IFERROR(BDP($B274&amp;" Action","GREENSHOE_FACILITY"),""))</f>
        <v/>
      </c>
      <c r="H274" s="182">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76">
        <f>Database!Q274</f>
        <v/>
      </c>
      <c r="O274" s="24">
        <f>IFERROR(BDH(Database!$A274&amp;" HK Equity","PE_RATIO",Database!$H274,Database!$H274),"")</f>
        <v/>
      </c>
      <c r="P274" s="180">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82">
        <f>IF($B275="","",IFERROR(BDP($B275&amp;" Action","CP036"),""))</f>
        <v/>
      </c>
      <c r="D275" s="183">
        <f>Database!S275</f>
        <v/>
      </c>
      <c r="E275" s="182">
        <f>IF($B275="","",IFERROR(BDP($B275&amp;" Action","CP037"),""))</f>
        <v/>
      </c>
      <c r="F275" s="183">
        <f>Database!T275</f>
        <v/>
      </c>
      <c r="G275" s="182">
        <f>IF($B275="","",IFERROR(BDP($B275&amp;" Action","GREENSHOE_FACILITY"),""))</f>
        <v/>
      </c>
      <c r="H275" s="182">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76">
        <f>Database!Q275</f>
        <v/>
      </c>
      <c r="O275" s="24">
        <f>IFERROR(BDH(Database!$A275&amp;" HK Equity","PE_RATIO",Database!$H275,Database!$H275),"")</f>
        <v/>
      </c>
      <c r="P275" s="180">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82">
        <f>IF($B276="","",IFERROR(BDP($B276&amp;" Action","CP036"),""))</f>
        <v/>
      </c>
      <c r="D276" s="183">
        <f>Database!S276</f>
        <v/>
      </c>
      <c r="E276" s="182">
        <f>IF($B276="","",IFERROR(BDP($B276&amp;" Action","CP037"),""))</f>
        <v/>
      </c>
      <c r="F276" s="183">
        <f>Database!T276</f>
        <v/>
      </c>
      <c r="G276" s="182">
        <f>IF($B276="","",IFERROR(BDP($B276&amp;" Action","GREENSHOE_FACILITY"),""))</f>
        <v/>
      </c>
      <c r="H276" s="182">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76">
        <f>Database!Q276</f>
        <v/>
      </c>
      <c r="O276" s="24">
        <f>IFERROR(BDH(Database!$A276&amp;" HK Equity","PE_RATIO",Database!$H276,Database!$H276),"")</f>
        <v/>
      </c>
      <c r="P276" s="180">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82">
        <f>IF($B277="","",IFERROR(BDP($B277&amp;" Action","CP036"),""))</f>
        <v/>
      </c>
      <c r="D277" s="183">
        <f>Database!S277</f>
        <v/>
      </c>
      <c r="E277" s="182">
        <f>IF($B277="","",IFERROR(BDP($B277&amp;" Action","CP037"),""))</f>
        <v/>
      </c>
      <c r="F277" s="183">
        <f>Database!T277</f>
        <v/>
      </c>
      <c r="G277" s="182">
        <f>IF($B277="","",IFERROR(BDP($B277&amp;" Action","GREENSHOE_FACILITY"),""))</f>
        <v/>
      </c>
      <c r="H277" s="182">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76">
        <f>Database!Q277</f>
        <v/>
      </c>
      <c r="O277" s="24">
        <f>IFERROR(BDH(Database!$A277&amp;" HK Equity","PE_RATIO",Database!$H277,Database!$H277),"")</f>
        <v/>
      </c>
      <c r="P277" s="180">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82">
        <f>IF($B278="","",IFERROR(BDP($B278&amp;" Action","CP036"),""))</f>
        <v/>
      </c>
      <c r="D278" s="183">
        <f>Database!S278</f>
        <v/>
      </c>
      <c r="E278" s="182">
        <f>IF($B278="","",IFERROR(BDP($B278&amp;" Action","CP037"),""))</f>
        <v/>
      </c>
      <c r="F278" s="183">
        <f>Database!T278</f>
        <v/>
      </c>
      <c r="G278" s="182">
        <f>IF($B278="","",IFERROR(BDP($B278&amp;" Action","GREENSHOE_FACILITY"),""))</f>
        <v/>
      </c>
      <c r="H278" s="182">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76">
        <f>Database!Q278</f>
        <v/>
      </c>
      <c r="O278" s="24">
        <f>IFERROR(BDH(Database!$A278&amp;" HK Equity","PE_RATIO",Database!$H278,Database!$H278),"")</f>
        <v/>
      </c>
      <c r="P278" s="180">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82">
        <f>IF($B279="","",IFERROR(BDP($B279&amp;" Action","CP036"),""))</f>
        <v/>
      </c>
      <c r="D279" s="183">
        <f>Database!S279</f>
        <v/>
      </c>
      <c r="E279" s="182">
        <f>IF($B279="","",IFERROR(BDP($B279&amp;" Action","CP037"),""))</f>
        <v/>
      </c>
      <c r="F279" s="183">
        <f>Database!T279</f>
        <v/>
      </c>
      <c r="G279" s="182">
        <f>IF($B279="","",IFERROR(BDP($B279&amp;" Action","GREENSHOE_FACILITY"),""))</f>
        <v/>
      </c>
      <c r="H279" s="182">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76">
        <f>Database!Q279</f>
        <v/>
      </c>
      <c r="O279" s="24">
        <f>IFERROR(BDH(Database!$A279&amp;" HK Equity","PE_RATIO",Database!$H279,Database!$H279),"")</f>
        <v/>
      </c>
      <c r="P279" s="180">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82">
        <f>IF($B280="","",IFERROR(BDP($B280&amp;" Action","CP036"),""))</f>
        <v/>
      </c>
      <c r="D280" s="183">
        <f>Database!S280</f>
        <v/>
      </c>
      <c r="E280" s="182">
        <f>IF($B280="","",IFERROR(BDP($B280&amp;" Action","CP037"),""))</f>
        <v/>
      </c>
      <c r="F280" s="183">
        <f>Database!T280</f>
        <v/>
      </c>
      <c r="G280" s="182">
        <f>IF($B280="","",IFERROR(BDP($B280&amp;" Action","GREENSHOE_FACILITY"),""))</f>
        <v/>
      </c>
      <c r="H280" s="182">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76">
        <f>Database!Q280</f>
        <v/>
      </c>
      <c r="O280" s="24">
        <f>IFERROR(BDH(Database!$A280&amp;" HK Equity","PE_RATIO",Database!$H280,Database!$H280),"")</f>
        <v/>
      </c>
      <c r="P280" s="180">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82">
        <f>IF($B281="","",IFERROR(BDP($B281&amp;" Action","CP036"),""))</f>
        <v/>
      </c>
      <c r="D281" s="183">
        <f>Database!S281</f>
        <v/>
      </c>
      <c r="E281" s="182">
        <f>IF($B281="","",IFERROR(BDP($B281&amp;" Action","CP037"),""))</f>
        <v/>
      </c>
      <c r="F281" s="183">
        <f>Database!T281</f>
        <v/>
      </c>
      <c r="G281" s="182">
        <f>IF($B281="","",IFERROR(BDP($B281&amp;" Action","GREENSHOE_FACILITY"),""))</f>
        <v/>
      </c>
      <c r="H281" s="182">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76">
        <f>Database!Q281</f>
        <v/>
      </c>
      <c r="O281" s="24">
        <f>IFERROR(BDH(Database!$A281&amp;" HK Equity","PE_RATIO",Database!$H281,Database!$H281),"")</f>
        <v/>
      </c>
      <c r="P281" s="180">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82">
        <f>IF($B282="","",IFERROR(BDP($B282&amp;" Action","CP036"),""))</f>
        <v/>
      </c>
      <c r="D282" s="183">
        <f>Database!S282</f>
        <v/>
      </c>
      <c r="E282" s="182">
        <f>IF($B282="","",IFERROR(BDP($B282&amp;" Action","CP037"),""))</f>
        <v/>
      </c>
      <c r="F282" s="183">
        <f>Database!T282</f>
        <v/>
      </c>
      <c r="G282" s="182">
        <f>IF($B282="","",IFERROR(BDP($B282&amp;" Action","GREENSHOE_FACILITY"),""))</f>
        <v/>
      </c>
      <c r="H282" s="182">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76">
        <f>Database!Q282</f>
        <v/>
      </c>
      <c r="O282" s="24">
        <f>IFERROR(BDH(Database!$A282&amp;" HK Equity","PE_RATIO",Database!$H282,Database!$H282),"")</f>
        <v/>
      </c>
      <c r="P282" s="180">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82">
        <f>IF($B283="","",IFERROR(BDP($B283&amp;" Action","CP036"),""))</f>
        <v/>
      </c>
      <c r="D283" s="183">
        <f>Database!S283</f>
        <v/>
      </c>
      <c r="E283" s="182">
        <f>IF($B283="","",IFERROR(BDP($B283&amp;" Action","CP037"),""))</f>
        <v/>
      </c>
      <c r="F283" s="183">
        <f>Database!T283</f>
        <v/>
      </c>
      <c r="G283" s="182">
        <f>IF($B283="","",IFERROR(BDP($B283&amp;" Action","GREENSHOE_FACILITY"),""))</f>
        <v/>
      </c>
      <c r="H283" s="182">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76">
        <f>Database!Q283</f>
        <v/>
      </c>
      <c r="O283" s="24">
        <f>IFERROR(BDH(Database!$A283&amp;" HK Equity","PE_RATIO",Database!$H283,Database!$H283),"")</f>
        <v/>
      </c>
      <c r="P283" s="180">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82">
        <f>IF($B284="","",IFERROR(BDP($B284&amp;" Action","CP036"),""))</f>
        <v/>
      </c>
      <c r="D284" s="183">
        <f>Database!S284</f>
        <v/>
      </c>
      <c r="E284" s="182">
        <f>IF($B284="","",IFERROR(BDP($B284&amp;" Action","CP037"),""))</f>
        <v/>
      </c>
      <c r="F284" s="183">
        <f>Database!T284</f>
        <v/>
      </c>
      <c r="G284" s="182">
        <f>IF($B284="","",IFERROR(BDP($B284&amp;" Action","GREENSHOE_FACILITY"),""))</f>
        <v/>
      </c>
      <c r="H284" s="182">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76">
        <f>Database!Q284</f>
        <v/>
      </c>
      <c r="O284" s="24">
        <f>IFERROR(BDH(Database!$A284&amp;" HK Equity","PE_RATIO",Database!$H284,Database!$H284),"")</f>
        <v/>
      </c>
      <c r="P284" s="180">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82">
        <f>IF($B285="","",IFERROR(BDP($B285&amp;" Action","CP036"),""))</f>
        <v/>
      </c>
      <c r="D285" s="183">
        <f>Database!S285</f>
        <v/>
      </c>
      <c r="E285" s="182">
        <f>IF($B285="","",IFERROR(BDP($B285&amp;" Action","CP037"),""))</f>
        <v/>
      </c>
      <c r="F285" s="183">
        <f>Database!T285</f>
        <v/>
      </c>
      <c r="G285" s="182">
        <f>IF($B285="","",IFERROR(BDP($B285&amp;" Action","GREENSHOE_FACILITY"),""))</f>
        <v/>
      </c>
      <c r="H285" s="182">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76">
        <f>Database!Q285</f>
        <v/>
      </c>
      <c r="O285" s="24">
        <f>IFERROR(BDH(Database!$A285&amp;" HK Equity","PE_RATIO",Database!$H285,Database!$H285),"")</f>
        <v/>
      </c>
      <c r="P285" s="180">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82">
        <f>IF($B286="","",IFERROR(BDP($B286&amp;" Action","CP036"),""))</f>
        <v/>
      </c>
      <c r="D286" s="183">
        <f>Database!S286</f>
        <v/>
      </c>
      <c r="E286" s="182">
        <f>IF($B286="","",IFERROR(BDP($B286&amp;" Action","CP037"),""))</f>
        <v/>
      </c>
      <c r="F286" s="183">
        <f>Database!T286</f>
        <v/>
      </c>
      <c r="G286" s="182">
        <f>IF($B286="","",IFERROR(BDP($B286&amp;" Action","GREENSHOE_FACILITY"),""))</f>
        <v/>
      </c>
      <c r="H286" s="182">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76">
        <f>Database!Q286</f>
        <v/>
      </c>
      <c r="O286" s="24">
        <f>IFERROR(BDH(Database!$A286&amp;" HK Equity","PE_RATIO",Database!$H286,Database!$H286),"")</f>
        <v/>
      </c>
      <c r="P286" s="180">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82">
        <f>IF($B287="","",IFERROR(BDP($B287&amp;" Action","CP036"),""))</f>
        <v/>
      </c>
      <c r="D287" s="183">
        <f>Database!S287</f>
        <v/>
      </c>
      <c r="E287" s="182">
        <f>IF($B287="","",IFERROR(BDP($B287&amp;" Action","CP037"),""))</f>
        <v/>
      </c>
      <c r="F287" s="183">
        <f>Database!T287</f>
        <v/>
      </c>
      <c r="G287" s="182">
        <f>IF($B287="","",IFERROR(BDP($B287&amp;" Action","GREENSHOE_FACILITY"),""))</f>
        <v/>
      </c>
      <c r="H287" s="182">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76">
        <f>Database!Q287</f>
        <v/>
      </c>
      <c r="O287" s="24">
        <f>IFERROR(BDH(Database!$A287&amp;" HK Equity","PE_RATIO",Database!$H287,Database!$H287),"")</f>
        <v/>
      </c>
      <c r="P287" s="180">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82">
        <f>IF($B288="","",IFERROR(BDP($B288&amp;" Action","CP036"),""))</f>
        <v/>
      </c>
      <c r="D288" s="183">
        <f>Database!S288</f>
        <v/>
      </c>
      <c r="E288" s="182">
        <f>IF($B288="","",IFERROR(BDP($B288&amp;" Action","CP037"),""))</f>
        <v/>
      </c>
      <c r="F288" s="183">
        <f>Database!T288</f>
        <v/>
      </c>
      <c r="G288" s="182">
        <f>IF($B288="","",IFERROR(BDP($B288&amp;" Action","GREENSHOE_FACILITY"),""))</f>
        <v/>
      </c>
      <c r="H288" s="182">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76">
        <f>Database!Q288</f>
        <v/>
      </c>
      <c r="O288" s="24">
        <f>IFERROR(BDH(Database!$A288&amp;" HK Equity","PE_RATIO",Database!$H288,Database!$H288),"")</f>
        <v/>
      </c>
      <c r="P288" s="180">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82">
        <f>IF($B289="","",IFERROR(BDP($B289&amp;" Action","CP036"),""))</f>
        <v/>
      </c>
      <c r="D289" s="183">
        <f>Database!S289</f>
        <v/>
      </c>
      <c r="E289" s="182">
        <f>IF($B289="","",IFERROR(BDP($B289&amp;" Action","CP037"),""))</f>
        <v/>
      </c>
      <c r="F289" s="183">
        <f>Database!T289</f>
        <v/>
      </c>
      <c r="G289" s="182">
        <f>IF($B289="","",IFERROR(BDP($B289&amp;" Action","GREENSHOE_FACILITY"),""))</f>
        <v/>
      </c>
      <c r="H289" s="182">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76">
        <f>Database!Q289</f>
        <v/>
      </c>
      <c r="O289" s="24">
        <f>IFERROR(BDH(Database!$A289&amp;" HK Equity","PE_RATIO",Database!$H289,Database!$H289),"")</f>
        <v/>
      </c>
      <c r="P289" s="180">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82">
        <f>IF($B290="","",IFERROR(BDP($B290&amp;" Action","CP036"),""))</f>
        <v/>
      </c>
      <c r="D290" s="183">
        <f>Database!S290</f>
        <v/>
      </c>
      <c r="E290" s="182">
        <f>IF($B290="","",IFERROR(BDP($B290&amp;" Action","CP037"),""))</f>
        <v/>
      </c>
      <c r="F290" s="183">
        <f>Database!T290</f>
        <v/>
      </c>
      <c r="G290" s="182">
        <f>IF($B290="","",IFERROR(BDP($B290&amp;" Action","GREENSHOE_FACILITY"),""))</f>
        <v/>
      </c>
      <c r="H290" s="182">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76">
        <f>Database!Q290</f>
        <v/>
      </c>
      <c r="O290" s="24">
        <f>IFERROR(BDH(Database!$A290&amp;" HK Equity","PE_RATIO",Database!$H290,Database!$H290),"")</f>
        <v/>
      </c>
      <c r="P290" s="180">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82">
        <f>IF($B291="","",IFERROR(BDP($B291&amp;" Action","CP036"),""))</f>
        <v/>
      </c>
      <c r="D291" s="183">
        <f>Database!S291</f>
        <v/>
      </c>
      <c r="E291" s="182">
        <f>IF($B291="","",IFERROR(BDP($B291&amp;" Action","CP037"),""))</f>
        <v/>
      </c>
      <c r="F291" s="183">
        <f>Database!T291</f>
        <v/>
      </c>
      <c r="G291" s="182">
        <f>IF($B291="","",IFERROR(BDP($B291&amp;" Action","GREENSHOE_FACILITY"),""))</f>
        <v/>
      </c>
      <c r="H291" s="182">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76">
        <f>Database!Q291</f>
        <v/>
      </c>
      <c r="O291" s="24">
        <f>IFERROR(BDH(Database!$A291&amp;" HK Equity","PE_RATIO",Database!$H291,Database!$H291),"")</f>
        <v/>
      </c>
      <c r="P291" s="180">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82">
        <f>IF($B292="","",IFERROR(BDP($B292&amp;" Action","CP036"),""))</f>
        <v/>
      </c>
      <c r="D292" s="183">
        <f>Database!S292</f>
        <v/>
      </c>
      <c r="E292" s="182">
        <f>IF($B292="","",IFERROR(BDP($B292&amp;" Action","CP037"),""))</f>
        <v/>
      </c>
      <c r="F292" s="183">
        <f>Database!T292</f>
        <v/>
      </c>
      <c r="G292" s="182">
        <f>IF($B292="","",IFERROR(BDP($B292&amp;" Action","GREENSHOE_FACILITY"),""))</f>
        <v/>
      </c>
      <c r="H292" s="182">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76">
        <f>Database!Q292</f>
        <v/>
      </c>
      <c r="O292" s="24">
        <f>IFERROR(BDH(Database!$A292&amp;" HK Equity","PE_RATIO",Database!$H292,Database!$H292),"")</f>
        <v/>
      </c>
      <c r="P292" s="180">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82">
        <f>IF($B293="","",IFERROR(BDP($B293&amp;" Action","CP036"),""))</f>
        <v/>
      </c>
      <c r="D293" s="183">
        <f>Database!S293</f>
        <v/>
      </c>
      <c r="E293" s="182">
        <f>IF($B293="","",IFERROR(BDP($B293&amp;" Action","CP037"),""))</f>
        <v/>
      </c>
      <c r="F293" s="183">
        <f>Database!T293</f>
        <v/>
      </c>
      <c r="G293" s="182">
        <f>IF($B293="","",IFERROR(BDP($B293&amp;" Action","GREENSHOE_FACILITY"),""))</f>
        <v/>
      </c>
      <c r="H293" s="182">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76">
        <f>Database!Q293</f>
        <v/>
      </c>
      <c r="O293" s="24">
        <f>IFERROR(BDH(Database!$A293&amp;" HK Equity","PE_RATIO",Database!$H293,Database!$H293),"")</f>
        <v/>
      </c>
      <c r="P293" s="180">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82">
        <f>IF($B294="","",IFERROR(BDP($B294&amp;" Action","CP036"),""))</f>
        <v/>
      </c>
      <c r="D294" s="183">
        <f>Database!S294</f>
        <v/>
      </c>
      <c r="E294" s="182">
        <f>IF($B294="","",IFERROR(BDP($B294&amp;" Action","CP037"),""))</f>
        <v/>
      </c>
      <c r="F294" s="183">
        <f>Database!T294</f>
        <v/>
      </c>
      <c r="G294" s="182">
        <f>IF($B294="","",IFERROR(BDP($B294&amp;" Action","GREENSHOE_FACILITY"),""))</f>
        <v/>
      </c>
      <c r="H294" s="182">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76">
        <f>Database!Q294</f>
        <v/>
      </c>
      <c r="O294" s="24">
        <f>IFERROR(BDH(Database!$A294&amp;" HK Equity","PE_RATIO",Database!$H294,Database!$H294),"")</f>
        <v/>
      </c>
      <c r="P294" s="180">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82">
        <f>IF($B295="","",IFERROR(BDP($B295&amp;" Action","CP036"),""))</f>
        <v/>
      </c>
      <c r="D295" s="183">
        <f>Database!S295</f>
        <v/>
      </c>
      <c r="E295" s="182">
        <f>IF($B295="","",IFERROR(BDP($B295&amp;" Action","CP037"),""))</f>
        <v/>
      </c>
      <c r="F295" s="183">
        <f>Database!T295</f>
        <v/>
      </c>
      <c r="G295" s="182">
        <f>IF($B295="","",IFERROR(BDP($B295&amp;" Action","GREENSHOE_FACILITY"),""))</f>
        <v/>
      </c>
      <c r="H295" s="182">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76">
        <f>Database!Q295</f>
        <v/>
      </c>
      <c r="O295" s="24">
        <f>IFERROR(BDH(Database!$A295&amp;" HK Equity","PE_RATIO",Database!$H295,Database!$H295),"")</f>
        <v/>
      </c>
      <c r="P295" s="180">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82">
        <f>IF($B296="","",IFERROR(BDP($B296&amp;" Action","CP036"),""))</f>
        <v/>
      </c>
      <c r="D296" s="183">
        <f>Database!S296</f>
        <v/>
      </c>
      <c r="E296" s="182">
        <f>IF($B296="","",IFERROR(BDP($B296&amp;" Action","CP037"),""))</f>
        <v/>
      </c>
      <c r="F296" s="183">
        <f>Database!T296</f>
        <v/>
      </c>
      <c r="G296" s="182">
        <f>IF($B296="","",IFERROR(BDP($B296&amp;" Action","GREENSHOE_FACILITY"),""))</f>
        <v/>
      </c>
      <c r="H296" s="182">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76">
        <f>Database!Q296</f>
        <v/>
      </c>
      <c r="O296" s="24">
        <f>IFERROR(BDH(Database!$A296&amp;" HK Equity","PE_RATIO",Database!$H296,Database!$H296),"")</f>
        <v/>
      </c>
      <c r="P296" s="180">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82">
        <f>IF($B297="","",IFERROR(BDP($B297&amp;" Action","CP036"),""))</f>
        <v/>
      </c>
      <c r="D297" s="183">
        <f>Database!S297</f>
        <v/>
      </c>
      <c r="E297" s="182">
        <f>IF($B297="","",IFERROR(BDP($B297&amp;" Action","CP037"),""))</f>
        <v/>
      </c>
      <c r="F297" s="183">
        <f>Database!T297</f>
        <v/>
      </c>
      <c r="G297" s="182">
        <f>IF($B297="","",IFERROR(BDP($B297&amp;" Action","GREENSHOE_FACILITY"),""))</f>
        <v/>
      </c>
      <c r="H297" s="182">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76">
        <f>Database!Q297</f>
        <v/>
      </c>
      <c r="O297" s="24">
        <f>IFERROR(BDH(Database!$A297&amp;" HK Equity","PE_RATIO",Database!$H297,Database!$H297),"")</f>
        <v/>
      </c>
      <c r="P297" s="180">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82">
        <f>IF($B298="","",IFERROR(BDP($B298&amp;" Action","CP036"),""))</f>
        <v/>
      </c>
      <c r="D298" s="183">
        <f>Database!S298</f>
        <v/>
      </c>
      <c r="E298" s="182">
        <f>IF($B298="","",IFERROR(BDP($B298&amp;" Action","CP037"),""))</f>
        <v/>
      </c>
      <c r="F298" s="183">
        <f>Database!T298</f>
        <v/>
      </c>
      <c r="G298" s="182">
        <f>IF($B298="","",IFERROR(BDP($B298&amp;" Action","GREENSHOE_FACILITY"),""))</f>
        <v/>
      </c>
      <c r="H298" s="182">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76">
        <f>Database!Q298</f>
        <v/>
      </c>
      <c r="O298" s="24">
        <f>IFERROR(BDH(Database!$A298&amp;" HK Equity","PE_RATIO",Database!$H298,Database!$H298),"")</f>
        <v/>
      </c>
      <c r="P298" s="180">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82">
        <f>IF($B299="","",IFERROR(BDP($B299&amp;" Action","CP036"),""))</f>
        <v/>
      </c>
      <c r="D299" s="183">
        <f>Database!S299</f>
        <v/>
      </c>
      <c r="E299" s="182">
        <f>IF($B299="","",IFERROR(BDP($B299&amp;" Action","CP037"),""))</f>
        <v/>
      </c>
      <c r="F299" s="183">
        <f>Database!T299</f>
        <v/>
      </c>
      <c r="G299" s="182">
        <f>IF($B299="","",IFERROR(BDP($B299&amp;" Action","GREENSHOE_FACILITY"),""))</f>
        <v/>
      </c>
      <c r="H299" s="182">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76">
        <f>Database!Q299</f>
        <v/>
      </c>
      <c r="O299" s="24">
        <f>IFERROR(BDH(Database!$A299&amp;" HK Equity","PE_RATIO",Database!$H299,Database!$H299),"")</f>
        <v/>
      </c>
      <c r="P299" s="180">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82">
        <f>IF($B300="","",IFERROR(BDP($B300&amp;" Action","CP036"),""))</f>
        <v/>
      </c>
      <c r="D300" s="183">
        <f>Database!S300</f>
        <v/>
      </c>
      <c r="E300" s="182">
        <f>IF($B300="","",IFERROR(BDP($B300&amp;" Action","CP037"),""))</f>
        <v/>
      </c>
      <c r="F300" s="183">
        <f>Database!T300</f>
        <v/>
      </c>
      <c r="G300" s="182">
        <f>IF($B300="","",IFERROR(BDP($B300&amp;" Action","GREENSHOE_FACILITY"),""))</f>
        <v/>
      </c>
      <c r="H300" s="182">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76">
        <f>Database!Q300</f>
        <v/>
      </c>
      <c r="O300" s="24">
        <f>IFERROR(BDH(Database!$A300&amp;" HK Equity","PE_RATIO",Database!$H300,Database!$H300),"")</f>
        <v/>
      </c>
      <c r="P300" s="180">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82">
        <f>IF($B301="","",IFERROR(BDP($B301&amp;" Action","CP036"),""))</f>
        <v/>
      </c>
      <c r="D301" s="183">
        <f>Database!S301</f>
        <v/>
      </c>
      <c r="E301" s="182">
        <f>IF($B301="","",IFERROR(BDP($B301&amp;" Action","CP037"),""))</f>
        <v/>
      </c>
      <c r="F301" s="183">
        <f>Database!T301</f>
        <v/>
      </c>
      <c r="G301" s="182">
        <f>IF($B301="","",IFERROR(BDP($B301&amp;" Action","GREENSHOE_FACILITY"),""))</f>
        <v/>
      </c>
      <c r="H301" s="182">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76">
        <f>Database!Q301</f>
        <v/>
      </c>
      <c r="O301" s="24">
        <f>IFERROR(BDH(Database!$A301&amp;" HK Equity","PE_RATIO",Database!$H301,Database!$H301),"")</f>
        <v/>
      </c>
      <c r="P301" s="180">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82">
        <f>IF($B302="","",IFERROR(BDP($B302&amp;" Action","CP036"),""))</f>
        <v/>
      </c>
      <c r="D302" s="183">
        <f>Database!S302</f>
        <v/>
      </c>
      <c r="E302" s="182">
        <f>IF($B302="","",IFERROR(BDP($B302&amp;" Action","CP037"),""))</f>
        <v/>
      </c>
      <c r="F302" s="183">
        <f>Database!T302</f>
        <v/>
      </c>
      <c r="G302" s="182">
        <f>IF($B302="","",IFERROR(BDP($B302&amp;" Action","GREENSHOE_FACILITY"),""))</f>
        <v/>
      </c>
      <c r="H302" s="182">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76">
        <f>Database!Q302</f>
        <v/>
      </c>
      <c r="O302" s="24">
        <f>IFERROR(BDH(Database!$A302&amp;" HK Equity","PE_RATIO",Database!$H302,Database!$H302),"")</f>
        <v/>
      </c>
      <c r="P302" s="180">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82">
        <f>IF($B303="","",IFERROR(BDP($B303&amp;" Action","CP036"),""))</f>
        <v/>
      </c>
      <c r="D303" s="183">
        <f>Database!S303</f>
        <v/>
      </c>
      <c r="E303" s="182">
        <f>IF($B303="","",IFERROR(BDP($B303&amp;" Action","CP037"),""))</f>
        <v/>
      </c>
      <c r="F303" s="183">
        <f>Database!T303</f>
        <v/>
      </c>
      <c r="G303" s="182">
        <f>IF($B303="","",IFERROR(BDP($B303&amp;" Action","GREENSHOE_FACILITY"),""))</f>
        <v/>
      </c>
      <c r="H303" s="182">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76">
        <f>Database!Q303</f>
        <v/>
      </c>
      <c r="O303" s="24">
        <f>IFERROR(BDH(Database!$A303&amp;" HK Equity","PE_RATIO",Database!$H303,Database!$H303),"")</f>
        <v/>
      </c>
      <c r="P303" s="180">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82">
        <f>IF($B304="","",IFERROR(BDP($B304&amp;" Action","CP036"),""))</f>
        <v/>
      </c>
      <c r="D304" s="183">
        <f>Database!S304</f>
        <v/>
      </c>
      <c r="E304" s="182">
        <f>IF($B304="","",IFERROR(BDP($B304&amp;" Action","CP037"),""))</f>
        <v/>
      </c>
      <c r="F304" s="183">
        <f>Database!T304</f>
        <v/>
      </c>
      <c r="G304" s="182">
        <f>IF($B304="","",IFERROR(BDP($B304&amp;" Action","GREENSHOE_FACILITY"),""))</f>
        <v/>
      </c>
      <c r="H304" s="182">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76">
        <f>Database!Q304</f>
        <v/>
      </c>
      <c r="O304" s="24">
        <f>IFERROR(BDH(Database!$A304&amp;" HK Equity","PE_RATIO",Database!$H304,Database!$H304),"")</f>
        <v/>
      </c>
      <c r="P304" s="180">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82">
        <f>IF($B305="","",IFERROR(BDP($B305&amp;" Action","CP036"),""))</f>
        <v/>
      </c>
      <c r="D305" s="183">
        <f>Database!S305</f>
        <v/>
      </c>
      <c r="E305" s="182">
        <f>IF($B305="","",IFERROR(BDP($B305&amp;" Action","CP037"),""))</f>
        <v/>
      </c>
      <c r="F305" s="183">
        <f>Database!T305</f>
        <v/>
      </c>
      <c r="G305" s="182">
        <f>IF($B305="","",IFERROR(BDP($B305&amp;" Action","GREENSHOE_FACILITY"),""))</f>
        <v/>
      </c>
      <c r="H305" s="182">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76">
        <f>Database!Q305</f>
        <v/>
      </c>
      <c r="O305" s="24">
        <f>IFERROR(BDH(Database!$A305&amp;" HK Equity","PE_RATIO",Database!$H305,Database!$H305),"")</f>
        <v/>
      </c>
      <c r="P305" s="180">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82">
        <f>IF($B306="","",IFERROR(BDP($B306&amp;" Action","CP036"),""))</f>
        <v/>
      </c>
      <c r="D306" s="183">
        <f>Database!S306</f>
        <v/>
      </c>
      <c r="E306" s="182">
        <f>IF($B306="","",IFERROR(BDP($B306&amp;" Action","CP037"),""))</f>
        <v/>
      </c>
      <c r="F306" s="183">
        <f>Database!T306</f>
        <v/>
      </c>
      <c r="G306" s="182">
        <f>IF($B306="","",IFERROR(BDP($B306&amp;" Action","GREENSHOE_FACILITY"),""))</f>
        <v/>
      </c>
      <c r="H306" s="182">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76">
        <f>Database!Q306</f>
        <v/>
      </c>
      <c r="O306" s="24">
        <f>IFERROR(BDH(Database!$A306&amp;" HK Equity","PE_RATIO",Database!$H306,Database!$H306),"")</f>
        <v/>
      </c>
      <c r="P306" s="180">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82">
        <f>IF($B307="","",IFERROR(BDP($B307&amp;" Action","CP036"),""))</f>
        <v/>
      </c>
      <c r="D307" s="183">
        <f>Database!S307</f>
        <v/>
      </c>
      <c r="E307" s="182">
        <f>IF($B307="","",IFERROR(BDP($B307&amp;" Action","CP037"),""))</f>
        <v/>
      </c>
      <c r="F307" s="183">
        <f>Database!T307</f>
        <v/>
      </c>
      <c r="G307" s="182">
        <f>IF($B307="","",IFERROR(BDP($B307&amp;" Action","GREENSHOE_FACILITY"),""))</f>
        <v/>
      </c>
      <c r="H307" s="182">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76">
        <f>Database!Q307</f>
        <v/>
      </c>
      <c r="O307" s="24">
        <f>IFERROR(BDH(Database!$A307&amp;" HK Equity","PE_RATIO",Database!$H307,Database!$H307),"")</f>
        <v/>
      </c>
      <c r="P307" s="180">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82">
        <f>IF($B308="","",IFERROR(BDP($B308&amp;" Action","CP036"),""))</f>
        <v/>
      </c>
      <c r="D308" s="183">
        <f>Database!S308</f>
        <v/>
      </c>
      <c r="E308" s="182">
        <f>IF($B308="","",IFERROR(BDP($B308&amp;" Action","CP037"),""))</f>
        <v/>
      </c>
      <c r="F308" s="183">
        <f>Database!T308</f>
        <v/>
      </c>
      <c r="G308" s="182">
        <f>IF($B308="","",IFERROR(BDP($B308&amp;" Action","GREENSHOE_FACILITY"),""))</f>
        <v/>
      </c>
      <c r="H308" s="182">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76">
        <f>Database!Q308</f>
        <v/>
      </c>
      <c r="O308" s="24">
        <f>IFERROR(BDH(Database!$A308&amp;" HK Equity","PE_RATIO",Database!$H308,Database!$H308),"")</f>
        <v/>
      </c>
      <c r="P308" s="180">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82">
        <f>IF($B309="","",IFERROR(BDP($B309&amp;" Action","CP036"),""))</f>
        <v/>
      </c>
      <c r="D309" s="183">
        <f>Database!S309</f>
        <v/>
      </c>
      <c r="E309" s="182">
        <f>IF($B309="","",IFERROR(BDP($B309&amp;" Action","CP037"),""))</f>
        <v/>
      </c>
      <c r="F309" s="183">
        <f>Database!T309</f>
        <v/>
      </c>
      <c r="G309" s="182">
        <f>IF($B309="","",IFERROR(BDP($B309&amp;" Action","GREENSHOE_FACILITY"),""))</f>
        <v/>
      </c>
      <c r="H309" s="182">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76">
        <f>Database!Q309</f>
        <v/>
      </c>
      <c r="O309" s="24">
        <f>IFERROR(BDH(Database!$A309&amp;" HK Equity","PE_RATIO",Database!$H309,Database!$H309),"")</f>
        <v/>
      </c>
      <c r="P309" s="180">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82">
        <f>IF($B310="","",IFERROR(BDP($B310&amp;" Action","CP036"),""))</f>
        <v/>
      </c>
      <c r="D310" s="183">
        <f>Database!S310</f>
        <v/>
      </c>
      <c r="E310" s="182">
        <f>IF($B310="","",IFERROR(BDP($B310&amp;" Action","CP037"),""))</f>
        <v/>
      </c>
      <c r="F310" s="183">
        <f>Database!T310</f>
        <v/>
      </c>
      <c r="G310" s="182">
        <f>IF($B310="","",IFERROR(BDP($B310&amp;" Action","GREENSHOE_FACILITY"),""))</f>
        <v/>
      </c>
      <c r="H310" s="182">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76">
        <f>Database!Q310</f>
        <v/>
      </c>
      <c r="O310" s="24">
        <f>IFERROR(BDH(Database!$A310&amp;" HK Equity","PE_RATIO",Database!$H310,Database!$H310),"")</f>
        <v/>
      </c>
      <c r="P310" s="180">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82">
        <f>IF($B311="","",IFERROR(BDP($B311&amp;" Action","CP036"),""))</f>
        <v/>
      </c>
      <c r="D311" s="183">
        <f>Database!S311</f>
        <v/>
      </c>
      <c r="E311" s="182">
        <f>IF($B311="","",IFERROR(BDP($B311&amp;" Action","CP037"),""))</f>
        <v/>
      </c>
      <c r="F311" s="183">
        <f>Database!T311</f>
        <v/>
      </c>
      <c r="G311" s="182">
        <f>IF($B311="","",IFERROR(BDP($B311&amp;" Action","GREENSHOE_FACILITY"),""))</f>
        <v/>
      </c>
      <c r="H311" s="182">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76">
        <f>Database!Q311</f>
        <v/>
      </c>
      <c r="O311" s="24">
        <f>IFERROR(BDH(Database!$A311&amp;" HK Equity","PE_RATIO",Database!$H311,Database!$H311),"")</f>
        <v/>
      </c>
      <c r="P311" s="180">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82">
        <f>IF($B312="","",IFERROR(BDP($B312&amp;" Action","CP036"),""))</f>
        <v/>
      </c>
      <c r="D312" s="183">
        <f>Database!S312</f>
        <v/>
      </c>
      <c r="E312" s="182">
        <f>IF($B312="","",IFERROR(BDP($B312&amp;" Action","CP037"),""))</f>
        <v/>
      </c>
      <c r="F312" s="183">
        <f>Database!T312</f>
        <v/>
      </c>
      <c r="G312" s="182">
        <f>IF($B312="","",IFERROR(BDP($B312&amp;" Action","GREENSHOE_FACILITY"),""))</f>
        <v/>
      </c>
      <c r="H312" s="182">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76">
        <f>Database!Q312</f>
        <v/>
      </c>
      <c r="O312" s="24">
        <f>IFERROR(BDH(Database!$A312&amp;" HK Equity","PE_RATIO",Database!$H312,Database!$H312),"")</f>
        <v/>
      </c>
      <c r="P312" s="180">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82">
        <f>IF($B313="","",IFERROR(BDP($B313&amp;" Action","CP036"),""))</f>
        <v/>
      </c>
      <c r="D313" s="183">
        <f>Database!S313</f>
        <v/>
      </c>
      <c r="E313" s="182">
        <f>IF($B313="","",IFERROR(BDP($B313&amp;" Action","CP037"),""))</f>
        <v/>
      </c>
      <c r="F313" s="183">
        <f>Database!T313</f>
        <v/>
      </c>
      <c r="G313" s="182">
        <f>IF($B313="","",IFERROR(BDP($B313&amp;" Action","GREENSHOE_FACILITY"),""))</f>
        <v/>
      </c>
      <c r="H313" s="182">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76">
        <f>Database!Q313</f>
        <v/>
      </c>
      <c r="O313" s="24">
        <f>IFERROR(BDH(Database!$A313&amp;" HK Equity","PE_RATIO",Database!$H313,Database!$H313),"")</f>
        <v/>
      </c>
      <c r="P313" s="180">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82">
        <f>IF($B314="","",IFERROR(BDP($B314&amp;" Action","CP036"),""))</f>
        <v/>
      </c>
      <c r="D314" s="183">
        <f>Database!S314</f>
        <v/>
      </c>
      <c r="E314" s="182">
        <f>IF($B314="","",IFERROR(BDP($B314&amp;" Action","CP037"),""))</f>
        <v/>
      </c>
      <c r="F314" s="183">
        <f>Database!T314</f>
        <v/>
      </c>
      <c r="G314" s="182">
        <f>IF($B314="","",IFERROR(BDP($B314&amp;" Action","GREENSHOE_FACILITY"),""))</f>
        <v/>
      </c>
      <c r="H314" s="182">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76">
        <f>Database!Q314</f>
        <v/>
      </c>
      <c r="O314" s="24">
        <f>IFERROR(BDH(Database!$A314&amp;" HK Equity","PE_RATIO",Database!$H314,Database!$H314),"")</f>
        <v/>
      </c>
      <c r="P314" s="180">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82">
        <f>IF($B315="","",IFERROR(BDP($B315&amp;" Action","CP036"),""))</f>
        <v/>
      </c>
      <c r="D315" s="183">
        <f>Database!S315</f>
        <v/>
      </c>
      <c r="E315" s="182">
        <f>IF($B315="","",IFERROR(BDP($B315&amp;" Action","CP037"),""))</f>
        <v/>
      </c>
      <c r="F315" s="183">
        <f>Database!T315</f>
        <v/>
      </c>
      <c r="G315" s="182">
        <f>IF($B315="","",IFERROR(BDP($B315&amp;" Action","GREENSHOE_FACILITY"),""))</f>
        <v/>
      </c>
      <c r="H315" s="182">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76">
        <f>Database!Q315</f>
        <v/>
      </c>
      <c r="O315" s="24">
        <f>IFERROR(BDH(Database!$A315&amp;" HK Equity","PE_RATIO",Database!$H315,Database!$H315),"")</f>
        <v/>
      </c>
      <c r="P315" s="180">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82">
        <f>IF($B316="","",IFERROR(BDP($B316&amp;" Action","CP036"),""))</f>
        <v/>
      </c>
      <c r="D316" s="183">
        <f>Database!S316</f>
        <v/>
      </c>
      <c r="E316" s="182">
        <f>IF($B316="","",IFERROR(BDP($B316&amp;" Action","CP037"),""))</f>
        <v/>
      </c>
      <c r="F316" s="183">
        <f>Database!T316</f>
        <v/>
      </c>
      <c r="G316" s="182">
        <f>IF($B316="","",IFERROR(BDP($B316&amp;" Action","GREENSHOE_FACILITY"),""))</f>
        <v/>
      </c>
      <c r="H316" s="182">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76">
        <f>Database!Q316</f>
        <v/>
      </c>
      <c r="O316" s="24">
        <f>IFERROR(BDH(Database!$A316&amp;" HK Equity","PE_RATIO",Database!$H316,Database!$H316),"")</f>
        <v/>
      </c>
      <c r="P316" s="180">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82">
        <f>IF($B317="","",IFERROR(BDP($B317&amp;" Action","CP036"),""))</f>
        <v/>
      </c>
      <c r="D317" s="183">
        <f>Database!S317</f>
        <v/>
      </c>
      <c r="E317" s="182">
        <f>IF($B317="","",IFERROR(BDP($B317&amp;" Action","CP037"),""))</f>
        <v/>
      </c>
      <c r="F317" s="183">
        <f>Database!T317</f>
        <v/>
      </c>
      <c r="G317" s="182">
        <f>IF($B317="","",IFERROR(BDP($B317&amp;" Action","GREENSHOE_FACILITY"),""))</f>
        <v/>
      </c>
      <c r="H317" s="182">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76">
        <f>Database!Q317</f>
        <v/>
      </c>
      <c r="O317" s="24">
        <f>IFERROR(BDH(Database!$A317&amp;" HK Equity","PE_RATIO",Database!$H317,Database!$H317),"")</f>
        <v/>
      </c>
      <c r="P317" s="180">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82">
        <f>IF($B318="","",IFERROR(BDP($B318&amp;" Action","CP036"),""))</f>
        <v/>
      </c>
      <c r="D318" s="183">
        <f>Database!S318</f>
        <v/>
      </c>
      <c r="E318" s="182">
        <f>IF($B318="","",IFERROR(BDP($B318&amp;" Action","CP037"),""))</f>
        <v/>
      </c>
      <c r="F318" s="183">
        <f>Database!T318</f>
        <v/>
      </c>
      <c r="G318" s="182">
        <f>IF($B318="","",IFERROR(BDP($B318&amp;" Action","GREENSHOE_FACILITY"),""))</f>
        <v/>
      </c>
      <c r="H318" s="182">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76">
        <f>Database!Q318</f>
        <v/>
      </c>
      <c r="O318" s="24">
        <f>IFERROR(BDH(Database!$A318&amp;" HK Equity","PE_RATIO",Database!$H318,Database!$H318),"")</f>
        <v/>
      </c>
      <c r="P318" s="180">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82">
        <f>IF($B319="","",IFERROR(BDP($B319&amp;" Action","CP036"),""))</f>
        <v/>
      </c>
      <c r="D319" s="183">
        <f>Database!S319</f>
        <v/>
      </c>
      <c r="E319" s="182">
        <f>IF($B319="","",IFERROR(BDP($B319&amp;" Action","CP037"),""))</f>
        <v/>
      </c>
      <c r="F319" s="183">
        <f>Database!T319</f>
        <v/>
      </c>
      <c r="G319" s="182">
        <f>IF($B319="","",IFERROR(BDP($B319&amp;" Action","GREENSHOE_FACILITY"),""))</f>
        <v/>
      </c>
      <c r="H319" s="182">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76">
        <f>Database!Q319</f>
        <v/>
      </c>
      <c r="O319" s="24">
        <f>IFERROR(BDH(Database!$A319&amp;" HK Equity","PE_RATIO",Database!$H319,Database!$H319),"")</f>
        <v/>
      </c>
      <c r="P319" s="180">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82">
        <f>IF($B320="","",IFERROR(BDP($B320&amp;" Action","CP036"),""))</f>
        <v/>
      </c>
      <c r="D320" s="183">
        <f>Database!S320</f>
        <v/>
      </c>
      <c r="E320" s="182">
        <f>IF($B320="","",IFERROR(BDP($B320&amp;" Action","CP037"),""))</f>
        <v/>
      </c>
      <c r="F320" s="183">
        <f>Database!T320</f>
        <v/>
      </c>
      <c r="G320" s="182">
        <f>IF($B320="","",IFERROR(BDP($B320&amp;" Action","GREENSHOE_FACILITY"),""))</f>
        <v/>
      </c>
      <c r="H320" s="182">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76">
        <f>Database!Q320</f>
        <v/>
      </c>
      <c r="O320" s="24">
        <f>IFERROR(BDH(Database!$A320&amp;" HK Equity","PE_RATIO",Database!$H320,Database!$H320),"")</f>
        <v/>
      </c>
      <c r="P320" s="180">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82">
        <f>IF($B321="","",IFERROR(BDP($B321&amp;" Action","CP036"),""))</f>
        <v/>
      </c>
      <c r="D321" s="183">
        <f>Database!S321</f>
        <v/>
      </c>
      <c r="E321" s="182">
        <f>IF($B321="","",IFERROR(BDP($B321&amp;" Action","CP037"),""))</f>
        <v/>
      </c>
      <c r="F321" s="183">
        <f>Database!T321</f>
        <v/>
      </c>
      <c r="G321" s="182">
        <f>IF($B321="","",IFERROR(BDP($B321&amp;" Action","GREENSHOE_FACILITY"),""))</f>
        <v/>
      </c>
      <c r="H321" s="182">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76">
        <f>Database!Q321</f>
        <v/>
      </c>
      <c r="O321" s="24">
        <f>IFERROR(BDH(Database!$A321&amp;" HK Equity","PE_RATIO",Database!$H321,Database!$H321),"")</f>
        <v/>
      </c>
      <c r="P321" s="180">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82">
        <f>IF($B322="","",IFERROR(BDP($B322&amp;" Action","CP036"),""))</f>
        <v/>
      </c>
      <c r="D322" s="183">
        <f>Database!S322</f>
        <v/>
      </c>
      <c r="E322" s="182">
        <f>IF($B322="","",IFERROR(BDP($B322&amp;" Action","CP037"),""))</f>
        <v/>
      </c>
      <c r="F322" s="183">
        <f>Database!T322</f>
        <v/>
      </c>
      <c r="G322" s="182">
        <f>IF($B322="","",IFERROR(BDP($B322&amp;" Action","GREENSHOE_FACILITY"),""))</f>
        <v/>
      </c>
      <c r="H322" s="182">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76">
        <f>Database!Q322</f>
        <v/>
      </c>
      <c r="O322" s="24">
        <f>IFERROR(BDH(Database!$A322&amp;" HK Equity","PE_RATIO",Database!$H322,Database!$H322),"")</f>
        <v/>
      </c>
      <c r="P322" s="180">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82">
        <f>IF($B323="","",IFERROR(BDP($B323&amp;" Action","CP036"),""))</f>
        <v/>
      </c>
      <c r="D323" s="183">
        <f>Database!S323</f>
        <v/>
      </c>
      <c r="E323" s="182">
        <f>IF($B323="","",IFERROR(BDP($B323&amp;" Action","CP037"),""))</f>
        <v/>
      </c>
      <c r="F323" s="183">
        <f>Database!T323</f>
        <v/>
      </c>
      <c r="G323" s="182">
        <f>IF($B323="","",IFERROR(BDP($B323&amp;" Action","GREENSHOE_FACILITY"),""))</f>
        <v/>
      </c>
      <c r="H323" s="182">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76">
        <f>Database!Q323</f>
        <v/>
      </c>
      <c r="O323" s="24">
        <f>IFERROR(BDH(Database!$A323&amp;" HK Equity","PE_RATIO",Database!$H323,Database!$H323),"")</f>
        <v/>
      </c>
      <c r="P323" s="180">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82">
        <f>IF($B324="","",IFERROR(BDP($B324&amp;" Action","CP036"),""))</f>
        <v/>
      </c>
      <c r="D324" s="183">
        <f>Database!S324</f>
        <v/>
      </c>
      <c r="E324" s="182">
        <f>IF($B324="","",IFERROR(BDP($B324&amp;" Action","CP037"),""))</f>
        <v/>
      </c>
      <c r="F324" s="183">
        <f>Database!T324</f>
        <v/>
      </c>
      <c r="G324" s="182">
        <f>IF($B324="","",IFERROR(BDP($B324&amp;" Action","GREENSHOE_FACILITY"),""))</f>
        <v/>
      </c>
      <c r="H324" s="182">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76">
        <f>Database!Q324</f>
        <v/>
      </c>
      <c r="O324" s="24">
        <f>IFERROR(BDH(Database!$A324&amp;" HK Equity","PE_RATIO",Database!$H324,Database!$H324),"")</f>
        <v/>
      </c>
      <c r="P324" s="180">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82">
        <f>IF($B325="","",IFERROR(BDP($B325&amp;" Action","CP036"),""))</f>
        <v/>
      </c>
      <c r="D325" s="183">
        <f>Database!S325</f>
        <v/>
      </c>
      <c r="E325" s="182">
        <f>IF($B325="","",IFERROR(BDP($B325&amp;" Action","CP037"),""))</f>
        <v/>
      </c>
      <c r="F325" s="183">
        <f>Database!T325</f>
        <v/>
      </c>
      <c r="G325" s="182">
        <f>IF($B325="","",IFERROR(BDP($B325&amp;" Action","GREENSHOE_FACILITY"),""))</f>
        <v/>
      </c>
      <c r="H325" s="182">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76">
        <f>Database!Q325</f>
        <v/>
      </c>
      <c r="O325" s="24">
        <f>IFERROR(BDH(Database!$A325&amp;" HK Equity","PE_RATIO",Database!$H325,Database!$H325),"")</f>
        <v/>
      </c>
      <c r="P325" s="180">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82">
        <f>IF($B326="","",IFERROR(BDP($B326&amp;" Action","CP036"),""))</f>
        <v/>
      </c>
      <c r="D326" s="183">
        <f>Database!S326</f>
        <v/>
      </c>
      <c r="E326" s="182">
        <f>IF($B326="","",IFERROR(BDP($B326&amp;" Action","CP037"),""))</f>
        <v/>
      </c>
      <c r="F326" s="183">
        <f>Database!T326</f>
        <v/>
      </c>
      <c r="G326" s="182">
        <f>IF($B326="","",IFERROR(BDP($B326&amp;" Action","GREENSHOE_FACILITY"),""))</f>
        <v/>
      </c>
      <c r="H326" s="182">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76">
        <f>Database!Q326</f>
        <v/>
      </c>
      <c r="O326" s="24">
        <f>IFERROR(BDH(Database!$A326&amp;" HK Equity","PE_RATIO",Database!$H326,Database!$H326),"")</f>
        <v/>
      </c>
      <c r="P326" s="180">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82">
        <f>IF($B327="","",IFERROR(BDP($B327&amp;" Action","CP036"),""))</f>
        <v/>
      </c>
      <c r="D327" s="183">
        <f>Database!S327</f>
        <v/>
      </c>
      <c r="E327" s="182">
        <f>IF($B327="","",IFERROR(BDP($B327&amp;" Action","CP037"),""))</f>
        <v/>
      </c>
      <c r="F327" s="183">
        <f>Database!T327</f>
        <v/>
      </c>
      <c r="G327" s="182">
        <f>IF($B327="","",IFERROR(BDP($B327&amp;" Action","GREENSHOE_FACILITY"),""))</f>
        <v/>
      </c>
      <c r="H327" s="182">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76">
        <f>Database!Q327</f>
        <v/>
      </c>
      <c r="O327" s="24">
        <f>IFERROR(BDH(Database!$A327&amp;" HK Equity","PE_RATIO",Database!$H327,Database!$H327),"")</f>
        <v/>
      </c>
      <c r="P327" s="180">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82">
        <f>IF($B328="","",IFERROR(BDP($B328&amp;" Action","CP036"),""))</f>
        <v/>
      </c>
      <c r="D328" s="183">
        <f>Database!S328</f>
        <v/>
      </c>
      <c r="E328" s="182">
        <f>IF($B328="","",IFERROR(BDP($B328&amp;" Action","CP037"),""))</f>
        <v/>
      </c>
      <c r="F328" s="183">
        <f>Database!T328</f>
        <v/>
      </c>
      <c r="G328" s="182">
        <f>IF($B328="","",IFERROR(BDP($B328&amp;" Action","GREENSHOE_FACILITY"),""))</f>
        <v/>
      </c>
      <c r="H328" s="182">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76">
        <f>Database!Q328</f>
        <v/>
      </c>
      <c r="O328" s="24">
        <f>IFERROR(BDH(Database!$A328&amp;" HK Equity","PE_RATIO",Database!$H328,Database!$H328),"")</f>
        <v/>
      </c>
      <c r="P328" s="180">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82">
        <f>IF($B329="","",IFERROR(BDP($B329&amp;" Action","CP036"),""))</f>
        <v/>
      </c>
      <c r="D329" s="183">
        <f>Database!S329</f>
        <v/>
      </c>
      <c r="E329" s="182">
        <f>IF($B329="","",IFERROR(BDP($B329&amp;" Action","CP037"),""))</f>
        <v/>
      </c>
      <c r="F329" s="183">
        <f>Database!T329</f>
        <v/>
      </c>
      <c r="G329" s="182">
        <f>IF($B329="","",IFERROR(BDP($B329&amp;" Action","GREENSHOE_FACILITY"),""))</f>
        <v/>
      </c>
      <c r="H329" s="182">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76">
        <f>Database!Q329</f>
        <v/>
      </c>
      <c r="O329" s="24">
        <f>IFERROR(BDH(Database!$A329&amp;" HK Equity","PE_RATIO",Database!$H329,Database!$H329),"")</f>
        <v/>
      </c>
      <c r="P329" s="180">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82">
        <f>IF($B330="","",IFERROR(BDP($B330&amp;" Action","CP036"),""))</f>
        <v/>
      </c>
      <c r="D330" s="183">
        <f>Database!S330</f>
        <v/>
      </c>
      <c r="E330" s="182">
        <f>IF($B330="","",IFERROR(BDP($B330&amp;" Action","CP037"),""))</f>
        <v/>
      </c>
      <c r="F330" s="183">
        <f>Database!T330</f>
        <v/>
      </c>
      <c r="G330" s="182">
        <f>IF($B330="","",IFERROR(BDP($B330&amp;" Action","GREENSHOE_FACILITY"),""))</f>
        <v/>
      </c>
      <c r="H330" s="182">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76">
        <f>Database!Q330</f>
        <v/>
      </c>
      <c r="O330" s="24">
        <f>IFERROR(BDH(Database!$A330&amp;" HK Equity","PE_RATIO",Database!$H330,Database!$H330),"")</f>
        <v/>
      </c>
      <c r="P330" s="180">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82">
        <f>IF($B331="","",IFERROR(BDP($B331&amp;" Action","CP036"),""))</f>
        <v/>
      </c>
      <c r="D331" s="183">
        <f>Database!S331</f>
        <v/>
      </c>
      <c r="E331" s="182">
        <f>IF($B331="","",IFERROR(BDP($B331&amp;" Action","CP037"),""))</f>
        <v/>
      </c>
      <c r="F331" s="183">
        <f>Database!T331</f>
        <v/>
      </c>
      <c r="G331" s="182">
        <f>IF($B331="","",IFERROR(BDP($B331&amp;" Action","GREENSHOE_FACILITY"),""))</f>
        <v/>
      </c>
      <c r="H331" s="182">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76">
        <f>Database!Q331</f>
        <v/>
      </c>
      <c r="O331" s="24">
        <f>IFERROR(BDH(Database!$A331&amp;" HK Equity","PE_RATIO",Database!$H331,Database!$H331),"")</f>
        <v/>
      </c>
      <c r="P331" s="180">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82">
        <f>IF($B332="","",IFERROR(BDP($B332&amp;" Action","CP036"),""))</f>
        <v/>
      </c>
      <c r="D332" s="183">
        <f>Database!S332</f>
        <v/>
      </c>
      <c r="E332" s="182">
        <f>IF($B332="","",IFERROR(BDP($B332&amp;" Action","CP037"),""))</f>
        <v/>
      </c>
      <c r="F332" s="183">
        <f>Database!T332</f>
        <v/>
      </c>
      <c r="G332" s="182">
        <f>IF($B332="","",IFERROR(BDP($B332&amp;" Action","GREENSHOE_FACILITY"),""))</f>
        <v/>
      </c>
      <c r="H332" s="182">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76">
        <f>Database!Q332</f>
        <v/>
      </c>
      <c r="O332" s="24">
        <f>IFERROR(BDH(Database!$A332&amp;" HK Equity","PE_RATIO",Database!$H332,Database!$H332),"")</f>
        <v/>
      </c>
      <c r="P332" s="180">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82">
        <f>IF($B333="","",IFERROR(BDP($B333&amp;" Action","CP036"),""))</f>
        <v/>
      </c>
      <c r="D333" s="183">
        <f>Database!S333</f>
        <v/>
      </c>
      <c r="E333" s="182">
        <f>IF($B333="","",IFERROR(BDP($B333&amp;" Action","CP037"),""))</f>
        <v/>
      </c>
      <c r="F333" s="183">
        <f>Database!T333</f>
        <v/>
      </c>
      <c r="G333" s="182">
        <f>IF($B333="","",IFERROR(BDP($B333&amp;" Action","GREENSHOE_FACILITY"),""))</f>
        <v/>
      </c>
      <c r="H333" s="182">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76">
        <f>Database!Q333</f>
        <v/>
      </c>
      <c r="O333" s="24">
        <f>IFERROR(BDH(Database!$A333&amp;" HK Equity","PE_RATIO",Database!$H333,Database!$H333),"")</f>
        <v/>
      </c>
      <c r="P333" s="180">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82">
        <f>IF($B334="","",IFERROR(BDP($B334&amp;" Action","CP036"),""))</f>
        <v/>
      </c>
      <c r="D334" s="183">
        <f>Database!S334</f>
        <v/>
      </c>
      <c r="E334" s="182">
        <f>IF($B334="","",IFERROR(BDP($B334&amp;" Action","CP037"),""))</f>
        <v/>
      </c>
      <c r="F334" s="183">
        <f>Database!T334</f>
        <v/>
      </c>
      <c r="G334" s="182">
        <f>IF($B334="","",IFERROR(BDP($B334&amp;" Action","GREENSHOE_FACILITY"),""))</f>
        <v/>
      </c>
      <c r="H334" s="182">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76">
        <f>Database!Q334</f>
        <v/>
      </c>
      <c r="O334" s="24">
        <f>IFERROR(BDH(Database!$A334&amp;" HK Equity","PE_RATIO",Database!$H334,Database!$H334),"")</f>
        <v/>
      </c>
      <c r="P334" s="180">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82">
        <f>IF($B335="","",IFERROR(BDP($B335&amp;" Action","CP036"),""))</f>
        <v/>
      </c>
      <c r="D335" s="183">
        <f>Database!S335</f>
        <v/>
      </c>
      <c r="E335" s="182">
        <f>IF($B335="","",IFERROR(BDP($B335&amp;" Action","CP037"),""))</f>
        <v/>
      </c>
      <c r="F335" s="183">
        <f>Database!T335</f>
        <v/>
      </c>
      <c r="G335" s="182">
        <f>IF($B335="","",IFERROR(BDP($B335&amp;" Action","GREENSHOE_FACILITY"),""))</f>
        <v/>
      </c>
      <c r="H335" s="182">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76">
        <f>Database!Q335</f>
        <v/>
      </c>
      <c r="O335" s="24">
        <f>IFERROR(BDH(Database!$A335&amp;" HK Equity","PE_RATIO",Database!$H335,Database!$H335),"")</f>
        <v/>
      </c>
      <c r="P335" s="180">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82">
        <f>IF($B336="","",IFERROR(BDP($B336&amp;" Action","CP036"),""))</f>
        <v/>
      </c>
      <c r="D336" s="183">
        <f>Database!S336</f>
        <v/>
      </c>
      <c r="E336" s="182">
        <f>IF($B336="","",IFERROR(BDP($B336&amp;" Action","CP037"),""))</f>
        <v/>
      </c>
      <c r="F336" s="183">
        <f>Database!T336</f>
        <v/>
      </c>
      <c r="G336" s="182">
        <f>IF($B336="","",IFERROR(BDP($B336&amp;" Action","GREENSHOE_FACILITY"),""))</f>
        <v/>
      </c>
      <c r="H336" s="182">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76">
        <f>Database!Q336</f>
        <v/>
      </c>
      <c r="O336" s="24">
        <f>IFERROR(BDH(Database!$A336&amp;" HK Equity","PE_RATIO",Database!$H336,Database!$H336),"")</f>
        <v/>
      </c>
      <c r="P336" s="180">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82">
        <f>IF($B337="","",IFERROR(BDP($B337&amp;" Action","CP036"),""))</f>
        <v/>
      </c>
      <c r="D337" s="183">
        <f>Database!S337</f>
        <v/>
      </c>
      <c r="E337" s="182">
        <f>IF($B337="","",IFERROR(BDP($B337&amp;" Action","CP037"),""))</f>
        <v/>
      </c>
      <c r="F337" s="183">
        <f>Database!T337</f>
        <v/>
      </c>
      <c r="G337" s="182">
        <f>IF($B337="","",IFERROR(BDP($B337&amp;" Action","GREENSHOE_FACILITY"),""))</f>
        <v/>
      </c>
      <c r="H337" s="182">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76">
        <f>Database!Q337</f>
        <v/>
      </c>
      <c r="O337" s="24">
        <f>IFERROR(BDH(Database!$A337&amp;" HK Equity","PE_RATIO",Database!$H337,Database!$H337),"")</f>
        <v/>
      </c>
      <c r="P337" s="180">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82">
        <f>IF($B338="","",IFERROR(BDP($B338&amp;" Action","CP036"),""))</f>
        <v/>
      </c>
      <c r="D338" s="183">
        <f>Database!S338</f>
        <v/>
      </c>
      <c r="E338" s="182">
        <f>IF($B338="","",IFERROR(BDP($B338&amp;" Action","CP037"),""))</f>
        <v/>
      </c>
      <c r="F338" s="183">
        <f>Database!T338</f>
        <v/>
      </c>
      <c r="G338" s="182">
        <f>IF($B338="","",IFERROR(BDP($B338&amp;" Action","GREENSHOE_FACILITY"),""))</f>
        <v/>
      </c>
      <c r="H338" s="182">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76">
        <f>Database!Q338</f>
        <v/>
      </c>
      <c r="O338" s="24">
        <f>IFERROR(BDH(Database!$A338&amp;" HK Equity","PE_RATIO",Database!$H338,Database!$H338),"")</f>
        <v/>
      </c>
      <c r="P338" s="180">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82">
        <f>IF($B339="","",IFERROR(BDP($B339&amp;" Action","CP036"),""))</f>
        <v/>
      </c>
      <c r="D339" s="183">
        <f>Database!S339</f>
        <v/>
      </c>
      <c r="E339" s="182">
        <f>IF($B339="","",IFERROR(BDP($B339&amp;" Action","CP037"),""))</f>
        <v/>
      </c>
      <c r="F339" s="183">
        <f>Database!T339</f>
        <v/>
      </c>
      <c r="G339" s="182">
        <f>IF($B339="","",IFERROR(BDP($B339&amp;" Action","GREENSHOE_FACILITY"),""))</f>
        <v/>
      </c>
      <c r="H339" s="182">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76">
        <f>Database!Q339</f>
        <v/>
      </c>
      <c r="O339" s="24">
        <f>IFERROR(BDH(Database!$A339&amp;" HK Equity","PE_RATIO",Database!$H339,Database!$H339),"")</f>
        <v/>
      </c>
      <c r="P339" s="180">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82">
        <f>IF($B340="","",IFERROR(BDP($B340&amp;" Action","CP036"),""))</f>
        <v/>
      </c>
      <c r="D340" s="183">
        <f>Database!S340</f>
        <v/>
      </c>
      <c r="E340" s="182">
        <f>IF($B340="","",IFERROR(BDP($B340&amp;" Action","CP037"),""))</f>
        <v/>
      </c>
      <c r="F340" s="183">
        <f>Database!T340</f>
        <v/>
      </c>
      <c r="G340" s="182">
        <f>IF($B340="","",IFERROR(BDP($B340&amp;" Action","GREENSHOE_FACILITY"),""))</f>
        <v/>
      </c>
      <c r="H340" s="182">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76">
        <f>Database!Q340</f>
        <v/>
      </c>
      <c r="O340" s="24">
        <f>IFERROR(BDH(Database!$A340&amp;" HK Equity","PE_RATIO",Database!$H340,Database!$H340),"")</f>
        <v/>
      </c>
      <c r="P340" s="180">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82">
        <f>IF($B341="","",IFERROR(BDP($B341&amp;" Action","CP036"),""))</f>
        <v/>
      </c>
      <c r="D341" s="183">
        <f>Database!S341</f>
        <v/>
      </c>
      <c r="E341" s="182">
        <f>IF($B341="","",IFERROR(BDP($B341&amp;" Action","CP037"),""))</f>
        <v/>
      </c>
      <c r="F341" s="183">
        <f>Database!T341</f>
        <v/>
      </c>
      <c r="G341" s="182">
        <f>IF($B341="","",IFERROR(BDP($B341&amp;" Action","GREENSHOE_FACILITY"),""))</f>
        <v/>
      </c>
      <c r="H341" s="182">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76">
        <f>Database!Q341</f>
        <v/>
      </c>
      <c r="O341" s="24">
        <f>IFERROR(BDH(Database!$A341&amp;" HK Equity","PE_RATIO",Database!$H341,Database!$H341),"")</f>
        <v/>
      </c>
      <c r="P341" s="180">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82">
        <f>IF($B342="","",IFERROR(BDP($B342&amp;" Action","CP036"),""))</f>
        <v/>
      </c>
      <c r="D342" s="183">
        <f>Database!S342</f>
        <v/>
      </c>
      <c r="E342" s="182">
        <f>IF($B342="","",IFERROR(BDP($B342&amp;" Action","CP037"),""))</f>
        <v/>
      </c>
      <c r="F342" s="183">
        <f>Database!T342</f>
        <v/>
      </c>
      <c r="G342" s="182">
        <f>IF($B342="","",IFERROR(BDP($B342&amp;" Action","GREENSHOE_FACILITY"),""))</f>
        <v/>
      </c>
      <c r="H342" s="182">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76">
        <f>Database!Q342</f>
        <v/>
      </c>
      <c r="O342" s="24">
        <f>IFERROR(BDH(Database!$A342&amp;" HK Equity","PE_RATIO",Database!$H342,Database!$H342),"")</f>
        <v/>
      </c>
      <c r="P342" s="180">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82">
        <f>IF($B343="","",IFERROR(BDP($B343&amp;" Action","CP036"),""))</f>
        <v/>
      </c>
      <c r="D343" s="183">
        <f>Database!S343</f>
        <v/>
      </c>
      <c r="E343" s="182">
        <f>IF($B343="","",IFERROR(BDP($B343&amp;" Action","CP037"),""))</f>
        <v/>
      </c>
      <c r="F343" s="183">
        <f>Database!T343</f>
        <v/>
      </c>
      <c r="G343" s="182">
        <f>IF($B343="","",IFERROR(BDP($B343&amp;" Action","GREENSHOE_FACILITY"),""))</f>
        <v/>
      </c>
      <c r="H343" s="182">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76">
        <f>Database!Q343</f>
        <v/>
      </c>
      <c r="O343" s="24">
        <f>IFERROR(BDH(Database!$A343&amp;" HK Equity","PE_RATIO",Database!$H343,Database!$H343),"")</f>
        <v/>
      </c>
      <c r="P343" s="180">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82">
        <f>IF($B344="","",IFERROR(BDP($B344&amp;" Action","CP036"),""))</f>
        <v/>
      </c>
      <c r="D344" s="183">
        <f>Database!S344</f>
        <v/>
      </c>
      <c r="E344" s="182">
        <f>IF($B344="","",IFERROR(BDP($B344&amp;" Action","CP037"),""))</f>
        <v/>
      </c>
      <c r="F344" s="183">
        <f>Database!T344</f>
        <v/>
      </c>
      <c r="G344" s="182">
        <f>IF($B344="","",IFERROR(BDP($B344&amp;" Action","GREENSHOE_FACILITY"),""))</f>
        <v/>
      </c>
      <c r="H344" s="182">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76">
        <f>Database!Q344</f>
        <v/>
      </c>
      <c r="O344" s="24">
        <f>IFERROR(BDH(Database!$A344&amp;" HK Equity","PE_RATIO",Database!$H344,Database!$H344),"")</f>
        <v/>
      </c>
      <c r="P344" s="180">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82">
        <f>IF($B345="","",IFERROR(BDP($B345&amp;" Action","CP036"),""))</f>
        <v/>
      </c>
      <c r="D345" s="183">
        <f>Database!S345</f>
        <v/>
      </c>
      <c r="E345" s="182">
        <f>IF($B345="","",IFERROR(BDP($B345&amp;" Action","CP037"),""))</f>
        <v/>
      </c>
      <c r="F345" s="183">
        <f>Database!T345</f>
        <v/>
      </c>
      <c r="G345" s="182">
        <f>IF($B345="","",IFERROR(BDP($B345&amp;" Action","GREENSHOE_FACILITY"),""))</f>
        <v/>
      </c>
      <c r="H345" s="182">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76">
        <f>Database!Q345</f>
        <v/>
      </c>
      <c r="O345" s="24">
        <f>IFERROR(BDH(Database!$A345&amp;" HK Equity","PE_RATIO",Database!$H345,Database!$H345),"")</f>
        <v/>
      </c>
      <c r="P345" s="180">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82">
        <f>IF($B346="","",IFERROR(BDP($B346&amp;" Action","CP036"),""))</f>
        <v/>
      </c>
      <c r="D346" s="183">
        <f>Database!S346</f>
        <v/>
      </c>
      <c r="E346" s="182">
        <f>IF($B346="","",IFERROR(BDP($B346&amp;" Action","CP037"),""))</f>
        <v/>
      </c>
      <c r="F346" s="183">
        <f>Database!T346</f>
        <v/>
      </c>
      <c r="G346" s="182">
        <f>IF($B346="","",IFERROR(BDP($B346&amp;" Action","GREENSHOE_FACILITY"),""))</f>
        <v/>
      </c>
      <c r="H346" s="182">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76">
        <f>Database!Q346</f>
        <v/>
      </c>
      <c r="O346" s="24">
        <f>IFERROR(BDH(Database!$A346&amp;" HK Equity","PE_RATIO",Database!$H346,Database!$H346),"")</f>
        <v/>
      </c>
      <c r="P346" s="180">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82">
        <f>IF($B347="","",IFERROR(BDP($B347&amp;" Action","CP036"),""))</f>
        <v/>
      </c>
      <c r="D347" s="183">
        <f>Database!S347</f>
        <v/>
      </c>
      <c r="E347" s="182">
        <f>IF($B347="","",IFERROR(BDP($B347&amp;" Action","CP037"),""))</f>
        <v/>
      </c>
      <c r="F347" s="183">
        <f>Database!T347</f>
        <v/>
      </c>
      <c r="G347" s="182">
        <f>IF($B347="","",IFERROR(BDP($B347&amp;" Action","GREENSHOE_FACILITY"),""))</f>
        <v/>
      </c>
      <c r="H347" s="182">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76">
        <f>Database!Q347</f>
        <v/>
      </c>
      <c r="O347" s="24">
        <f>IFERROR(BDH(Database!$A347&amp;" HK Equity","PE_RATIO",Database!$H347,Database!$H347),"")</f>
        <v/>
      </c>
      <c r="P347" s="180">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82">
        <f>IF($B348="","",IFERROR(BDP($B348&amp;" Action","CP036"),""))</f>
        <v/>
      </c>
      <c r="D348" s="183">
        <f>Database!S348</f>
        <v/>
      </c>
      <c r="E348" s="182">
        <f>IF($B348="","",IFERROR(BDP($B348&amp;" Action","CP037"),""))</f>
        <v/>
      </c>
      <c r="F348" s="183">
        <f>Database!T348</f>
        <v/>
      </c>
      <c r="G348" s="182">
        <f>IF($B348="","",IFERROR(BDP($B348&amp;" Action","GREENSHOE_FACILITY"),""))</f>
        <v/>
      </c>
      <c r="H348" s="182">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76">
        <f>Database!Q348</f>
        <v/>
      </c>
      <c r="O348" s="24">
        <f>IFERROR(BDH(Database!$A348&amp;" HK Equity","PE_RATIO",Database!$H348,Database!$H348),"")</f>
        <v/>
      </c>
      <c r="P348" s="180">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82">
        <f>IF($B349="","",IFERROR(BDP($B349&amp;" Action","CP036"),""))</f>
        <v/>
      </c>
      <c r="D349" s="183">
        <f>Database!S349</f>
        <v/>
      </c>
      <c r="E349" s="182">
        <f>IF($B349="","",IFERROR(BDP($B349&amp;" Action","CP037"),""))</f>
        <v/>
      </c>
      <c r="F349" s="183">
        <f>Database!T349</f>
        <v/>
      </c>
      <c r="G349" s="182">
        <f>IF($B349="","",IFERROR(BDP($B349&amp;" Action","GREENSHOE_FACILITY"),""))</f>
        <v/>
      </c>
      <c r="H349" s="182">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76">
        <f>Database!Q349</f>
        <v/>
      </c>
      <c r="O349" s="24">
        <f>IFERROR(BDH(Database!$A349&amp;" HK Equity","PE_RATIO",Database!$H349,Database!$H349),"")</f>
        <v/>
      </c>
      <c r="P349" s="180">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82">
        <f>IF($B350="","",IFERROR(BDP($B350&amp;" Action","CP036"),""))</f>
        <v/>
      </c>
      <c r="D350" s="183">
        <f>Database!S350</f>
        <v/>
      </c>
      <c r="E350" s="182">
        <f>IF($B350="","",IFERROR(BDP($B350&amp;" Action","CP037"),""))</f>
        <v/>
      </c>
      <c r="F350" s="183">
        <f>Database!T350</f>
        <v/>
      </c>
      <c r="G350" s="182">
        <f>IF($B350="","",IFERROR(BDP($B350&amp;" Action","GREENSHOE_FACILITY"),""))</f>
        <v/>
      </c>
      <c r="H350" s="182">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76">
        <f>Database!Q350</f>
        <v/>
      </c>
      <c r="O350" s="24">
        <f>IFERROR(BDH(Database!$A350&amp;" HK Equity","PE_RATIO",Database!$H350,Database!$H350),"")</f>
        <v/>
      </c>
      <c r="P350" s="180">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82">
        <f>IF($B351="","",IFERROR(BDP($B351&amp;" Action","CP036"),""))</f>
        <v/>
      </c>
      <c r="D351" s="183">
        <f>Database!S351</f>
        <v/>
      </c>
      <c r="E351" s="182">
        <f>IF($B351="","",IFERROR(BDP($B351&amp;" Action","CP037"),""))</f>
        <v/>
      </c>
      <c r="F351" s="183">
        <f>Database!T351</f>
        <v/>
      </c>
      <c r="G351" s="182">
        <f>IF($B351="","",IFERROR(BDP($B351&amp;" Action","GREENSHOE_FACILITY"),""))</f>
        <v/>
      </c>
      <c r="H351" s="182">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76">
        <f>Database!Q351</f>
        <v/>
      </c>
      <c r="O351" s="24">
        <f>IFERROR(BDH(Database!$A351&amp;" HK Equity","PE_RATIO",Database!$H351,Database!$H351),"")</f>
        <v/>
      </c>
      <c r="P351" s="180">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82">
        <f>IF($B352="","",IFERROR(BDP($B352&amp;" Action","CP036"),""))</f>
        <v/>
      </c>
      <c r="D352" s="183">
        <f>Database!S352</f>
        <v/>
      </c>
      <c r="E352" s="182">
        <f>IF($B352="","",IFERROR(BDP($B352&amp;" Action","CP037"),""))</f>
        <v/>
      </c>
      <c r="F352" s="183">
        <f>Database!T352</f>
        <v/>
      </c>
      <c r="G352" s="182">
        <f>IF($B352="","",IFERROR(BDP($B352&amp;" Action","GREENSHOE_FACILITY"),""))</f>
        <v/>
      </c>
      <c r="H352" s="182">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76">
        <f>Database!Q352</f>
        <v/>
      </c>
      <c r="O352" s="24">
        <f>IFERROR(BDH(Database!$A352&amp;" HK Equity","PE_RATIO",Database!$H352,Database!$H352),"")</f>
        <v/>
      </c>
      <c r="P352" s="180">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82">
        <f>IF($B353="","",IFERROR(BDP($B353&amp;" Action","CP036"),""))</f>
        <v/>
      </c>
      <c r="D353" s="183">
        <f>Database!S353</f>
        <v/>
      </c>
      <c r="E353" s="182">
        <f>IF($B353="","",IFERROR(BDP($B353&amp;" Action","CP037"),""))</f>
        <v/>
      </c>
      <c r="F353" s="183">
        <f>Database!T353</f>
        <v/>
      </c>
      <c r="G353" s="182">
        <f>IF($B353="","",IFERROR(BDP($B353&amp;" Action","GREENSHOE_FACILITY"),""))</f>
        <v/>
      </c>
      <c r="H353" s="182">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76">
        <f>Database!Q353</f>
        <v/>
      </c>
      <c r="O353" s="24">
        <f>IFERROR(BDH(Database!$A353&amp;" HK Equity","PE_RATIO",Database!$H353,Database!$H353),"")</f>
        <v/>
      </c>
      <c r="P353" s="180">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82">
        <f>IF($B354="","",IFERROR(BDP($B354&amp;" Action","CP036"),""))</f>
        <v/>
      </c>
      <c r="D354" s="183">
        <f>Database!S354</f>
        <v/>
      </c>
      <c r="E354" s="182">
        <f>IF($B354="","",IFERROR(BDP($B354&amp;" Action","CP037"),""))</f>
        <v/>
      </c>
      <c r="F354" s="183">
        <f>Database!T354</f>
        <v/>
      </c>
      <c r="G354" s="182">
        <f>IF($B354="","",IFERROR(BDP($B354&amp;" Action","GREENSHOE_FACILITY"),""))</f>
        <v/>
      </c>
      <c r="H354" s="182">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76">
        <f>Database!Q354</f>
        <v/>
      </c>
      <c r="O354" s="24">
        <f>IFERROR(BDH(Database!$A354&amp;" HK Equity","PE_RATIO",Database!$H354,Database!$H354),"")</f>
        <v/>
      </c>
      <c r="P354" s="180">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82">
        <f>IF($B355="","",IFERROR(BDP($B355&amp;" Action","CP036"),""))</f>
        <v/>
      </c>
      <c r="D355" s="183">
        <f>Database!S355</f>
        <v/>
      </c>
      <c r="E355" s="182">
        <f>IF($B355="","",IFERROR(BDP($B355&amp;" Action","CP037"),""))</f>
        <v/>
      </c>
      <c r="F355" s="183">
        <f>Database!T355</f>
        <v/>
      </c>
      <c r="G355" s="182">
        <f>IF($B355="","",IFERROR(BDP($B355&amp;" Action","GREENSHOE_FACILITY"),""))</f>
        <v/>
      </c>
      <c r="H355" s="182">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76">
        <f>Database!Q355</f>
        <v/>
      </c>
      <c r="O355" s="24">
        <f>IFERROR(BDH(Database!$A355&amp;" HK Equity","PE_RATIO",Database!$H355,Database!$H355),"")</f>
        <v/>
      </c>
      <c r="P355" s="180">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82">
        <f>IF($B356="","",IFERROR(BDP($B356&amp;" Action","CP036"),""))</f>
        <v/>
      </c>
      <c r="D356" s="183">
        <f>Database!S356</f>
        <v/>
      </c>
      <c r="E356" s="182">
        <f>IF($B356="","",IFERROR(BDP($B356&amp;" Action","CP037"),""))</f>
        <v/>
      </c>
      <c r="F356" s="183">
        <f>Database!T356</f>
        <v/>
      </c>
      <c r="G356" s="182">
        <f>IF($B356="","",IFERROR(BDP($B356&amp;" Action","GREENSHOE_FACILITY"),""))</f>
        <v/>
      </c>
      <c r="H356" s="182">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76">
        <f>Database!Q356</f>
        <v/>
      </c>
      <c r="O356" s="24">
        <f>IFERROR(BDH(Database!$A356&amp;" HK Equity","PE_RATIO",Database!$H356,Database!$H356),"")</f>
        <v/>
      </c>
      <c r="P356" s="180">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82">
        <f>IF($B357="","",IFERROR(BDP($B357&amp;" Action","CP036"),""))</f>
        <v/>
      </c>
      <c r="D357" s="183">
        <f>Database!S357</f>
        <v/>
      </c>
      <c r="E357" s="182">
        <f>IF($B357="","",IFERROR(BDP($B357&amp;" Action","CP037"),""))</f>
        <v/>
      </c>
      <c r="F357" s="183">
        <f>Database!T357</f>
        <v/>
      </c>
      <c r="G357" s="182">
        <f>IF($B357="","",IFERROR(BDP($B357&amp;" Action","GREENSHOE_FACILITY"),""))</f>
        <v/>
      </c>
      <c r="H357" s="182">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76">
        <f>Database!Q357</f>
        <v/>
      </c>
      <c r="O357" s="24">
        <f>IFERROR(BDH(Database!$A357&amp;" HK Equity","PE_RATIO",Database!$H357,Database!$H357),"")</f>
        <v/>
      </c>
      <c r="P357" s="180">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82">
        <f>IF($B358="","",IFERROR(BDP($B358&amp;" Action","CP036"),""))</f>
        <v/>
      </c>
      <c r="D358" s="183">
        <f>Database!S358</f>
        <v/>
      </c>
      <c r="E358" s="182">
        <f>IF($B358="","",IFERROR(BDP($B358&amp;" Action","CP037"),""))</f>
        <v/>
      </c>
      <c r="F358" s="183">
        <f>Database!T358</f>
        <v/>
      </c>
      <c r="G358" s="182">
        <f>IF($B358="","",IFERROR(BDP($B358&amp;" Action","GREENSHOE_FACILITY"),""))</f>
        <v/>
      </c>
      <c r="H358" s="182">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76">
        <f>Database!Q358</f>
        <v/>
      </c>
      <c r="O358" s="24">
        <f>IFERROR(BDH(Database!$A358&amp;" HK Equity","PE_RATIO",Database!$H358,Database!$H358),"")</f>
        <v/>
      </c>
      <c r="P358" s="180">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82">
        <f>IF($B359="","",IFERROR(BDP($B359&amp;" Action","CP036"),""))</f>
        <v/>
      </c>
      <c r="D359" s="183">
        <f>Database!S359</f>
        <v/>
      </c>
      <c r="E359" s="182">
        <f>IF($B359="","",IFERROR(BDP($B359&amp;" Action","CP037"),""))</f>
        <v/>
      </c>
      <c r="F359" s="183">
        <f>Database!T359</f>
        <v/>
      </c>
      <c r="G359" s="182">
        <f>IF($B359="","",IFERROR(BDP($B359&amp;" Action","GREENSHOE_FACILITY"),""))</f>
        <v/>
      </c>
      <c r="H359" s="182">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76">
        <f>Database!Q359</f>
        <v/>
      </c>
      <c r="O359" s="24">
        <f>IFERROR(BDH(Database!$A359&amp;" HK Equity","PE_RATIO",Database!$H359,Database!$H359),"")</f>
        <v/>
      </c>
      <c r="P359" s="180">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82">
        <f>IF($B360="","",IFERROR(BDP($B360&amp;" Action","CP036"),""))</f>
        <v/>
      </c>
      <c r="D360" s="183">
        <f>Database!S360</f>
        <v/>
      </c>
      <c r="E360" s="182">
        <f>IF($B360="","",IFERROR(BDP($B360&amp;" Action","CP037"),""))</f>
        <v/>
      </c>
      <c r="F360" s="183">
        <f>Database!T360</f>
        <v/>
      </c>
      <c r="G360" s="182">
        <f>IF($B360="","",IFERROR(BDP($B360&amp;" Action","GREENSHOE_FACILITY"),""))</f>
        <v/>
      </c>
      <c r="H360" s="182">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76">
        <f>Database!Q360</f>
        <v/>
      </c>
      <c r="O360" s="24">
        <f>IFERROR(BDH(Database!$A360&amp;" HK Equity","PE_RATIO",Database!$H360,Database!$H360),"")</f>
        <v/>
      </c>
      <c r="P360" s="180">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82">
        <f>IF($B361="","",IFERROR(BDP($B361&amp;" Action","CP036"),""))</f>
        <v/>
      </c>
      <c r="D361" s="183">
        <f>Database!S361</f>
        <v/>
      </c>
      <c r="E361" s="182">
        <f>IF($B361="","",IFERROR(BDP($B361&amp;" Action","CP037"),""))</f>
        <v/>
      </c>
      <c r="F361" s="183">
        <f>Database!T361</f>
        <v/>
      </c>
      <c r="G361" s="182">
        <f>IF($B361="","",IFERROR(BDP($B361&amp;" Action","GREENSHOE_FACILITY"),""))</f>
        <v/>
      </c>
      <c r="H361" s="182">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76">
        <f>Database!Q361</f>
        <v/>
      </c>
      <c r="O361" s="24">
        <f>IFERROR(BDH(Database!$A361&amp;" HK Equity","PE_RATIO",Database!$H361,Database!$H361),"")</f>
        <v/>
      </c>
      <c r="P361" s="180">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82">
        <f>IF($B362="","",IFERROR(BDP($B362&amp;" Action","CP036"),""))</f>
        <v/>
      </c>
      <c r="D362" s="183">
        <f>Database!S362</f>
        <v/>
      </c>
      <c r="E362" s="182">
        <f>IF($B362="","",IFERROR(BDP($B362&amp;" Action","CP037"),""))</f>
        <v/>
      </c>
      <c r="F362" s="183">
        <f>Database!T362</f>
        <v/>
      </c>
      <c r="G362" s="182">
        <f>IF($B362="","",IFERROR(BDP($B362&amp;" Action","GREENSHOE_FACILITY"),""))</f>
        <v/>
      </c>
      <c r="H362" s="182">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76">
        <f>Database!Q362</f>
        <v/>
      </c>
      <c r="O362" s="24">
        <f>IFERROR(BDH(Database!$A362&amp;" HK Equity","PE_RATIO",Database!$H362,Database!$H362),"")</f>
        <v/>
      </c>
      <c r="P362" s="180">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82">
        <f>IF($B363="","",IFERROR(BDP($B363&amp;" Action","CP036"),""))</f>
        <v/>
      </c>
      <c r="D363" s="183">
        <f>Database!S363</f>
        <v/>
      </c>
      <c r="E363" s="182">
        <f>IF($B363="","",IFERROR(BDP($B363&amp;" Action","CP037"),""))</f>
        <v/>
      </c>
      <c r="F363" s="183">
        <f>Database!T363</f>
        <v/>
      </c>
      <c r="G363" s="182">
        <f>IF($B363="","",IFERROR(BDP($B363&amp;" Action","GREENSHOE_FACILITY"),""))</f>
        <v/>
      </c>
      <c r="H363" s="182">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76">
        <f>Database!Q363</f>
        <v/>
      </c>
      <c r="O363" s="24">
        <f>IFERROR(BDH(Database!$A363&amp;" HK Equity","PE_RATIO",Database!$H363,Database!$H363),"")</f>
        <v/>
      </c>
      <c r="P363" s="180">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82">
        <f>IF($B364="","",IFERROR(BDP($B364&amp;" Action","CP036"),""))</f>
        <v/>
      </c>
      <c r="D364" s="183">
        <f>Database!S364</f>
        <v/>
      </c>
      <c r="E364" s="182">
        <f>IF($B364="","",IFERROR(BDP($B364&amp;" Action","CP037"),""))</f>
        <v/>
      </c>
      <c r="F364" s="183">
        <f>Database!T364</f>
        <v/>
      </c>
      <c r="G364" s="182">
        <f>IF($B364="","",IFERROR(BDP($B364&amp;" Action","GREENSHOE_FACILITY"),""))</f>
        <v/>
      </c>
      <c r="H364" s="182">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76">
        <f>Database!Q364</f>
        <v/>
      </c>
      <c r="O364" s="24">
        <f>IFERROR(BDH(Database!$A364&amp;" HK Equity","PE_RATIO",Database!$H364,Database!$H364),"")</f>
        <v/>
      </c>
      <c r="P364" s="180">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82">
        <f>IF($B365="","",IFERROR(BDP($B365&amp;" Action","CP036"),""))</f>
        <v/>
      </c>
      <c r="D365" s="183">
        <f>Database!S365</f>
        <v/>
      </c>
      <c r="E365" s="182">
        <f>IF($B365="","",IFERROR(BDP($B365&amp;" Action","CP037"),""))</f>
        <v/>
      </c>
      <c r="F365" s="183">
        <f>Database!T365</f>
        <v/>
      </c>
      <c r="G365" s="182">
        <f>IF($B365="","",IFERROR(BDP($B365&amp;" Action","GREENSHOE_FACILITY"),""))</f>
        <v/>
      </c>
      <c r="H365" s="182">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76">
        <f>Database!Q365</f>
        <v/>
      </c>
      <c r="O365" s="24">
        <f>IFERROR(BDH(Database!$A365&amp;" HK Equity","PE_RATIO",Database!$H365,Database!$H365),"")</f>
        <v/>
      </c>
      <c r="P365" s="180">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82">
        <f>IF($B366="","",IFERROR(BDP($B366&amp;" Action","CP036"),""))</f>
        <v/>
      </c>
      <c r="D366" s="183">
        <f>Database!S366</f>
        <v/>
      </c>
      <c r="E366" s="182">
        <f>IF($B366="","",IFERROR(BDP($B366&amp;" Action","CP037"),""))</f>
        <v/>
      </c>
      <c r="F366" s="183">
        <f>Database!T366</f>
        <v/>
      </c>
      <c r="G366" s="182">
        <f>IF($B366="","",IFERROR(BDP($B366&amp;" Action","GREENSHOE_FACILITY"),""))</f>
        <v/>
      </c>
      <c r="H366" s="182">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76">
        <f>Database!Q366</f>
        <v/>
      </c>
      <c r="O366" s="24">
        <f>IFERROR(BDH(Database!$A366&amp;" HK Equity","PE_RATIO",Database!$H366,Database!$H366),"")</f>
        <v/>
      </c>
      <c r="P366" s="180">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82">
        <f>IF($B367="","",IFERROR(BDP($B367&amp;" Action","CP036"),""))</f>
        <v/>
      </c>
      <c r="D367" s="183">
        <f>Database!S367</f>
        <v/>
      </c>
      <c r="E367" s="182">
        <f>IF($B367="","",IFERROR(BDP($B367&amp;" Action","CP037"),""))</f>
        <v/>
      </c>
      <c r="F367" s="183">
        <f>Database!T367</f>
        <v/>
      </c>
      <c r="G367" s="182">
        <f>IF($B367="","",IFERROR(BDP($B367&amp;" Action","GREENSHOE_FACILITY"),""))</f>
        <v/>
      </c>
      <c r="H367" s="182">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76">
        <f>Database!Q367</f>
        <v/>
      </c>
      <c r="O367" s="24">
        <f>IFERROR(BDH(Database!$A367&amp;" HK Equity","PE_RATIO",Database!$H367,Database!$H367),"")</f>
        <v/>
      </c>
      <c r="P367" s="180">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82">
        <f>IF($B368="","",IFERROR(BDP($B368&amp;" Action","CP036"),""))</f>
        <v/>
      </c>
      <c r="D368" s="183">
        <f>Database!S368</f>
        <v/>
      </c>
      <c r="E368" s="182">
        <f>IF($B368="","",IFERROR(BDP($B368&amp;" Action","CP037"),""))</f>
        <v/>
      </c>
      <c r="F368" s="183">
        <f>Database!T368</f>
        <v/>
      </c>
      <c r="G368" s="182">
        <f>IF($B368="","",IFERROR(BDP($B368&amp;" Action","GREENSHOE_FACILITY"),""))</f>
        <v/>
      </c>
      <c r="H368" s="182">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76">
        <f>Database!Q368</f>
        <v/>
      </c>
      <c r="O368" s="24">
        <f>IFERROR(BDH(Database!$A368&amp;" HK Equity","PE_RATIO",Database!$H368,Database!$H368),"")</f>
        <v/>
      </c>
      <c r="P368" s="180">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82">
        <f>IF($B369="","",IFERROR(BDP($B369&amp;" Action","CP036"),""))</f>
        <v/>
      </c>
      <c r="D369" s="183">
        <f>Database!S369</f>
        <v/>
      </c>
      <c r="E369" s="182">
        <f>IF($B369="","",IFERROR(BDP($B369&amp;" Action","CP037"),""))</f>
        <v/>
      </c>
      <c r="F369" s="183">
        <f>Database!T369</f>
        <v/>
      </c>
      <c r="G369" s="182">
        <f>IF($B369="","",IFERROR(BDP($B369&amp;" Action","GREENSHOE_FACILITY"),""))</f>
        <v/>
      </c>
      <c r="H369" s="182">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76">
        <f>Database!Q369</f>
        <v/>
      </c>
      <c r="O369" s="24">
        <f>IFERROR(BDH(Database!$A369&amp;" HK Equity","PE_RATIO",Database!$H369,Database!$H369),"")</f>
        <v/>
      </c>
      <c r="P369" s="180">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82">
        <f>IF($B370="","",IFERROR(BDP($B370&amp;" Action","CP036"),""))</f>
        <v/>
      </c>
      <c r="D370" s="183">
        <f>Database!S370</f>
        <v/>
      </c>
      <c r="E370" s="182">
        <f>IF($B370="","",IFERROR(BDP($B370&amp;" Action","CP037"),""))</f>
        <v/>
      </c>
      <c r="F370" s="183">
        <f>Database!T370</f>
        <v/>
      </c>
      <c r="G370" s="182">
        <f>IF($B370="","",IFERROR(BDP($B370&amp;" Action","GREENSHOE_FACILITY"),""))</f>
        <v/>
      </c>
      <c r="H370" s="182">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76">
        <f>Database!Q370</f>
        <v/>
      </c>
      <c r="O370" s="24">
        <f>IFERROR(BDH(Database!$A370&amp;" HK Equity","PE_RATIO",Database!$H370,Database!$H370),"")</f>
        <v/>
      </c>
      <c r="P370" s="180">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82">
        <f>IF($B371="","",IFERROR(BDP($B371&amp;" Action","CP036"),""))</f>
        <v/>
      </c>
      <c r="D371" s="183">
        <f>Database!S371</f>
        <v/>
      </c>
      <c r="E371" s="182">
        <f>IF($B371="","",IFERROR(BDP($B371&amp;" Action","CP037"),""))</f>
        <v/>
      </c>
      <c r="F371" s="183">
        <f>Database!T371</f>
        <v/>
      </c>
      <c r="G371" s="182">
        <f>IF($B371="","",IFERROR(BDP($B371&amp;" Action","GREENSHOE_FACILITY"),""))</f>
        <v/>
      </c>
      <c r="H371" s="182">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76">
        <f>Database!Q371</f>
        <v/>
      </c>
      <c r="O371" s="24">
        <f>IFERROR(BDH(Database!$A371&amp;" HK Equity","PE_RATIO",Database!$H371,Database!$H371),"")</f>
        <v/>
      </c>
      <c r="P371" s="180">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82">
        <f>IF($B372="","",IFERROR(BDP($B372&amp;" Action","CP036"),""))</f>
        <v/>
      </c>
      <c r="D372" s="183">
        <f>Database!S372</f>
        <v/>
      </c>
      <c r="E372" s="182">
        <f>IF($B372="","",IFERROR(BDP($B372&amp;" Action","CP037"),""))</f>
        <v/>
      </c>
      <c r="F372" s="183">
        <f>Database!T372</f>
        <v/>
      </c>
      <c r="G372" s="182">
        <f>IF($B372="","",IFERROR(BDP($B372&amp;" Action","GREENSHOE_FACILITY"),""))</f>
        <v/>
      </c>
      <c r="H372" s="182">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76">
        <f>Database!Q372</f>
        <v/>
      </c>
      <c r="O372" s="24">
        <f>IFERROR(BDH(Database!$A372&amp;" HK Equity","PE_RATIO",Database!$H372,Database!$H372),"")</f>
        <v/>
      </c>
      <c r="P372" s="180">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82">
        <f>IF($B373="","",IFERROR(BDP($B373&amp;" Action","CP036"),""))</f>
        <v/>
      </c>
      <c r="D373" s="183">
        <f>Database!S373</f>
        <v/>
      </c>
      <c r="E373" s="182">
        <f>IF($B373="","",IFERROR(BDP($B373&amp;" Action","CP037"),""))</f>
        <v/>
      </c>
      <c r="F373" s="183">
        <f>Database!T373</f>
        <v/>
      </c>
      <c r="G373" s="182">
        <f>IF($B373="","",IFERROR(BDP($B373&amp;" Action","GREENSHOE_FACILITY"),""))</f>
        <v/>
      </c>
      <c r="H373" s="182">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76">
        <f>Database!Q373</f>
        <v/>
      </c>
      <c r="O373" s="24">
        <f>IFERROR(BDH(Database!$A373&amp;" HK Equity","PE_RATIO",Database!$H373,Database!$H373),"")</f>
        <v/>
      </c>
      <c r="P373" s="180">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82">
        <f>IF($B374="","",IFERROR(BDP($B374&amp;" Action","CP036"),""))</f>
        <v/>
      </c>
      <c r="D374" s="183">
        <f>Database!S374</f>
        <v/>
      </c>
      <c r="E374" s="182">
        <f>IF($B374="","",IFERROR(BDP($B374&amp;" Action","CP037"),""))</f>
        <v/>
      </c>
      <c r="F374" s="183">
        <f>Database!T374</f>
        <v/>
      </c>
      <c r="G374" s="182">
        <f>IF($B374="","",IFERROR(BDP($B374&amp;" Action","GREENSHOE_FACILITY"),""))</f>
        <v/>
      </c>
      <c r="H374" s="182">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76">
        <f>Database!Q374</f>
        <v/>
      </c>
      <c r="O374" s="24">
        <f>IFERROR(BDH(Database!$A374&amp;" HK Equity","PE_RATIO",Database!$H374,Database!$H374),"")</f>
        <v/>
      </c>
      <c r="P374" s="180">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82">
        <f>IF($B375="","",IFERROR(BDP($B375&amp;" Action","CP036"),""))</f>
        <v/>
      </c>
      <c r="D375" s="183">
        <f>Database!S375</f>
        <v/>
      </c>
      <c r="E375" s="182">
        <f>IF($B375="","",IFERROR(BDP($B375&amp;" Action","CP037"),""))</f>
        <v/>
      </c>
      <c r="F375" s="183">
        <f>Database!T375</f>
        <v/>
      </c>
      <c r="G375" s="182">
        <f>IF($B375="","",IFERROR(BDP($B375&amp;" Action","GREENSHOE_FACILITY"),""))</f>
        <v/>
      </c>
      <c r="H375" s="182">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76">
        <f>Database!Q375</f>
        <v/>
      </c>
      <c r="O375" s="24">
        <f>IFERROR(BDH(Database!$A375&amp;" HK Equity","PE_RATIO",Database!$H375,Database!$H375),"")</f>
        <v/>
      </c>
      <c r="P375" s="180">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82">
        <f>IF($B376="","",IFERROR(BDP($B376&amp;" Action","CP036"),""))</f>
        <v/>
      </c>
      <c r="D376" s="183">
        <f>Database!S376</f>
        <v/>
      </c>
      <c r="E376" s="182">
        <f>IF($B376="","",IFERROR(BDP($B376&amp;" Action","CP037"),""))</f>
        <v/>
      </c>
      <c r="F376" s="183">
        <f>Database!T376</f>
        <v/>
      </c>
      <c r="G376" s="182">
        <f>IF($B376="","",IFERROR(BDP($B376&amp;" Action","GREENSHOE_FACILITY"),""))</f>
        <v/>
      </c>
      <c r="H376" s="182">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76">
        <f>Database!Q376</f>
        <v/>
      </c>
      <c r="O376" s="24">
        <f>IFERROR(BDH(Database!$A376&amp;" HK Equity","PE_RATIO",Database!$H376,Database!$H376),"")</f>
        <v/>
      </c>
      <c r="P376" s="180">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82">
        <f>IF($B377="","",IFERROR(BDP($B377&amp;" Action","CP036"),""))</f>
        <v/>
      </c>
      <c r="D377" s="183">
        <f>Database!S377</f>
        <v/>
      </c>
      <c r="E377" s="182">
        <f>IF($B377="","",IFERROR(BDP($B377&amp;" Action","CP037"),""))</f>
        <v/>
      </c>
      <c r="F377" s="183">
        <f>Database!T377</f>
        <v/>
      </c>
      <c r="G377" s="182">
        <f>IF($B377="","",IFERROR(BDP($B377&amp;" Action","GREENSHOE_FACILITY"),""))</f>
        <v/>
      </c>
      <c r="H377" s="182">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76">
        <f>Database!Q377</f>
        <v/>
      </c>
      <c r="O377" s="24">
        <f>IFERROR(BDH(Database!$A377&amp;" HK Equity","PE_RATIO",Database!$H377,Database!$H377),"")</f>
        <v/>
      </c>
      <c r="P377" s="180">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82">
        <f>IF($B378="","",IFERROR(BDP($B378&amp;" Action","CP036"),""))</f>
        <v/>
      </c>
      <c r="D378" s="183">
        <f>Database!S378</f>
        <v/>
      </c>
      <c r="E378" s="182">
        <f>IF($B378="","",IFERROR(BDP($B378&amp;" Action","CP037"),""))</f>
        <v/>
      </c>
      <c r="F378" s="183">
        <f>Database!T378</f>
        <v/>
      </c>
      <c r="G378" s="182">
        <f>IF($B378="","",IFERROR(BDP($B378&amp;" Action","GREENSHOE_FACILITY"),""))</f>
        <v/>
      </c>
      <c r="H378" s="182">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76">
        <f>Database!Q378</f>
        <v/>
      </c>
      <c r="O378" s="24">
        <f>IFERROR(BDH(Database!$A378&amp;" HK Equity","PE_RATIO",Database!$H378,Database!$H378),"")</f>
        <v/>
      </c>
      <c r="P378" s="180">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82">
        <f>IF($B379="","",IFERROR(BDP($B379&amp;" Action","CP036"),""))</f>
        <v/>
      </c>
      <c r="D379" s="183">
        <f>Database!S379</f>
        <v/>
      </c>
      <c r="E379" s="182">
        <f>IF($B379="","",IFERROR(BDP($B379&amp;" Action","CP037"),""))</f>
        <v/>
      </c>
      <c r="F379" s="183">
        <f>Database!T379</f>
        <v/>
      </c>
      <c r="G379" s="182">
        <f>IF($B379="","",IFERROR(BDP($B379&amp;" Action","GREENSHOE_FACILITY"),""))</f>
        <v/>
      </c>
      <c r="H379" s="182">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76">
        <f>Database!Q379</f>
        <v/>
      </c>
      <c r="O379" s="24">
        <f>IFERROR(BDH(Database!$A379&amp;" HK Equity","PE_RATIO",Database!$H379,Database!$H379),"")</f>
        <v/>
      </c>
      <c r="P379" s="180">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82">
        <f>IF($B380="","",IFERROR(BDP($B380&amp;" Action","CP036"),""))</f>
        <v/>
      </c>
      <c r="D380" s="183">
        <f>Database!S380</f>
        <v/>
      </c>
      <c r="E380" s="182">
        <f>IF($B380="","",IFERROR(BDP($B380&amp;" Action","CP037"),""))</f>
        <v/>
      </c>
      <c r="F380" s="183">
        <f>Database!T380</f>
        <v/>
      </c>
      <c r="G380" s="182">
        <f>IF($B380="","",IFERROR(BDP($B380&amp;" Action","GREENSHOE_FACILITY"),""))</f>
        <v/>
      </c>
      <c r="H380" s="182">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76">
        <f>Database!Q380</f>
        <v/>
      </c>
      <c r="O380" s="24">
        <f>IFERROR(BDH(Database!$A380&amp;" HK Equity","PE_RATIO",Database!$H380,Database!$H380),"")</f>
        <v/>
      </c>
      <c r="P380" s="180">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82">
        <f>IF($B381="","",IFERROR(BDP($B381&amp;" Action","CP036"),""))</f>
        <v/>
      </c>
      <c r="D381" s="183">
        <f>Database!S381</f>
        <v/>
      </c>
      <c r="E381" s="182">
        <f>IF($B381="","",IFERROR(BDP($B381&amp;" Action","CP037"),""))</f>
        <v/>
      </c>
      <c r="F381" s="183">
        <f>Database!T381</f>
        <v/>
      </c>
      <c r="G381" s="182">
        <f>IF($B381="","",IFERROR(BDP($B381&amp;" Action","GREENSHOE_FACILITY"),""))</f>
        <v/>
      </c>
      <c r="H381" s="182">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76">
        <f>Database!Q381</f>
        <v/>
      </c>
      <c r="O381" s="24">
        <f>IFERROR(BDH(Database!$A381&amp;" HK Equity","PE_RATIO",Database!$H381,Database!$H381),"")</f>
        <v/>
      </c>
      <c r="P381" s="180">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82">
        <f>IF($B382="","",IFERROR(BDP($B382&amp;" Action","CP036"),""))</f>
        <v/>
      </c>
      <c r="D382" s="183">
        <f>Database!S382</f>
        <v/>
      </c>
      <c r="E382" s="182">
        <f>IF($B382="","",IFERROR(BDP($B382&amp;" Action","CP037"),""))</f>
        <v/>
      </c>
      <c r="F382" s="183">
        <f>Database!T382</f>
        <v/>
      </c>
      <c r="G382" s="182">
        <f>IF($B382="","",IFERROR(BDP($B382&amp;" Action","GREENSHOE_FACILITY"),""))</f>
        <v/>
      </c>
      <c r="H382" s="182">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76">
        <f>Database!Q382</f>
        <v/>
      </c>
      <c r="O382" s="24">
        <f>IFERROR(BDH(Database!$A382&amp;" HK Equity","PE_RATIO",Database!$H382,Database!$H382),"")</f>
        <v/>
      </c>
      <c r="P382" s="180">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82">
        <f>IF($B383="","",IFERROR(BDP($B383&amp;" Action","CP036"),""))</f>
        <v/>
      </c>
      <c r="D383" s="183">
        <f>Database!S383</f>
        <v/>
      </c>
      <c r="E383" s="182">
        <f>IF($B383="","",IFERROR(BDP($B383&amp;" Action","CP037"),""))</f>
        <v/>
      </c>
      <c r="F383" s="183">
        <f>Database!T383</f>
        <v/>
      </c>
      <c r="G383" s="182">
        <f>IF($B383="","",IFERROR(BDP($B383&amp;" Action","GREENSHOE_FACILITY"),""))</f>
        <v/>
      </c>
      <c r="H383" s="182">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76">
        <f>Database!Q383</f>
        <v/>
      </c>
      <c r="O383" s="24">
        <f>IFERROR(BDH(Database!$A383&amp;" HK Equity","PE_RATIO",Database!$H383,Database!$H383),"")</f>
        <v/>
      </c>
      <c r="P383" s="180">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82">
        <f>IF($B384="","",IFERROR(BDP($B384&amp;" Action","CP036"),""))</f>
        <v/>
      </c>
      <c r="D384" s="183">
        <f>Database!S384</f>
        <v/>
      </c>
      <c r="E384" s="182">
        <f>IF($B384="","",IFERROR(BDP($B384&amp;" Action","CP037"),""))</f>
        <v/>
      </c>
      <c r="F384" s="183">
        <f>Database!T384</f>
        <v/>
      </c>
      <c r="G384" s="182">
        <f>IF($B384="","",IFERROR(BDP($B384&amp;" Action","GREENSHOE_FACILITY"),""))</f>
        <v/>
      </c>
      <c r="H384" s="182">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76">
        <f>Database!Q384</f>
        <v/>
      </c>
      <c r="O384" s="24">
        <f>IFERROR(BDH(Database!$A384&amp;" HK Equity","PE_RATIO",Database!$H384,Database!$H384),"")</f>
        <v/>
      </c>
      <c r="P384" s="180">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82">
        <f>IF($B385="","",IFERROR(BDP($B385&amp;" Action","CP036"),""))</f>
        <v/>
      </c>
      <c r="D385" s="183">
        <f>Database!S385</f>
        <v/>
      </c>
      <c r="E385" s="182">
        <f>IF($B385="","",IFERROR(BDP($B385&amp;" Action","CP037"),""))</f>
        <v/>
      </c>
      <c r="F385" s="183">
        <f>Database!T385</f>
        <v/>
      </c>
      <c r="G385" s="182">
        <f>IF($B385="","",IFERROR(BDP($B385&amp;" Action","GREENSHOE_FACILITY"),""))</f>
        <v/>
      </c>
      <c r="H385" s="182">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76">
        <f>Database!Q385</f>
        <v/>
      </c>
      <c r="O385" s="24">
        <f>IFERROR(BDH(Database!$A385&amp;" HK Equity","PE_RATIO",Database!$H385,Database!$H385),"")</f>
        <v/>
      </c>
      <c r="P385" s="180">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82">
        <f>IF($B386="","",IFERROR(BDP($B386&amp;" Action","CP036"),""))</f>
        <v/>
      </c>
      <c r="D386" s="183">
        <f>Database!S386</f>
        <v/>
      </c>
      <c r="E386" s="182">
        <f>IF($B386="","",IFERROR(BDP($B386&amp;" Action","CP037"),""))</f>
        <v/>
      </c>
      <c r="F386" s="183">
        <f>Database!T386</f>
        <v/>
      </c>
      <c r="G386" s="182">
        <f>IF($B386="","",IFERROR(BDP($B386&amp;" Action","GREENSHOE_FACILITY"),""))</f>
        <v/>
      </c>
      <c r="H386" s="182">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76">
        <f>Database!Q386</f>
        <v/>
      </c>
      <c r="O386" s="24">
        <f>IFERROR(BDH(Database!$A386&amp;" HK Equity","PE_RATIO",Database!$H386,Database!$H386),"")</f>
        <v/>
      </c>
      <c r="P386" s="180">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82">
        <f>IF($B387="","",IFERROR(BDP($B387&amp;" Action","CP036"),""))</f>
        <v/>
      </c>
      <c r="D387" s="183">
        <f>Database!S387</f>
        <v/>
      </c>
      <c r="E387" s="182">
        <f>IF($B387="","",IFERROR(BDP($B387&amp;" Action","CP037"),""))</f>
        <v/>
      </c>
      <c r="F387" s="183">
        <f>Database!T387</f>
        <v/>
      </c>
      <c r="G387" s="182">
        <f>IF($B387="","",IFERROR(BDP($B387&amp;" Action","GREENSHOE_FACILITY"),""))</f>
        <v/>
      </c>
      <c r="H387" s="182">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76">
        <f>Database!Q387</f>
        <v/>
      </c>
      <c r="O387" s="24">
        <f>IFERROR(BDH(Database!$A387&amp;" HK Equity","PE_RATIO",Database!$H387,Database!$H387),"")</f>
        <v/>
      </c>
      <c r="P387" s="180">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82">
        <f>IF($B388="","",IFERROR(BDP($B388&amp;" Action","CP036"),""))</f>
        <v/>
      </c>
      <c r="D388" s="183">
        <f>Database!S388</f>
        <v/>
      </c>
      <c r="E388" s="182">
        <f>IF($B388="","",IFERROR(BDP($B388&amp;" Action","CP037"),""))</f>
        <v/>
      </c>
      <c r="F388" s="183">
        <f>Database!T388</f>
        <v/>
      </c>
      <c r="G388" s="182">
        <f>IF($B388="","",IFERROR(BDP($B388&amp;" Action","GREENSHOE_FACILITY"),""))</f>
        <v/>
      </c>
      <c r="H388" s="182">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76">
        <f>Database!Q388</f>
        <v/>
      </c>
      <c r="O388" s="24">
        <f>IFERROR(BDH(Database!$A388&amp;" HK Equity","PE_RATIO",Database!$H388,Database!$H388),"")</f>
        <v/>
      </c>
      <c r="P388" s="180">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82">
        <f>IF($B389="","",IFERROR(BDP($B389&amp;" Action","CP036"),""))</f>
        <v/>
      </c>
      <c r="D389" s="183">
        <f>Database!S389</f>
        <v/>
      </c>
      <c r="E389" s="182">
        <f>IF($B389="","",IFERROR(BDP($B389&amp;" Action","CP037"),""))</f>
        <v/>
      </c>
      <c r="F389" s="183">
        <f>Database!T389</f>
        <v/>
      </c>
      <c r="G389" s="182">
        <f>IF($B389="","",IFERROR(BDP($B389&amp;" Action","GREENSHOE_FACILITY"),""))</f>
        <v/>
      </c>
      <c r="H389" s="182">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76">
        <f>Database!Q389</f>
        <v/>
      </c>
      <c r="O389" s="24">
        <f>IFERROR(BDH(Database!$A389&amp;" HK Equity","PE_RATIO",Database!$H389,Database!$H389),"")</f>
        <v/>
      </c>
      <c r="P389" s="180">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82">
        <f>IF($B390="","",IFERROR(BDP($B390&amp;" Action","CP036"),""))</f>
        <v/>
      </c>
      <c r="D390" s="183">
        <f>Database!S390</f>
        <v/>
      </c>
      <c r="E390" s="182">
        <f>IF($B390="","",IFERROR(BDP($B390&amp;" Action","CP037"),""))</f>
        <v/>
      </c>
      <c r="F390" s="183">
        <f>Database!T390</f>
        <v/>
      </c>
      <c r="G390" s="182">
        <f>IF($B390="","",IFERROR(BDP($B390&amp;" Action","GREENSHOE_FACILITY"),""))</f>
        <v/>
      </c>
      <c r="H390" s="182">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76">
        <f>Database!Q390</f>
        <v/>
      </c>
      <c r="O390" s="24">
        <f>IFERROR(BDH(Database!$A390&amp;" HK Equity","PE_RATIO",Database!$H390,Database!$H390),"")</f>
        <v/>
      </c>
      <c r="P390" s="180">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82">
        <f>IF($B391="","",IFERROR(BDP($B391&amp;" Action","CP036"),""))</f>
        <v/>
      </c>
      <c r="D391" s="183">
        <f>Database!S391</f>
        <v/>
      </c>
      <c r="E391" s="182">
        <f>IF($B391="","",IFERROR(BDP($B391&amp;" Action","CP037"),""))</f>
        <v/>
      </c>
      <c r="F391" s="183">
        <f>Database!T391</f>
        <v/>
      </c>
      <c r="G391" s="182">
        <f>IF($B391="","",IFERROR(BDP($B391&amp;" Action","GREENSHOE_FACILITY"),""))</f>
        <v/>
      </c>
      <c r="H391" s="182">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76">
        <f>Database!Q391</f>
        <v/>
      </c>
      <c r="O391" s="24">
        <f>IFERROR(BDH(Database!$A391&amp;" HK Equity","PE_RATIO",Database!$H391,Database!$H391),"")</f>
        <v/>
      </c>
      <c r="P391" s="180">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82">
        <f>IF($B392="","",IFERROR(BDP($B392&amp;" Action","CP036"),""))</f>
        <v/>
      </c>
      <c r="D392" s="183">
        <f>Database!S392</f>
        <v/>
      </c>
      <c r="E392" s="182">
        <f>IF($B392="","",IFERROR(BDP($B392&amp;" Action","CP037"),""))</f>
        <v/>
      </c>
      <c r="F392" s="183">
        <f>Database!T392</f>
        <v/>
      </c>
      <c r="G392" s="182">
        <f>IF($B392="","",IFERROR(BDP($B392&amp;" Action","GREENSHOE_FACILITY"),""))</f>
        <v/>
      </c>
      <c r="H392" s="182">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76">
        <f>Database!Q392</f>
        <v/>
      </c>
      <c r="O392" s="24">
        <f>IFERROR(BDH(Database!$A392&amp;" HK Equity","PE_RATIO",Database!$H392,Database!$H392),"")</f>
        <v/>
      </c>
      <c r="P392" s="180">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82">
        <f>IF($B393="","",IFERROR(BDP($B393&amp;" Action","CP036"),""))</f>
        <v/>
      </c>
      <c r="D393" s="183">
        <f>Database!S393</f>
        <v/>
      </c>
      <c r="E393" s="182">
        <f>IF($B393="","",IFERROR(BDP($B393&amp;" Action","CP037"),""))</f>
        <v/>
      </c>
      <c r="F393" s="183">
        <f>Database!T393</f>
        <v/>
      </c>
      <c r="G393" s="182">
        <f>IF($B393="","",IFERROR(BDP($B393&amp;" Action","GREENSHOE_FACILITY"),""))</f>
        <v/>
      </c>
      <c r="H393" s="182">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76">
        <f>Database!Q393</f>
        <v/>
      </c>
      <c r="O393" s="24">
        <f>IFERROR(BDH(Database!$A393&amp;" HK Equity","PE_RATIO",Database!$H393,Database!$H393),"")</f>
        <v/>
      </c>
      <c r="P393" s="180">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82">
        <f>IF($B394="","",IFERROR(BDP($B394&amp;" Action","CP036"),""))</f>
        <v/>
      </c>
      <c r="D394" s="183">
        <f>Database!S394</f>
        <v/>
      </c>
      <c r="E394" s="182">
        <f>IF($B394="","",IFERROR(BDP($B394&amp;" Action","CP037"),""))</f>
        <v/>
      </c>
      <c r="F394" s="183">
        <f>Database!T394</f>
        <v/>
      </c>
      <c r="G394" s="182">
        <f>IF($B394="","",IFERROR(BDP($B394&amp;" Action","GREENSHOE_FACILITY"),""))</f>
        <v/>
      </c>
      <c r="H394" s="182">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76">
        <f>Database!Q394</f>
        <v/>
      </c>
      <c r="O394" s="24">
        <f>IFERROR(BDH(Database!$A394&amp;" HK Equity","PE_RATIO",Database!$H394,Database!$H394),"")</f>
        <v/>
      </c>
      <c r="P394" s="180">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82">
        <f>IF($B395="","",IFERROR(BDP($B395&amp;" Action","CP036"),""))</f>
        <v/>
      </c>
      <c r="D395" s="183">
        <f>Database!S395</f>
        <v/>
      </c>
      <c r="E395" s="182">
        <f>IF($B395="","",IFERROR(BDP($B395&amp;" Action","CP037"),""))</f>
        <v/>
      </c>
      <c r="F395" s="183">
        <f>Database!T395</f>
        <v/>
      </c>
      <c r="G395" s="182">
        <f>IF($B395="","",IFERROR(BDP($B395&amp;" Action","GREENSHOE_FACILITY"),""))</f>
        <v/>
      </c>
      <c r="H395" s="182">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76">
        <f>Database!Q395</f>
        <v/>
      </c>
      <c r="O395" s="24">
        <f>IFERROR(BDH(Database!$A395&amp;" HK Equity","PE_RATIO",Database!$H395,Database!$H395),"")</f>
        <v/>
      </c>
      <c r="P395" s="180">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82">
        <f>IF($B396="","",IFERROR(BDP($B396&amp;" Action","CP036"),""))</f>
        <v/>
      </c>
      <c r="D396" s="183">
        <f>Database!S396</f>
        <v/>
      </c>
      <c r="E396" s="182">
        <f>IF($B396="","",IFERROR(BDP($B396&amp;" Action","CP037"),""))</f>
        <v/>
      </c>
      <c r="F396" s="183">
        <f>Database!T396</f>
        <v/>
      </c>
      <c r="G396" s="182">
        <f>IF($B396="","",IFERROR(BDP($B396&amp;" Action","GREENSHOE_FACILITY"),""))</f>
        <v/>
      </c>
      <c r="H396" s="182">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76">
        <f>Database!Q396</f>
        <v/>
      </c>
      <c r="O396" s="24">
        <f>IFERROR(BDH(Database!$A396&amp;" HK Equity","PE_RATIO",Database!$H396,Database!$H396),"")</f>
        <v/>
      </c>
      <c r="P396" s="180">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82">
        <f>IF($B397="","",IFERROR(BDP($B397&amp;" Action","CP036"),""))</f>
        <v/>
      </c>
      <c r="D397" s="183">
        <f>Database!S397</f>
        <v/>
      </c>
      <c r="E397" s="182">
        <f>IF($B397="","",IFERROR(BDP($B397&amp;" Action","CP037"),""))</f>
        <v/>
      </c>
      <c r="F397" s="183">
        <f>Database!T397</f>
        <v/>
      </c>
      <c r="G397" s="182">
        <f>IF($B397="","",IFERROR(BDP($B397&amp;" Action","GREENSHOE_FACILITY"),""))</f>
        <v/>
      </c>
      <c r="H397" s="182">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76">
        <f>Database!Q397</f>
        <v/>
      </c>
      <c r="O397" s="24">
        <f>IFERROR(BDH(Database!$A397&amp;" HK Equity","PE_RATIO",Database!$H397,Database!$H397),"")</f>
        <v/>
      </c>
      <c r="P397" s="180">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82">
        <f>IF($B398="","",IFERROR(BDP($B398&amp;" Action","CP036"),""))</f>
        <v/>
      </c>
      <c r="D398" s="183">
        <f>Database!S398</f>
        <v/>
      </c>
      <c r="E398" s="182">
        <f>IF($B398="","",IFERROR(BDP($B398&amp;" Action","CP037"),""))</f>
        <v/>
      </c>
      <c r="F398" s="183">
        <f>Database!T398</f>
        <v/>
      </c>
      <c r="G398" s="182">
        <f>IF($B398="","",IFERROR(BDP($B398&amp;" Action","GREENSHOE_FACILITY"),""))</f>
        <v/>
      </c>
      <c r="H398" s="182">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76">
        <f>Database!Q398</f>
        <v/>
      </c>
      <c r="O398" s="24">
        <f>IFERROR(BDH(Database!$A398&amp;" HK Equity","PE_RATIO",Database!$H398,Database!$H398),"")</f>
        <v/>
      </c>
      <c r="P398" s="180">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82">
        <f>IF($B399="","",IFERROR(BDP($B399&amp;" Action","CP036"),""))</f>
        <v/>
      </c>
      <c r="D399" s="183">
        <f>Database!S399</f>
        <v/>
      </c>
      <c r="E399" s="182">
        <f>IF($B399="","",IFERROR(BDP($B399&amp;" Action","CP037"),""))</f>
        <v/>
      </c>
      <c r="F399" s="183">
        <f>Database!T399</f>
        <v/>
      </c>
      <c r="G399" s="182">
        <f>IF($B399="","",IFERROR(BDP($B399&amp;" Action","GREENSHOE_FACILITY"),""))</f>
        <v/>
      </c>
      <c r="H399" s="182">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76">
        <f>Database!Q399</f>
        <v/>
      </c>
      <c r="O399" s="24">
        <f>IFERROR(BDH(Database!$A399&amp;" HK Equity","PE_RATIO",Database!$H399,Database!$H399),"")</f>
        <v/>
      </c>
      <c r="P399" s="180">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82">
        <f>IF($B400="","",IFERROR(BDP($B400&amp;" Action","CP036"),""))</f>
        <v/>
      </c>
      <c r="D400" s="183">
        <f>Database!S400</f>
        <v/>
      </c>
      <c r="E400" s="182">
        <f>IF($B400="","",IFERROR(BDP($B400&amp;" Action","CP037"),""))</f>
        <v/>
      </c>
      <c r="F400" s="183">
        <f>Database!T400</f>
        <v/>
      </c>
      <c r="G400" s="182">
        <f>IF($B400="","",IFERROR(BDP($B400&amp;" Action","GREENSHOE_FACILITY"),""))</f>
        <v/>
      </c>
      <c r="H400" s="182">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76">
        <f>Database!Q400</f>
        <v/>
      </c>
      <c r="O400" s="24">
        <f>IFERROR(BDH(Database!$A400&amp;" HK Equity","PE_RATIO",Database!$H400,Database!$H400),"")</f>
        <v/>
      </c>
      <c r="P400" s="180">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82">
        <f>IF($B401="","",IFERROR(BDP($B401&amp;" Action","CP036"),""))</f>
        <v/>
      </c>
      <c r="D401" s="183">
        <f>Database!S401</f>
        <v/>
      </c>
      <c r="E401" s="182">
        <f>IF($B401="","",IFERROR(BDP($B401&amp;" Action","CP037"),""))</f>
        <v/>
      </c>
      <c r="F401" s="183">
        <f>Database!T401</f>
        <v/>
      </c>
      <c r="G401" s="182">
        <f>IF($B401="","",IFERROR(BDP($B401&amp;" Action","GREENSHOE_FACILITY"),""))</f>
        <v/>
      </c>
      <c r="H401" s="182">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76">
        <f>Database!Q401</f>
        <v/>
      </c>
      <c r="O401" s="24">
        <f>IFERROR(BDH(Database!$A401&amp;" HK Equity","PE_RATIO",Database!$H401,Database!$H401),"")</f>
        <v/>
      </c>
      <c r="P401" s="180">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82">
        <f>IF($B402="","",IFERROR(BDP($B402&amp;" Action","CP036"),""))</f>
        <v/>
      </c>
      <c r="D402" s="183">
        <f>Database!S402</f>
        <v/>
      </c>
      <c r="E402" s="182">
        <f>IF($B402="","",IFERROR(BDP($B402&amp;" Action","CP037"),""))</f>
        <v/>
      </c>
      <c r="F402" s="183">
        <f>Database!T402</f>
        <v/>
      </c>
      <c r="G402" s="182">
        <f>IF($B402="","",IFERROR(BDP($B402&amp;" Action","GREENSHOE_FACILITY"),""))</f>
        <v/>
      </c>
      <c r="H402" s="182">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76">
        <f>Database!Q402</f>
        <v/>
      </c>
      <c r="O402" s="24">
        <f>IFERROR(BDH(Database!$A402&amp;" HK Equity","PE_RATIO",Database!$H402,Database!$H402),"")</f>
        <v/>
      </c>
      <c r="P402" s="180">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82">
        <f>IF($B403="","",IFERROR(BDP($B403&amp;" Action","CP036"),""))</f>
        <v/>
      </c>
      <c r="D403" s="183">
        <f>Database!S403</f>
        <v/>
      </c>
      <c r="E403" s="182">
        <f>IF($B403="","",IFERROR(BDP($B403&amp;" Action","CP037"),""))</f>
        <v/>
      </c>
      <c r="F403" s="183">
        <f>Database!T403</f>
        <v/>
      </c>
      <c r="G403" s="182">
        <f>IF($B403="","",IFERROR(BDP($B403&amp;" Action","GREENSHOE_FACILITY"),""))</f>
        <v/>
      </c>
      <c r="H403" s="182">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76">
        <f>Database!Q403</f>
        <v/>
      </c>
      <c r="O403" s="24">
        <f>IFERROR(BDH(Database!$A403&amp;" HK Equity","PE_RATIO",Database!$H403,Database!$H403),"")</f>
        <v/>
      </c>
      <c r="P403" s="180">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82">
        <f>IF($B404="","",IFERROR(BDP($B404&amp;" Action","CP036"),""))</f>
        <v/>
      </c>
      <c r="D404" s="183">
        <f>Database!S404</f>
        <v/>
      </c>
      <c r="E404" s="182">
        <f>IF($B404="","",IFERROR(BDP($B404&amp;" Action","CP037"),""))</f>
        <v/>
      </c>
      <c r="F404" s="183">
        <f>Database!T404</f>
        <v/>
      </c>
      <c r="G404" s="182">
        <f>IF($B404="","",IFERROR(BDP($B404&amp;" Action","GREENSHOE_FACILITY"),""))</f>
        <v/>
      </c>
      <c r="H404" s="182">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76">
        <f>Database!Q404</f>
        <v/>
      </c>
      <c r="O404" s="24">
        <f>IFERROR(BDH(Database!$A404&amp;" HK Equity","PE_RATIO",Database!$H404,Database!$H404),"")</f>
        <v/>
      </c>
      <c r="P404" s="180">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82">
        <f>IF($B405="","",IFERROR(BDP($B405&amp;" Action","CP036"),""))</f>
        <v/>
      </c>
      <c r="D405" s="183">
        <f>Database!S405</f>
        <v/>
      </c>
      <c r="E405" s="182">
        <f>IF($B405="","",IFERROR(BDP($B405&amp;" Action","CP037"),""))</f>
        <v/>
      </c>
      <c r="F405" s="183">
        <f>Database!T405</f>
        <v/>
      </c>
      <c r="G405" s="182">
        <f>IF($B405="","",IFERROR(BDP($B405&amp;" Action","GREENSHOE_FACILITY"),""))</f>
        <v/>
      </c>
      <c r="H405" s="182">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76">
        <f>Database!Q405</f>
        <v/>
      </c>
      <c r="O405" s="24">
        <f>IFERROR(BDH(Database!$A405&amp;" HK Equity","PE_RATIO",Database!$H405,Database!$H405),"")</f>
        <v/>
      </c>
      <c r="P405" s="180">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82">
        <f>IF($B406="","",IFERROR(BDP($B406&amp;" Action","CP036"),""))</f>
        <v/>
      </c>
      <c r="D406" s="183">
        <f>Database!S406</f>
        <v/>
      </c>
      <c r="E406" s="182">
        <f>IF($B406="","",IFERROR(BDP($B406&amp;" Action","CP037"),""))</f>
        <v/>
      </c>
      <c r="F406" s="183">
        <f>Database!T406</f>
        <v/>
      </c>
      <c r="G406" s="182">
        <f>IF($B406="","",IFERROR(BDP($B406&amp;" Action","GREENSHOE_FACILITY"),""))</f>
        <v/>
      </c>
      <c r="H406" s="182">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76">
        <f>Database!Q406</f>
        <v/>
      </c>
      <c r="O406" s="24">
        <f>IFERROR(BDH(Database!$A406&amp;" HK Equity","PE_RATIO",Database!$H406,Database!$H406),"")</f>
        <v/>
      </c>
      <c r="P406" s="180">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82">
        <f>IF($B407="","",IFERROR(BDP($B407&amp;" Action","CP036"),""))</f>
        <v/>
      </c>
      <c r="D407" s="183">
        <f>Database!S407</f>
        <v/>
      </c>
      <c r="E407" s="182">
        <f>IF($B407="","",IFERROR(BDP($B407&amp;" Action","CP037"),""))</f>
        <v/>
      </c>
      <c r="F407" s="183">
        <f>Database!T407</f>
        <v/>
      </c>
      <c r="G407" s="182">
        <f>IF($B407="","",IFERROR(BDP($B407&amp;" Action","GREENSHOE_FACILITY"),""))</f>
        <v/>
      </c>
      <c r="H407" s="182">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76">
        <f>Database!Q407</f>
        <v/>
      </c>
      <c r="O407" s="24">
        <f>IFERROR(BDH(Database!$A407&amp;" HK Equity","PE_RATIO",Database!$H407,Database!$H407),"")</f>
        <v/>
      </c>
      <c r="P407" s="180">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82">
        <f>IF($B408="","",IFERROR(BDP($B408&amp;" Action","CP036"),""))</f>
        <v/>
      </c>
      <c r="D408" s="183">
        <f>Database!S408</f>
        <v/>
      </c>
      <c r="E408" s="182">
        <f>IF($B408="","",IFERROR(BDP($B408&amp;" Action","CP037"),""))</f>
        <v/>
      </c>
      <c r="F408" s="183">
        <f>Database!T408</f>
        <v/>
      </c>
      <c r="G408" s="182">
        <f>IF($B408="","",IFERROR(BDP($B408&amp;" Action","GREENSHOE_FACILITY"),""))</f>
        <v/>
      </c>
      <c r="H408" s="182">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76">
        <f>Database!Q408</f>
        <v/>
      </c>
      <c r="O408" s="24">
        <f>IFERROR(BDH(Database!$A408&amp;" HK Equity","PE_RATIO",Database!$H408,Database!$H408),"")</f>
        <v/>
      </c>
      <c r="P408" s="180">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82">
        <f>IF($B409="","",IFERROR(BDP($B409&amp;" Action","CP036"),""))</f>
        <v/>
      </c>
      <c r="D409" s="183">
        <f>Database!S409</f>
        <v/>
      </c>
      <c r="E409" s="182">
        <f>IF($B409="","",IFERROR(BDP($B409&amp;" Action","CP037"),""))</f>
        <v/>
      </c>
      <c r="F409" s="183">
        <f>Database!T409</f>
        <v/>
      </c>
      <c r="G409" s="182">
        <f>IF($B409="","",IFERROR(BDP($B409&amp;" Action","GREENSHOE_FACILITY"),""))</f>
        <v/>
      </c>
      <c r="H409" s="182">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76">
        <f>Database!Q409</f>
        <v/>
      </c>
      <c r="O409" s="24">
        <f>IFERROR(BDH(Database!$A409&amp;" HK Equity","PE_RATIO",Database!$H409,Database!$H409),"")</f>
        <v/>
      </c>
      <c r="P409" s="180">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82">
        <f>IF($B410="","",IFERROR(BDP($B410&amp;" Action","CP036"),""))</f>
        <v/>
      </c>
      <c r="D410" s="183">
        <f>Database!S410</f>
        <v/>
      </c>
      <c r="E410" s="182">
        <f>IF($B410="","",IFERROR(BDP($B410&amp;" Action","CP037"),""))</f>
        <v/>
      </c>
      <c r="F410" s="183">
        <f>Database!T410</f>
        <v/>
      </c>
      <c r="G410" s="182">
        <f>IF($B410="","",IFERROR(BDP($B410&amp;" Action","GREENSHOE_FACILITY"),""))</f>
        <v/>
      </c>
      <c r="H410" s="182">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76">
        <f>Database!Q410</f>
        <v/>
      </c>
      <c r="O410" s="24">
        <f>IFERROR(BDH(Database!$A410&amp;" HK Equity","PE_RATIO",Database!$H410,Database!$H410),"")</f>
        <v/>
      </c>
      <c r="P410" s="180">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82">
        <f>IF($B411="","",IFERROR(BDP($B411&amp;" Action","CP036"),""))</f>
        <v/>
      </c>
      <c r="D411" s="183">
        <f>Database!S411</f>
        <v/>
      </c>
      <c r="E411" s="182">
        <f>IF($B411="","",IFERROR(BDP($B411&amp;" Action","CP037"),""))</f>
        <v/>
      </c>
      <c r="F411" s="183">
        <f>Database!T411</f>
        <v/>
      </c>
      <c r="G411" s="182">
        <f>IF($B411="","",IFERROR(BDP($B411&amp;" Action","GREENSHOE_FACILITY"),""))</f>
        <v/>
      </c>
      <c r="H411" s="182">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76">
        <f>Database!Q411</f>
        <v/>
      </c>
      <c r="O411" s="24">
        <f>IFERROR(BDH(Database!$A411&amp;" HK Equity","PE_RATIO",Database!$H411,Database!$H411),"")</f>
        <v/>
      </c>
      <c r="P411" s="180">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82">
        <f>IF($B412="","",IFERROR(BDP($B412&amp;" Action","CP036"),""))</f>
        <v/>
      </c>
      <c r="D412" s="183">
        <f>Database!S412</f>
        <v/>
      </c>
      <c r="E412" s="182">
        <f>IF($B412="","",IFERROR(BDP($B412&amp;" Action","CP037"),""))</f>
        <v/>
      </c>
      <c r="F412" s="183">
        <f>Database!T412</f>
        <v/>
      </c>
      <c r="G412" s="182">
        <f>IF($B412="","",IFERROR(BDP($B412&amp;" Action","GREENSHOE_FACILITY"),""))</f>
        <v/>
      </c>
      <c r="H412" s="182">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76">
        <f>Database!Q412</f>
        <v/>
      </c>
      <c r="O412" s="24">
        <f>IFERROR(BDH(Database!$A412&amp;" HK Equity","PE_RATIO",Database!$H412,Database!$H412),"")</f>
        <v/>
      </c>
      <c r="P412" s="180">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82">
        <f>IF($B413="","",IFERROR(BDP($B413&amp;" Action","CP036"),""))</f>
        <v/>
      </c>
      <c r="D413" s="183">
        <f>Database!S413</f>
        <v/>
      </c>
      <c r="E413" s="182">
        <f>IF($B413="","",IFERROR(BDP($B413&amp;" Action","CP037"),""))</f>
        <v/>
      </c>
      <c r="F413" s="183">
        <f>Database!T413</f>
        <v/>
      </c>
      <c r="G413" s="182">
        <f>IF($B413="","",IFERROR(BDP($B413&amp;" Action","GREENSHOE_FACILITY"),""))</f>
        <v/>
      </c>
      <c r="H413" s="182">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76">
        <f>Database!Q413</f>
        <v/>
      </c>
      <c r="O413" s="24">
        <f>IFERROR(BDH(Database!$A413&amp;" HK Equity","PE_RATIO",Database!$H413,Database!$H413),"")</f>
        <v/>
      </c>
      <c r="P413" s="180">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82">
        <f>IF($B414="","",IFERROR(BDP($B414&amp;" Action","CP036"),""))</f>
        <v/>
      </c>
      <c r="D414" s="183">
        <f>Database!S414</f>
        <v/>
      </c>
      <c r="E414" s="182">
        <f>IF($B414="","",IFERROR(BDP($B414&amp;" Action","CP037"),""))</f>
        <v/>
      </c>
      <c r="F414" s="183">
        <f>Database!T414</f>
        <v/>
      </c>
      <c r="G414" s="182">
        <f>IF($B414="","",IFERROR(BDP($B414&amp;" Action","GREENSHOE_FACILITY"),""))</f>
        <v/>
      </c>
      <c r="H414" s="182">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76">
        <f>Database!Q414</f>
        <v/>
      </c>
      <c r="O414" s="24">
        <f>IFERROR(BDH(Database!$A414&amp;" HK Equity","PE_RATIO",Database!$H414,Database!$H414),"")</f>
        <v/>
      </c>
      <c r="P414" s="180">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82">
        <f>IF($B415="","",IFERROR(BDP($B415&amp;" Action","CP036"),""))</f>
        <v/>
      </c>
      <c r="D415" s="183">
        <f>Database!S415</f>
        <v/>
      </c>
      <c r="E415" s="182">
        <f>IF($B415="","",IFERROR(BDP($B415&amp;" Action","CP037"),""))</f>
        <v/>
      </c>
      <c r="F415" s="183">
        <f>Database!T415</f>
        <v/>
      </c>
      <c r="G415" s="182">
        <f>IF($B415="","",IFERROR(BDP($B415&amp;" Action","GREENSHOE_FACILITY"),""))</f>
        <v/>
      </c>
      <c r="H415" s="182">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76">
        <f>Database!Q415</f>
        <v/>
      </c>
      <c r="O415" s="24">
        <f>IFERROR(BDH(Database!$A415&amp;" HK Equity","PE_RATIO",Database!$H415,Database!$H415),"")</f>
        <v/>
      </c>
      <c r="P415" s="180">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82">
        <f>IF($B416="","",IFERROR(BDP($B416&amp;" Action","CP036"),""))</f>
        <v/>
      </c>
      <c r="D416" s="183">
        <f>Database!S416</f>
        <v/>
      </c>
      <c r="E416" s="182">
        <f>IF($B416="","",IFERROR(BDP($B416&amp;" Action","CP037"),""))</f>
        <v/>
      </c>
      <c r="F416" s="183">
        <f>Database!T416</f>
        <v/>
      </c>
      <c r="G416" s="182">
        <f>IF($B416="","",IFERROR(BDP($B416&amp;" Action","GREENSHOE_FACILITY"),""))</f>
        <v/>
      </c>
      <c r="H416" s="182">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76">
        <f>Database!Q416</f>
        <v/>
      </c>
      <c r="O416" s="24">
        <f>IFERROR(BDH(Database!$A416&amp;" HK Equity","PE_RATIO",Database!$H416,Database!$H416),"")</f>
        <v/>
      </c>
      <c r="P416" s="180">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82">
        <f>IF($B417="","",IFERROR(BDP($B417&amp;" Action","CP036"),""))</f>
        <v/>
      </c>
      <c r="D417" s="183">
        <f>Database!S417</f>
        <v/>
      </c>
      <c r="E417" s="182">
        <f>IF($B417="","",IFERROR(BDP($B417&amp;" Action","CP037"),""))</f>
        <v/>
      </c>
      <c r="F417" s="183">
        <f>Database!T417</f>
        <v/>
      </c>
      <c r="G417" s="182">
        <f>IF($B417="","",IFERROR(BDP($B417&amp;" Action","GREENSHOE_FACILITY"),""))</f>
        <v/>
      </c>
      <c r="H417" s="182">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76">
        <f>Database!Q417</f>
        <v/>
      </c>
      <c r="O417" s="24">
        <f>IFERROR(BDH(Database!$A417&amp;" HK Equity","PE_RATIO",Database!$H417,Database!$H417),"")</f>
        <v/>
      </c>
      <c r="P417" s="180">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82">
        <f>IF($B418="","",IFERROR(BDP($B418&amp;" Action","CP036"),""))</f>
        <v/>
      </c>
      <c r="D418" s="183">
        <f>Database!S418</f>
        <v/>
      </c>
      <c r="E418" s="182">
        <f>IF($B418="","",IFERROR(BDP($B418&amp;" Action","CP037"),""))</f>
        <v/>
      </c>
      <c r="F418" s="183">
        <f>Database!T418</f>
        <v/>
      </c>
      <c r="G418" s="182">
        <f>IF($B418="","",IFERROR(BDP($B418&amp;" Action","GREENSHOE_FACILITY"),""))</f>
        <v/>
      </c>
      <c r="H418" s="182">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76">
        <f>Database!Q418</f>
        <v/>
      </c>
      <c r="O418" s="24">
        <f>IFERROR(BDH(Database!$A418&amp;" HK Equity","PE_RATIO",Database!$H418,Database!$H418),"")</f>
        <v/>
      </c>
      <c r="P418" s="180">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82">
        <f>IF($B419="","",IFERROR(BDP($B419&amp;" Action","CP036"),""))</f>
        <v/>
      </c>
      <c r="D419" s="183">
        <f>Database!S419</f>
        <v/>
      </c>
      <c r="E419" s="182">
        <f>IF($B419="","",IFERROR(BDP($B419&amp;" Action","CP037"),""))</f>
        <v/>
      </c>
      <c r="F419" s="183">
        <f>Database!T419</f>
        <v/>
      </c>
      <c r="G419" s="182">
        <f>IF($B419="","",IFERROR(BDP($B419&amp;" Action","GREENSHOE_FACILITY"),""))</f>
        <v/>
      </c>
      <c r="H419" s="182">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76">
        <f>Database!Q419</f>
        <v/>
      </c>
      <c r="O419" s="24">
        <f>IFERROR(BDH(Database!$A419&amp;" HK Equity","PE_RATIO",Database!$H419,Database!$H419),"")</f>
        <v/>
      </c>
      <c r="P419" s="180">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82">
        <f>IF($B420="","",IFERROR(BDP($B420&amp;" Action","CP036"),""))</f>
        <v/>
      </c>
      <c r="D420" s="183">
        <f>Database!S420</f>
        <v/>
      </c>
      <c r="E420" s="182">
        <f>IF($B420="","",IFERROR(BDP($B420&amp;" Action","CP037"),""))</f>
        <v/>
      </c>
      <c r="F420" s="183">
        <f>Database!T420</f>
        <v/>
      </c>
      <c r="G420" s="182">
        <f>IF($B420="","",IFERROR(BDP($B420&amp;" Action","GREENSHOE_FACILITY"),""))</f>
        <v/>
      </c>
      <c r="H420" s="182">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76">
        <f>Database!Q420</f>
        <v/>
      </c>
      <c r="O420" s="24">
        <f>IFERROR(BDH(Database!$A420&amp;" HK Equity","PE_RATIO",Database!$H420,Database!$H420),"")</f>
        <v/>
      </c>
      <c r="P420" s="180">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82">
        <f>IF($B421="","",IFERROR(BDP($B421&amp;" Action","CP036"),""))</f>
        <v/>
      </c>
      <c r="D421" s="183">
        <f>Database!S421</f>
        <v/>
      </c>
      <c r="E421" s="182">
        <f>IF($B421="","",IFERROR(BDP($B421&amp;" Action","CP037"),""))</f>
        <v/>
      </c>
      <c r="F421" s="183">
        <f>Database!T421</f>
        <v/>
      </c>
      <c r="G421" s="182">
        <f>IF($B421="","",IFERROR(BDP($B421&amp;" Action","GREENSHOE_FACILITY"),""))</f>
        <v/>
      </c>
      <c r="H421" s="182">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76">
        <f>Database!Q421</f>
        <v/>
      </c>
      <c r="O421" s="24">
        <f>IFERROR(BDH(Database!$A421&amp;" HK Equity","PE_RATIO",Database!$H421,Database!$H421),"")</f>
        <v/>
      </c>
      <c r="P421" s="180">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82">
        <f>IF($B422="","",IFERROR(BDP($B422&amp;" Action","CP036"),""))</f>
        <v/>
      </c>
      <c r="D422" s="183">
        <f>Database!S422</f>
        <v/>
      </c>
      <c r="E422" s="182">
        <f>IF($B422="","",IFERROR(BDP($B422&amp;" Action","CP037"),""))</f>
        <v/>
      </c>
      <c r="F422" s="183">
        <f>Database!T422</f>
        <v/>
      </c>
      <c r="G422" s="182">
        <f>IF($B422="","",IFERROR(BDP($B422&amp;" Action","GREENSHOE_FACILITY"),""))</f>
        <v/>
      </c>
      <c r="H422" s="182">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76">
        <f>Database!Q422</f>
        <v/>
      </c>
      <c r="O422" s="24">
        <f>IFERROR(BDH(Database!$A422&amp;" HK Equity","PE_RATIO",Database!$H422,Database!$H422),"")</f>
        <v/>
      </c>
      <c r="P422" s="180">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82">
        <f>IF($B423="","",IFERROR(BDP($B423&amp;" Action","CP036"),""))</f>
        <v/>
      </c>
      <c r="D423" s="183">
        <f>Database!S423</f>
        <v/>
      </c>
      <c r="E423" s="182">
        <f>IF($B423="","",IFERROR(BDP($B423&amp;" Action","CP037"),""))</f>
        <v/>
      </c>
      <c r="F423" s="183">
        <f>Database!T423</f>
        <v/>
      </c>
      <c r="G423" s="182">
        <f>IF($B423="","",IFERROR(BDP($B423&amp;" Action","GREENSHOE_FACILITY"),""))</f>
        <v/>
      </c>
      <c r="H423" s="182">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76">
        <f>Database!Q423</f>
        <v/>
      </c>
      <c r="O423" s="24">
        <f>IFERROR(BDH(Database!$A423&amp;" HK Equity","PE_RATIO",Database!$H423,Database!$H423),"")</f>
        <v/>
      </c>
      <c r="P423" s="180">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82">
        <f>IF($B424="","",IFERROR(BDP($B424&amp;" Action","CP036"),""))</f>
        <v/>
      </c>
      <c r="D424" s="183">
        <f>Database!S424</f>
        <v/>
      </c>
      <c r="E424" s="182">
        <f>IF($B424="","",IFERROR(BDP($B424&amp;" Action","CP037"),""))</f>
        <v/>
      </c>
      <c r="F424" s="183">
        <f>Database!T424</f>
        <v/>
      </c>
      <c r="G424" s="182">
        <f>IF($B424="","",IFERROR(BDP($B424&amp;" Action","GREENSHOE_FACILITY"),""))</f>
        <v/>
      </c>
      <c r="H424" s="182">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76">
        <f>Database!Q424</f>
        <v/>
      </c>
      <c r="O424" s="24">
        <f>IFERROR(BDH(Database!$A424&amp;" HK Equity","PE_RATIO",Database!$H424,Database!$H424),"")</f>
        <v/>
      </c>
      <c r="P424" s="180">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82">
        <f>IF($B425="","",IFERROR(BDP($B425&amp;" Action","CP036"),""))</f>
        <v/>
      </c>
      <c r="D425" s="183">
        <f>Database!S425</f>
        <v/>
      </c>
      <c r="E425" s="182">
        <f>IF($B425="","",IFERROR(BDP($B425&amp;" Action","CP037"),""))</f>
        <v/>
      </c>
      <c r="F425" s="183">
        <f>Database!T425</f>
        <v/>
      </c>
      <c r="G425" s="182">
        <f>IF($B425="","",IFERROR(BDP($B425&amp;" Action","GREENSHOE_FACILITY"),""))</f>
        <v/>
      </c>
      <c r="H425" s="182">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76">
        <f>Database!Q425</f>
        <v/>
      </c>
      <c r="O425" s="24">
        <f>IFERROR(BDH(Database!$A425&amp;" HK Equity","PE_RATIO",Database!$H425,Database!$H425),"")</f>
        <v/>
      </c>
      <c r="P425" s="180">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82">
        <f>IF($B426="","",IFERROR(BDP($B426&amp;" Action","CP036"),""))</f>
        <v/>
      </c>
      <c r="D426" s="183">
        <f>Database!S426</f>
        <v/>
      </c>
      <c r="E426" s="182">
        <f>IF($B426="","",IFERROR(BDP($B426&amp;" Action","CP037"),""))</f>
        <v/>
      </c>
      <c r="F426" s="183">
        <f>Database!T426</f>
        <v/>
      </c>
      <c r="G426" s="182">
        <f>IF($B426="","",IFERROR(BDP($B426&amp;" Action","GREENSHOE_FACILITY"),""))</f>
        <v/>
      </c>
      <c r="H426" s="182">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76">
        <f>Database!Q426</f>
        <v/>
      </c>
      <c r="O426" s="24">
        <f>IFERROR(BDH(Database!$A426&amp;" HK Equity","PE_RATIO",Database!$H426,Database!$H426),"")</f>
        <v/>
      </c>
      <c r="P426" s="180">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82">
        <f>IF($B427="","",IFERROR(BDP($B427&amp;" Action","CP036"),""))</f>
        <v/>
      </c>
      <c r="D427" s="183">
        <f>Database!S427</f>
        <v/>
      </c>
      <c r="E427" s="182">
        <f>IF($B427="","",IFERROR(BDP($B427&amp;" Action","CP037"),""))</f>
        <v/>
      </c>
      <c r="F427" s="183">
        <f>Database!T427</f>
        <v/>
      </c>
      <c r="G427" s="182">
        <f>IF($B427="","",IFERROR(BDP($B427&amp;" Action","GREENSHOE_FACILITY"),""))</f>
        <v/>
      </c>
      <c r="H427" s="182">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76">
        <f>Database!Q427</f>
        <v/>
      </c>
      <c r="O427" s="24">
        <f>IFERROR(BDH(Database!$A427&amp;" HK Equity","PE_RATIO",Database!$H427,Database!$H427),"")</f>
        <v/>
      </c>
      <c r="P427" s="180">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82">
        <f>IF($B428="","",IFERROR(BDP($B428&amp;" Action","CP036"),""))</f>
        <v/>
      </c>
      <c r="D428" s="183">
        <f>Database!S428</f>
        <v/>
      </c>
      <c r="E428" s="182">
        <f>IF($B428="","",IFERROR(BDP($B428&amp;" Action","CP037"),""))</f>
        <v/>
      </c>
      <c r="F428" s="183">
        <f>Database!T428</f>
        <v/>
      </c>
      <c r="G428" s="182">
        <f>IF($B428="","",IFERROR(BDP($B428&amp;" Action","GREENSHOE_FACILITY"),""))</f>
        <v/>
      </c>
      <c r="H428" s="182">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76">
        <f>Database!Q428</f>
        <v/>
      </c>
      <c r="O428" s="24">
        <f>IFERROR(BDH(Database!$A428&amp;" HK Equity","PE_RATIO",Database!$H428,Database!$H428),"")</f>
        <v/>
      </c>
      <c r="P428" s="180">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82">
        <f>IF($B429="","",IFERROR(BDP($B429&amp;" Action","CP036"),""))</f>
        <v/>
      </c>
      <c r="D429" s="183">
        <f>Database!S429</f>
        <v/>
      </c>
      <c r="E429" s="182">
        <f>IF($B429="","",IFERROR(BDP($B429&amp;" Action","CP037"),""))</f>
        <v/>
      </c>
      <c r="F429" s="183">
        <f>Database!T429</f>
        <v/>
      </c>
      <c r="G429" s="182">
        <f>IF($B429="","",IFERROR(BDP($B429&amp;" Action","GREENSHOE_FACILITY"),""))</f>
        <v/>
      </c>
      <c r="H429" s="182">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76">
        <f>Database!Q429</f>
        <v/>
      </c>
      <c r="O429" s="24">
        <f>IFERROR(BDH(Database!$A429&amp;" HK Equity","PE_RATIO",Database!$H429,Database!$H429),"")</f>
        <v/>
      </c>
      <c r="P429" s="180">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82">
        <f>IF($B430="","",IFERROR(BDP($B430&amp;" Action","CP036"),""))</f>
        <v/>
      </c>
      <c r="D430" s="183">
        <f>Database!S430</f>
        <v/>
      </c>
      <c r="E430" s="182">
        <f>IF($B430="","",IFERROR(BDP($B430&amp;" Action","CP037"),""))</f>
        <v/>
      </c>
      <c r="F430" s="183">
        <f>Database!T430</f>
        <v/>
      </c>
      <c r="G430" s="182">
        <f>IF($B430="","",IFERROR(BDP($B430&amp;" Action","GREENSHOE_FACILITY"),""))</f>
        <v/>
      </c>
      <c r="H430" s="182">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76">
        <f>Database!Q430</f>
        <v/>
      </c>
      <c r="O430" s="24">
        <f>IFERROR(BDH(Database!$A430&amp;" HK Equity","PE_RATIO",Database!$H430,Database!$H430),"")</f>
        <v/>
      </c>
      <c r="P430" s="180">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82">
        <f>IF($B431="","",IFERROR(BDP($B431&amp;" Action","CP036"),""))</f>
        <v/>
      </c>
      <c r="D431" s="183">
        <f>Database!S431</f>
        <v/>
      </c>
      <c r="E431" s="182">
        <f>IF($B431="","",IFERROR(BDP($B431&amp;" Action","CP037"),""))</f>
        <v/>
      </c>
      <c r="F431" s="183">
        <f>Database!T431</f>
        <v/>
      </c>
      <c r="G431" s="182">
        <f>IF($B431="","",IFERROR(BDP($B431&amp;" Action","GREENSHOE_FACILITY"),""))</f>
        <v/>
      </c>
      <c r="H431" s="182">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76">
        <f>Database!Q431</f>
        <v/>
      </c>
      <c r="O431" s="24">
        <f>IFERROR(BDH(Database!$A431&amp;" HK Equity","PE_RATIO",Database!$H431,Database!$H431),"")</f>
        <v/>
      </c>
      <c r="P431" s="180">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82">
        <f>IF($B432="","",IFERROR(BDP($B432&amp;" Action","CP036"),""))</f>
        <v/>
      </c>
      <c r="D432" s="183">
        <f>Database!S432</f>
        <v/>
      </c>
      <c r="E432" s="182">
        <f>IF($B432="","",IFERROR(BDP($B432&amp;" Action","CP037"),""))</f>
        <v/>
      </c>
      <c r="F432" s="183">
        <f>Database!T432</f>
        <v/>
      </c>
      <c r="G432" s="182">
        <f>IF($B432="","",IFERROR(BDP($B432&amp;" Action","GREENSHOE_FACILITY"),""))</f>
        <v/>
      </c>
      <c r="H432" s="182">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76">
        <f>Database!Q432</f>
        <v/>
      </c>
      <c r="O432" s="24">
        <f>IFERROR(BDH(Database!$A432&amp;" HK Equity","PE_RATIO",Database!$H432,Database!$H432),"")</f>
        <v/>
      </c>
      <c r="P432" s="180">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82">
        <f>IF($B433="","",IFERROR(BDP($B433&amp;" Action","CP036"),""))</f>
        <v/>
      </c>
      <c r="D433" s="183">
        <f>Database!S433</f>
        <v/>
      </c>
      <c r="E433" s="182">
        <f>IF($B433="","",IFERROR(BDP($B433&amp;" Action","CP037"),""))</f>
        <v/>
      </c>
      <c r="F433" s="183">
        <f>Database!T433</f>
        <v/>
      </c>
      <c r="G433" s="182">
        <f>IF($B433="","",IFERROR(BDP($B433&amp;" Action","GREENSHOE_FACILITY"),""))</f>
        <v/>
      </c>
      <c r="H433" s="182">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76">
        <f>Database!Q433</f>
        <v/>
      </c>
      <c r="O433" s="24">
        <f>IFERROR(BDH(Database!$A433&amp;" HK Equity","PE_RATIO",Database!$H433,Database!$H433),"")</f>
        <v/>
      </c>
      <c r="P433" s="180">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82">
        <f>IF($B434="","",IFERROR(BDP($B434&amp;" Action","CP036"),""))</f>
        <v/>
      </c>
      <c r="D434" s="183">
        <f>Database!S434</f>
        <v/>
      </c>
      <c r="E434" s="182">
        <f>IF($B434="","",IFERROR(BDP($B434&amp;" Action","CP037"),""))</f>
        <v/>
      </c>
      <c r="F434" s="183">
        <f>Database!T434</f>
        <v/>
      </c>
      <c r="G434" s="182">
        <f>IF($B434="","",IFERROR(BDP($B434&amp;" Action","GREENSHOE_FACILITY"),""))</f>
        <v/>
      </c>
      <c r="H434" s="182">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76">
        <f>Database!Q434</f>
        <v/>
      </c>
      <c r="O434" s="24">
        <f>IFERROR(BDH(Database!$A434&amp;" HK Equity","PE_RATIO",Database!$H434,Database!$H434),"")</f>
        <v/>
      </c>
      <c r="P434" s="180">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82">
        <f>IF($B435="","",IFERROR(BDP($B435&amp;" Action","CP036"),""))</f>
        <v/>
      </c>
      <c r="D435" s="183">
        <f>Database!S435</f>
        <v/>
      </c>
      <c r="E435" s="182">
        <f>IF($B435="","",IFERROR(BDP($B435&amp;" Action","CP037"),""))</f>
        <v/>
      </c>
      <c r="F435" s="183">
        <f>Database!T435</f>
        <v/>
      </c>
      <c r="G435" s="182">
        <f>IF($B435="","",IFERROR(BDP($B435&amp;" Action","GREENSHOE_FACILITY"),""))</f>
        <v/>
      </c>
      <c r="H435" s="182">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76">
        <f>Database!Q435</f>
        <v/>
      </c>
      <c r="O435" s="24">
        <f>IFERROR(BDH(Database!$A435&amp;" HK Equity","PE_RATIO",Database!$H435,Database!$H435),"")</f>
        <v/>
      </c>
      <c r="P435" s="180">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82">
        <f>IF($B436="","",IFERROR(BDP($B436&amp;" Action","CP036"),""))</f>
        <v/>
      </c>
      <c r="D436" s="183">
        <f>Database!S436</f>
        <v/>
      </c>
      <c r="E436" s="182">
        <f>IF($B436="","",IFERROR(BDP($B436&amp;" Action","CP037"),""))</f>
        <v/>
      </c>
      <c r="F436" s="183">
        <f>Database!T436</f>
        <v/>
      </c>
      <c r="G436" s="182">
        <f>IF($B436="","",IFERROR(BDP($B436&amp;" Action","GREENSHOE_FACILITY"),""))</f>
        <v/>
      </c>
      <c r="H436" s="182">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76">
        <f>Database!Q436</f>
        <v/>
      </c>
      <c r="O436" s="24">
        <f>IFERROR(BDH(Database!$A436&amp;" HK Equity","PE_RATIO",Database!$H436,Database!$H436),"")</f>
        <v/>
      </c>
      <c r="P436" s="180">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82">
        <f>IF($B437="","",IFERROR(BDP($B437&amp;" Action","CP036"),""))</f>
        <v/>
      </c>
      <c r="D437" s="183">
        <f>Database!S437</f>
        <v/>
      </c>
      <c r="E437" s="182">
        <f>IF($B437="","",IFERROR(BDP($B437&amp;" Action","CP037"),""))</f>
        <v/>
      </c>
      <c r="F437" s="183">
        <f>Database!T437</f>
        <v/>
      </c>
      <c r="G437" s="182">
        <f>IF($B437="","",IFERROR(BDP($B437&amp;" Action","GREENSHOE_FACILITY"),""))</f>
        <v/>
      </c>
      <c r="H437" s="182">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76">
        <f>Database!Q437</f>
        <v/>
      </c>
      <c r="O437" s="24">
        <f>IFERROR(BDH(Database!$A437&amp;" HK Equity","PE_RATIO",Database!$H437,Database!$H437),"")</f>
        <v/>
      </c>
      <c r="P437" s="180">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82">
        <f>IF($B438="","",IFERROR(BDP($B438&amp;" Action","CP036"),""))</f>
        <v/>
      </c>
      <c r="D438" s="183">
        <f>Database!S438</f>
        <v/>
      </c>
      <c r="E438" s="182">
        <f>IF($B438="","",IFERROR(BDP($B438&amp;" Action","CP037"),""))</f>
        <v/>
      </c>
      <c r="F438" s="183">
        <f>Database!T438</f>
        <v/>
      </c>
      <c r="G438" s="182">
        <f>IF($B438="","",IFERROR(BDP($B438&amp;" Action","GREENSHOE_FACILITY"),""))</f>
        <v/>
      </c>
      <c r="H438" s="182">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76">
        <f>Database!Q438</f>
        <v/>
      </c>
      <c r="O438" s="24">
        <f>IFERROR(BDH(Database!$A438&amp;" HK Equity","PE_RATIO",Database!$H438,Database!$H438),"")</f>
        <v/>
      </c>
      <c r="P438" s="180">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82">
        <f>IF($B439="","",IFERROR(BDP($B439&amp;" Action","CP036"),""))</f>
        <v/>
      </c>
      <c r="D439" s="183">
        <f>Database!S439</f>
        <v/>
      </c>
      <c r="E439" s="182">
        <f>IF($B439="","",IFERROR(BDP($B439&amp;" Action","CP037"),""))</f>
        <v/>
      </c>
      <c r="F439" s="183">
        <f>Database!T439</f>
        <v/>
      </c>
      <c r="G439" s="182">
        <f>IF($B439="","",IFERROR(BDP($B439&amp;" Action","GREENSHOE_FACILITY"),""))</f>
        <v/>
      </c>
      <c r="H439" s="182">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76">
        <f>Database!Q439</f>
        <v/>
      </c>
      <c r="O439" s="24">
        <f>IFERROR(BDH(Database!$A439&amp;" HK Equity","PE_RATIO",Database!$H439,Database!$H439),"")</f>
        <v/>
      </c>
      <c r="P439" s="180">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82">
        <f>IF($B440="","",IFERROR(BDP($B440&amp;" Action","CP036"),""))</f>
        <v/>
      </c>
      <c r="D440" s="183">
        <f>Database!S440</f>
        <v/>
      </c>
      <c r="E440" s="182">
        <f>IF($B440="","",IFERROR(BDP($B440&amp;" Action","CP037"),""))</f>
        <v/>
      </c>
      <c r="F440" s="183">
        <f>Database!T440</f>
        <v/>
      </c>
      <c r="G440" s="182">
        <f>IF($B440="","",IFERROR(BDP($B440&amp;" Action","GREENSHOE_FACILITY"),""))</f>
        <v/>
      </c>
      <c r="H440" s="182">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76">
        <f>Database!Q440</f>
        <v/>
      </c>
      <c r="O440" s="24">
        <f>IFERROR(BDH(Database!$A440&amp;" HK Equity","PE_RATIO",Database!$H440,Database!$H440),"")</f>
        <v/>
      </c>
      <c r="P440" s="180">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82">
        <f>IF($B441="","",IFERROR(BDP($B441&amp;" Action","CP036"),""))</f>
        <v/>
      </c>
      <c r="D441" s="183">
        <f>Database!S441</f>
        <v/>
      </c>
      <c r="E441" s="182">
        <f>IF($B441="","",IFERROR(BDP($B441&amp;" Action","CP037"),""))</f>
        <v/>
      </c>
      <c r="F441" s="183">
        <f>Database!T441</f>
        <v/>
      </c>
      <c r="G441" s="182">
        <f>IF($B441="","",IFERROR(BDP($B441&amp;" Action","GREENSHOE_FACILITY"),""))</f>
        <v/>
      </c>
      <c r="H441" s="182">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76">
        <f>Database!Q441</f>
        <v/>
      </c>
      <c r="O441" s="24">
        <f>IFERROR(BDH(Database!$A441&amp;" HK Equity","PE_RATIO",Database!$H441,Database!$H441),"")</f>
        <v/>
      </c>
      <c r="P441" s="180">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82">
        <f>IF($B442="","",IFERROR(BDP($B442&amp;" Action","CP036"),""))</f>
        <v/>
      </c>
      <c r="D442" s="183">
        <f>Database!S442</f>
        <v/>
      </c>
      <c r="E442" s="182">
        <f>IF($B442="","",IFERROR(BDP($B442&amp;" Action","CP037"),""))</f>
        <v/>
      </c>
      <c r="F442" s="183">
        <f>Database!T442</f>
        <v/>
      </c>
      <c r="G442" s="182">
        <f>IF($B442="","",IFERROR(BDP($B442&amp;" Action","GREENSHOE_FACILITY"),""))</f>
        <v/>
      </c>
      <c r="H442" s="182">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76">
        <f>Database!Q442</f>
        <v/>
      </c>
      <c r="O442" s="24">
        <f>IFERROR(BDH(Database!$A442&amp;" HK Equity","PE_RATIO",Database!$H442,Database!$H442),"")</f>
        <v/>
      </c>
      <c r="P442" s="180">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82">
        <f>IF($B443="","",IFERROR(BDP($B443&amp;" Action","CP036"),""))</f>
        <v/>
      </c>
      <c r="D443" s="183">
        <f>Database!S443</f>
        <v/>
      </c>
      <c r="E443" s="182">
        <f>IF($B443="","",IFERROR(BDP($B443&amp;" Action","CP037"),""))</f>
        <v/>
      </c>
      <c r="F443" s="183">
        <f>Database!T443</f>
        <v/>
      </c>
      <c r="G443" s="182">
        <f>IF($B443="","",IFERROR(BDP($B443&amp;" Action","GREENSHOE_FACILITY"),""))</f>
        <v/>
      </c>
      <c r="H443" s="182">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76">
        <f>Database!Q443</f>
        <v/>
      </c>
      <c r="O443" s="24">
        <f>IFERROR(BDH(Database!$A443&amp;" HK Equity","PE_RATIO",Database!$H443,Database!$H443),"")</f>
        <v/>
      </c>
      <c r="P443" s="180">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82">
        <f>IF($B444="","",IFERROR(BDP($B444&amp;" Action","CP036"),""))</f>
        <v/>
      </c>
      <c r="D444" s="183">
        <f>Database!S444</f>
        <v/>
      </c>
      <c r="E444" s="182">
        <f>IF($B444="","",IFERROR(BDP($B444&amp;" Action","CP037"),""))</f>
        <v/>
      </c>
      <c r="F444" s="183">
        <f>Database!T444</f>
        <v/>
      </c>
      <c r="G444" s="182">
        <f>IF($B444="","",IFERROR(BDP($B444&amp;" Action","GREENSHOE_FACILITY"),""))</f>
        <v/>
      </c>
      <c r="H444" s="182">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76">
        <f>Database!Q444</f>
        <v/>
      </c>
      <c r="O444" s="24">
        <f>IFERROR(BDH(Database!$A444&amp;" HK Equity","PE_RATIO",Database!$H444,Database!$H444),"")</f>
        <v/>
      </c>
      <c r="P444" s="180">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82">
        <f>IF($B445="","",IFERROR(BDP($B445&amp;" Action","CP036"),""))</f>
        <v/>
      </c>
      <c r="D445" s="183">
        <f>Database!S445</f>
        <v/>
      </c>
      <c r="E445" s="182">
        <f>IF($B445="","",IFERROR(BDP($B445&amp;" Action","CP037"),""))</f>
        <v/>
      </c>
      <c r="F445" s="183">
        <f>Database!T445</f>
        <v/>
      </c>
      <c r="G445" s="182">
        <f>IF($B445="","",IFERROR(BDP($B445&amp;" Action","GREENSHOE_FACILITY"),""))</f>
        <v/>
      </c>
      <c r="H445" s="182">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76">
        <f>Database!Q445</f>
        <v/>
      </c>
      <c r="O445" s="24">
        <f>IFERROR(BDH(Database!$A445&amp;" HK Equity","PE_RATIO",Database!$H445,Database!$H445),"")</f>
        <v/>
      </c>
      <c r="P445" s="180">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82">
        <f>IF($B446="","",IFERROR(BDP($B446&amp;" Action","CP036"),""))</f>
        <v/>
      </c>
      <c r="D446" s="183">
        <f>Database!S446</f>
        <v/>
      </c>
      <c r="E446" s="182">
        <f>IF($B446="","",IFERROR(BDP($B446&amp;" Action","CP037"),""))</f>
        <v/>
      </c>
      <c r="F446" s="183">
        <f>Database!T446</f>
        <v/>
      </c>
      <c r="G446" s="182">
        <f>IF($B446="","",IFERROR(BDP($B446&amp;" Action","GREENSHOE_FACILITY"),""))</f>
        <v/>
      </c>
      <c r="H446" s="182">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76">
        <f>Database!Q446</f>
        <v/>
      </c>
      <c r="O446" s="24">
        <f>IFERROR(BDH(Database!$A446&amp;" HK Equity","PE_RATIO",Database!$H446,Database!$H446),"")</f>
        <v/>
      </c>
      <c r="P446" s="180">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82">
        <f>IF($B447="","",IFERROR(BDP($B447&amp;" Action","CP036"),""))</f>
        <v/>
      </c>
      <c r="D447" s="183">
        <f>Database!S447</f>
        <v/>
      </c>
      <c r="E447" s="182">
        <f>IF($B447="","",IFERROR(BDP($B447&amp;" Action","CP037"),""))</f>
        <v/>
      </c>
      <c r="F447" s="183">
        <f>Database!T447</f>
        <v/>
      </c>
      <c r="G447" s="182">
        <f>IF($B447="","",IFERROR(BDP($B447&amp;" Action","GREENSHOE_FACILITY"),""))</f>
        <v/>
      </c>
      <c r="H447" s="182">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76">
        <f>Database!Q447</f>
        <v/>
      </c>
      <c r="O447" s="24">
        <f>IFERROR(BDH(Database!$A447&amp;" HK Equity","PE_RATIO",Database!$H447,Database!$H447),"")</f>
        <v/>
      </c>
      <c r="P447" s="180">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82">
        <f>IF($B448="","",IFERROR(BDP($B448&amp;" Action","CP036"),""))</f>
        <v/>
      </c>
      <c r="D448" s="183">
        <f>Database!S448</f>
        <v/>
      </c>
      <c r="E448" s="182">
        <f>IF($B448="","",IFERROR(BDP($B448&amp;" Action","CP037"),""))</f>
        <v/>
      </c>
      <c r="F448" s="183">
        <f>Database!T448</f>
        <v/>
      </c>
      <c r="G448" s="182">
        <f>IF($B448="","",IFERROR(BDP($B448&amp;" Action","GREENSHOE_FACILITY"),""))</f>
        <v/>
      </c>
      <c r="H448" s="182">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76">
        <f>Database!Q448</f>
        <v/>
      </c>
      <c r="O448" s="24">
        <f>IFERROR(BDH(Database!$A448&amp;" HK Equity","PE_RATIO",Database!$H448,Database!$H448),"")</f>
        <v/>
      </c>
      <c r="P448" s="180">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82">
        <f>IF($B449="","",IFERROR(BDP($B449&amp;" Action","CP036"),""))</f>
        <v/>
      </c>
      <c r="D449" s="183">
        <f>Database!S449</f>
        <v/>
      </c>
      <c r="E449" s="182">
        <f>IF($B449="","",IFERROR(BDP($B449&amp;" Action","CP037"),""))</f>
        <v/>
      </c>
      <c r="F449" s="183">
        <f>Database!T449</f>
        <v/>
      </c>
      <c r="G449" s="182">
        <f>IF($B449="","",IFERROR(BDP($B449&amp;" Action","GREENSHOE_FACILITY"),""))</f>
        <v/>
      </c>
      <c r="H449" s="182">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76">
        <f>Database!Q449</f>
        <v/>
      </c>
      <c r="O449" s="24">
        <f>IFERROR(BDH(Database!$A449&amp;" HK Equity","PE_RATIO",Database!$H449,Database!$H449),"")</f>
        <v/>
      </c>
      <c r="P449" s="180">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82">
        <f>IF($B450="","",IFERROR(BDP($B450&amp;" Action","CP036"),""))</f>
        <v/>
      </c>
      <c r="D450" s="183">
        <f>Database!S450</f>
        <v/>
      </c>
      <c r="E450" s="182">
        <f>IF($B450="","",IFERROR(BDP($B450&amp;" Action","CP037"),""))</f>
        <v/>
      </c>
      <c r="F450" s="183">
        <f>Database!T450</f>
        <v/>
      </c>
      <c r="G450" s="182">
        <f>IF($B450="","",IFERROR(BDP($B450&amp;" Action","GREENSHOE_FACILITY"),""))</f>
        <v/>
      </c>
      <c r="H450" s="182">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76">
        <f>Database!Q450</f>
        <v/>
      </c>
      <c r="O450" s="24">
        <f>IFERROR(BDH(Database!$A450&amp;" HK Equity","PE_RATIO",Database!$H450,Database!$H450),"")</f>
        <v/>
      </c>
      <c r="P450" s="180">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82">
        <f>IF($B451="","",IFERROR(BDP($B451&amp;" Action","CP036"),""))</f>
        <v/>
      </c>
      <c r="D451" s="183">
        <f>Database!S451</f>
        <v/>
      </c>
      <c r="E451" s="182">
        <f>IF($B451="","",IFERROR(BDP($B451&amp;" Action","CP037"),""))</f>
        <v/>
      </c>
      <c r="F451" s="183">
        <f>Database!T451</f>
        <v/>
      </c>
      <c r="G451" s="182">
        <f>IF($B451="","",IFERROR(BDP($B451&amp;" Action","GREENSHOE_FACILITY"),""))</f>
        <v/>
      </c>
      <c r="H451" s="182">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76">
        <f>Database!Q451</f>
        <v/>
      </c>
      <c r="O451" s="24">
        <f>IFERROR(BDH(Database!$A451&amp;" HK Equity","PE_RATIO",Database!$H451,Database!$H451),"")</f>
        <v/>
      </c>
      <c r="P451" s="180">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82">
        <f>IF($B452="","",IFERROR(BDP($B452&amp;" Action","CP036"),""))</f>
        <v/>
      </c>
      <c r="D452" s="183">
        <f>Database!S452</f>
        <v/>
      </c>
      <c r="E452" s="182">
        <f>IF($B452="","",IFERROR(BDP($B452&amp;" Action","CP037"),""))</f>
        <v/>
      </c>
      <c r="F452" s="183">
        <f>Database!T452</f>
        <v/>
      </c>
      <c r="G452" s="182">
        <f>IF($B452="","",IFERROR(BDP($B452&amp;" Action","GREENSHOE_FACILITY"),""))</f>
        <v/>
      </c>
      <c r="H452" s="182">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76">
        <f>Database!Q452</f>
        <v/>
      </c>
      <c r="O452" s="24">
        <f>IFERROR(BDH(Database!$A452&amp;" HK Equity","PE_RATIO",Database!$H452,Database!$H452),"")</f>
        <v/>
      </c>
      <c r="P452" s="180">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82">
        <f>IF($B453="","",IFERROR(BDP($B453&amp;" Action","CP036"),""))</f>
        <v/>
      </c>
      <c r="D453" s="183">
        <f>Database!S453</f>
        <v/>
      </c>
      <c r="E453" s="182">
        <f>IF($B453="","",IFERROR(BDP($B453&amp;" Action","CP037"),""))</f>
        <v/>
      </c>
      <c r="F453" s="183">
        <f>Database!T453</f>
        <v/>
      </c>
      <c r="G453" s="182">
        <f>IF($B453="","",IFERROR(BDP($B453&amp;" Action","GREENSHOE_FACILITY"),""))</f>
        <v/>
      </c>
      <c r="H453" s="182">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76">
        <f>Database!Q453</f>
        <v/>
      </c>
      <c r="O453" s="24">
        <f>IFERROR(BDH(Database!$A453&amp;" HK Equity","PE_RATIO",Database!$H453,Database!$H453),"")</f>
        <v/>
      </c>
      <c r="P453" s="180">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82">
        <f>IF($B454="","",IFERROR(BDP($B454&amp;" Action","CP036"),""))</f>
        <v/>
      </c>
      <c r="D454" s="183">
        <f>Database!S454</f>
        <v/>
      </c>
      <c r="E454" s="182">
        <f>IF($B454="","",IFERROR(BDP($B454&amp;" Action","CP037"),""))</f>
        <v/>
      </c>
      <c r="F454" s="183">
        <f>Database!T454</f>
        <v/>
      </c>
      <c r="G454" s="182">
        <f>IF($B454="","",IFERROR(BDP($B454&amp;" Action","GREENSHOE_FACILITY"),""))</f>
        <v/>
      </c>
      <c r="H454" s="182">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76">
        <f>Database!Q454</f>
        <v/>
      </c>
      <c r="O454" s="24">
        <f>IFERROR(BDH(Database!$A454&amp;" HK Equity","PE_RATIO",Database!$H454,Database!$H454),"")</f>
        <v/>
      </c>
      <c r="P454" s="180">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82">
        <f>IF($B455="","",IFERROR(BDP($B455&amp;" Action","CP036"),""))</f>
        <v/>
      </c>
      <c r="D455" s="183">
        <f>Database!S455</f>
        <v/>
      </c>
      <c r="E455" s="182">
        <f>IF($B455="","",IFERROR(BDP($B455&amp;" Action","CP037"),""))</f>
        <v/>
      </c>
      <c r="F455" s="183">
        <f>Database!T455</f>
        <v/>
      </c>
      <c r="G455" s="182">
        <f>IF($B455="","",IFERROR(BDP($B455&amp;" Action","GREENSHOE_FACILITY"),""))</f>
        <v/>
      </c>
      <c r="H455" s="182">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76">
        <f>Database!Q455</f>
        <v/>
      </c>
      <c r="O455" s="24">
        <f>IFERROR(BDH(Database!$A455&amp;" HK Equity","PE_RATIO",Database!$H455,Database!$H455),"")</f>
        <v/>
      </c>
      <c r="P455" s="180">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82">
        <f>IF($B456="","",IFERROR(BDP($B456&amp;" Action","CP036"),""))</f>
        <v/>
      </c>
      <c r="D456" s="183">
        <f>Database!S456</f>
        <v/>
      </c>
      <c r="E456" s="182">
        <f>IF($B456="","",IFERROR(BDP($B456&amp;" Action","CP037"),""))</f>
        <v/>
      </c>
      <c r="F456" s="183">
        <f>Database!T456</f>
        <v/>
      </c>
      <c r="G456" s="182">
        <f>IF($B456="","",IFERROR(BDP($B456&amp;" Action","GREENSHOE_FACILITY"),""))</f>
        <v/>
      </c>
      <c r="H456" s="182">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76">
        <f>Database!Q456</f>
        <v/>
      </c>
      <c r="O456" s="24">
        <f>IFERROR(BDH(Database!$A456&amp;" HK Equity","PE_RATIO",Database!$H456,Database!$H456),"")</f>
        <v/>
      </c>
      <c r="P456" s="180">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82">
        <f>IF($B457="","",IFERROR(BDP($B457&amp;" Action","CP036"),""))</f>
        <v/>
      </c>
      <c r="D457" s="183">
        <f>Database!S457</f>
        <v/>
      </c>
      <c r="E457" s="182">
        <f>IF($B457="","",IFERROR(BDP($B457&amp;" Action","CP037"),""))</f>
        <v/>
      </c>
      <c r="F457" s="183">
        <f>Database!T457</f>
        <v/>
      </c>
      <c r="G457" s="182">
        <f>IF($B457="","",IFERROR(BDP($B457&amp;" Action","GREENSHOE_FACILITY"),""))</f>
        <v/>
      </c>
      <c r="H457" s="182">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76">
        <f>Database!Q457</f>
        <v/>
      </c>
      <c r="O457" s="24">
        <f>IFERROR(BDH(Database!$A457&amp;" HK Equity","PE_RATIO",Database!$H457,Database!$H457),"")</f>
        <v/>
      </c>
      <c r="P457" s="180">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82">
        <f>IF($B458="","",IFERROR(BDP($B458&amp;" Action","CP036"),""))</f>
        <v/>
      </c>
      <c r="D458" s="183">
        <f>Database!S458</f>
        <v/>
      </c>
      <c r="E458" s="182">
        <f>IF($B458="","",IFERROR(BDP($B458&amp;" Action","CP037"),""))</f>
        <v/>
      </c>
      <c r="F458" s="183">
        <f>Database!T458</f>
        <v/>
      </c>
      <c r="G458" s="182">
        <f>IF($B458="","",IFERROR(BDP($B458&amp;" Action","GREENSHOE_FACILITY"),""))</f>
        <v/>
      </c>
      <c r="H458" s="182">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76">
        <f>Database!Q458</f>
        <v/>
      </c>
      <c r="O458" s="24">
        <f>IFERROR(BDH(Database!$A458&amp;" HK Equity","PE_RATIO",Database!$H458,Database!$H458),"")</f>
        <v/>
      </c>
      <c r="P458" s="180">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82">
        <f>IF($B459="","",IFERROR(BDP($B459&amp;" Action","CP036"),""))</f>
        <v/>
      </c>
      <c r="D459" s="183">
        <f>Database!S459</f>
        <v/>
      </c>
      <c r="E459" s="182">
        <f>IF($B459="","",IFERROR(BDP($B459&amp;" Action","CP037"),""))</f>
        <v/>
      </c>
      <c r="F459" s="183">
        <f>Database!T459</f>
        <v/>
      </c>
      <c r="G459" s="182">
        <f>IF($B459="","",IFERROR(BDP($B459&amp;" Action","GREENSHOE_FACILITY"),""))</f>
        <v/>
      </c>
      <c r="H459" s="182">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76">
        <f>Database!Q459</f>
        <v/>
      </c>
      <c r="O459" s="24">
        <f>IFERROR(BDH(Database!$A459&amp;" HK Equity","PE_RATIO",Database!$H459,Database!$H459),"")</f>
        <v/>
      </c>
      <c r="P459" s="180">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82">
        <f>IF($B460="","",IFERROR(BDP($B460&amp;" Action","CP036"),""))</f>
        <v/>
      </c>
      <c r="D460" s="183">
        <f>Database!S460</f>
        <v/>
      </c>
      <c r="E460" s="182">
        <f>IF($B460="","",IFERROR(BDP($B460&amp;" Action","CP037"),""))</f>
        <v/>
      </c>
      <c r="F460" s="183">
        <f>Database!T460</f>
        <v/>
      </c>
      <c r="G460" s="182">
        <f>IF($B460="","",IFERROR(BDP($B460&amp;" Action","GREENSHOE_FACILITY"),""))</f>
        <v/>
      </c>
      <c r="H460" s="182">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76">
        <f>Database!Q460</f>
        <v/>
      </c>
      <c r="O460" s="24">
        <f>IFERROR(BDH(Database!$A460&amp;" HK Equity","PE_RATIO",Database!$H460,Database!$H460),"")</f>
        <v/>
      </c>
      <c r="P460" s="180">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82">
        <f>IF($B461="","",IFERROR(BDP($B461&amp;" Action","CP036"),""))</f>
        <v/>
      </c>
      <c r="D461" s="183">
        <f>Database!S461</f>
        <v/>
      </c>
      <c r="E461" s="182">
        <f>IF($B461="","",IFERROR(BDP($B461&amp;" Action","CP037"),""))</f>
        <v/>
      </c>
      <c r="F461" s="183">
        <f>Database!T461</f>
        <v/>
      </c>
      <c r="G461" s="182">
        <f>IF($B461="","",IFERROR(BDP($B461&amp;" Action","GREENSHOE_FACILITY"),""))</f>
        <v/>
      </c>
      <c r="H461" s="182">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76">
        <f>Database!Q461</f>
        <v/>
      </c>
      <c r="O461" s="24">
        <f>IFERROR(BDH(Database!$A461&amp;" HK Equity","PE_RATIO",Database!$H461,Database!$H461),"")</f>
        <v/>
      </c>
      <c r="P461" s="180">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82">
        <f>IF($B462="","",IFERROR(BDP($B462&amp;" Action","CP036"),""))</f>
        <v/>
      </c>
      <c r="D462" s="183">
        <f>Database!S462</f>
        <v/>
      </c>
      <c r="E462" s="182">
        <f>IF($B462="","",IFERROR(BDP($B462&amp;" Action","CP037"),""))</f>
        <v/>
      </c>
      <c r="F462" s="183">
        <f>Database!T462</f>
        <v/>
      </c>
      <c r="G462" s="182">
        <f>IF($B462="","",IFERROR(BDP($B462&amp;" Action","GREENSHOE_FACILITY"),""))</f>
        <v/>
      </c>
      <c r="H462" s="182">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76">
        <f>Database!Q462</f>
        <v/>
      </c>
      <c r="O462" s="24">
        <f>IFERROR(BDH(Database!$A462&amp;" HK Equity","PE_RATIO",Database!$H462,Database!$H462),"")</f>
        <v/>
      </c>
      <c r="P462" s="180">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82">
        <f>IF($B463="","",IFERROR(BDP($B463&amp;" Action","CP036"),""))</f>
        <v/>
      </c>
      <c r="D463" s="183">
        <f>Database!S463</f>
        <v/>
      </c>
      <c r="E463" s="182">
        <f>IF($B463="","",IFERROR(BDP($B463&amp;" Action","CP037"),""))</f>
        <v/>
      </c>
      <c r="F463" s="183">
        <f>Database!T463</f>
        <v/>
      </c>
      <c r="G463" s="182">
        <f>IF($B463="","",IFERROR(BDP($B463&amp;" Action","GREENSHOE_FACILITY"),""))</f>
        <v/>
      </c>
      <c r="H463" s="182">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76">
        <f>Database!Q463</f>
        <v/>
      </c>
      <c r="O463" s="24">
        <f>IFERROR(BDH(Database!$A463&amp;" HK Equity","PE_RATIO",Database!$H463,Database!$H463),"")</f>
        <v/>
      </c>
      <c r="P463" s="180">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82">
        <f>IF($B464="","",IFERROR(BDP($B464&amp;" Action","CP036"),""))</f>
        <v/>
      </c>
      <c r="D464" s="183">
        <f>Database!S464</f>
        <v/>
      </c>
      <c r="E464" s="182">
        <f>IF($B464="","",IFERROR(BDP($B464&amp;" Action","CP037"),""))</f>
        <v/>
      </c>
      <c r="F464" s="183">
        <f>Database!T464</f>
        <v/>
      </c>
      <c r="G464" s="182">
        <f>IF($B464="","",IFERROR(BDP($B464&amp;" Action","GREENSHOE_FACILITY"),""))</f>
        <v/>
      </c>
      <c r="H464" s="182">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76">
        <f>Database!Q464</f>
        <v/>
      </c>
      <c r="O464" s="24">
        <f>IFERROR(BDH(Database!$A464&amp;" HK Equity","PE_RATIO",Database!$H464,Database!$H464),"")</f>
        <v/>
      </c>
      <c r="P464" s="180">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82">
        <f>IF($B465="","",IFERROR(BDP($B465&amp;" Action","CP036"),""))</f>
        <v/>
      </c>
      <c r="D465" s="183">
        <f>Database!S465</f>
        <v/>
      </c>
      <c r="E465" s="182">
        <f>IF($B465="","",IFERROR(BDP($B465&amp;" Action","CP037"),""))</f>
        <v/>
      </c>
      <c r="F465" s="183">
        <f>Database!T465</f>
        <v/>
      </c>
      <c r="G465" s="182">
        <f>IF($B465="","",IFERROR(BDP($B465&amp;" Action","GREENSHOE_FACILITY"),""))</f>
        <v/>
      </c>
      <c r="H465" s="182">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76">
        <f>Database!Q465</f>
        <v/>
      </c>
      <c r="O465" s="24">
        <f>IFERROR(BDH(Database!$A465&amp;" HK Equity","PE_RATIO",Database!$H465,Database!$H465),"")</f>
        <v/>
      </c>
      <c r="P465" s="180">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82">
        <f>IF($B466="","",IFERROR(BDP($B466&amp;" Action","CP036"),""))</f>
        <v/>
      </c>
      <c r="D466" s="183">
        <f>Database!S466</f>
        <v/>
      </c>
      <c r="E466" s="182">
        <f>IF($B466="","",IFERROR(BDP($B466&amp;" Action","CP037"),""))</f>
        <v/>
      </c>
      <c r="F466" s="183">
        <f>Database!T466</f>
        <v/>
      </c>
      <c r="G466" s="182">
        <f>IF($B466="","",IFERROR(BDP($B466&amp;" Action","GREENSHOE_FACILITY"),""))</f>
        <v/>
      </c>
      <c r="H466" s="182">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76">
        <f>Database!Q466</f>
        <v/>
      </c>
      <c r="O466" s="24">
        <f>IFERROR(BDH(Database!$A466&amp;" HK Equity","PE_RATIO",Database!$H466,Database!$H466),"")</f>
        <v/>
      </c>
      <c r="P466" s="180">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82">
        <f>IF($B467="","",IFERROR(BDP($B467&amp;" Action","CP036"),""))</f>
        <v/>
      </c>
      <c r="D467" s="183">
        <f>Database!S467</f>
        <v/>
      </c>
      <c r="E467" s="182">
        <f>IF($B467="","",IFERROR(BDP($B467&amp;" Action","CP037"),""))</f>
        <v/>
      </c>
      <c r="F467" s="183">
        <f>Database!T467</f>
        <v/>
      </c>
      <c r="G467" s="182">
        <f>IF($B467="","",IFERROR(BDP($B467&amp;" Action","GREENSHOE_FACILITY"),""))</f>
        <v/>
      </c>
      <c r="H467" s="182">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76">
        <f>Database!Q467</f>
        <v/>
      </c>
      <c r="O467" s="24">
        <f>IFERROR(BDH(Database!$A467&amp;" HK Equity","PE_RATIO",Database!$H467,Database!$H467),"")</f>
        <v/>
      </c>
      <c r="P467" s="180">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82">
        <f>IF($B468="","",IFERROR(BDP($B468&amp;" Action","CP036"),""))</f>
        <v/>
      </c>
      <c r="D468" s="183">
        <f>Database!S468</f>
        <v/>
      </c>
      <c r="E468" s="182">
        <f>IF($B468="","",IFERROR(BDP($B468&amp;" Action","CP037"),""))</f>
        <v/>
      </c>
      <c r="F468" s="183">
        <f>Database!T468</f>
        <v/>
      </c>
      <c r="G468" s="182">
        <f>IF($B468="","",IFERROR(BDP($B468&amp;" Action","GREENSHOE_FACILITY"),""))</f>
        <v/>
      </c>
      <c r="H468" s="182">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76">
        <f>Database!Q468</f>
        <v/>
      </c>
      <c r="O468" s="24">
        <f>IFERROR(BDH(Database!$A468&amp;" HK Equity","PE_RATIO",Database!$H468,Database!$H468),"")</f>
        <v/>
      </c>
      <c r="P468" s="180">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82">
        <f>IF($B469="","",IFERROR(BDP($B469&amp;" Action","CP036"),""))</f>
        <v/>
      </c>
      <c r="D469" s="183">
        <f>Database!S469</f>
        <v/>
      </c>
      <c r="E469" s="182">
        <f>IF($B469="","",IFERROR(BDP($B469&amp;" Action","CP037"),""))</f>
        <v/>
      </c>
      <c r="F469" s="183">
        <f>Database!T469</f>
        <v/>
      </c>
      <c r="G469" s="182">
        <f>IF($B469="","",IFERROR(BDP($B469&amp;" Action","GREENSHOE_FACILITY"),""))</f>
        <v/>
      </c>
      <c r="H469" s="182">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76">
        <f>Database!Q469</f>
        <v/>
      </c>
      <c r="O469" s="24">
        <f>IFERROR(BDH(Database!$A469&amp;" HK Equity","PE_RATIO",Database!$H469,Database!$H469),"")</f>
        <v/>
      </c>
      <c r="P469" s="180">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82">
        <f>IF($B470="","",IFERROR(BDP($B470&amp;" Action","CP036"),""))</f>
        <v/>
      </c>
      <c r="D470" s="183">
        <f>Database!S470</f>
        <v/>
      </c>
      <c r="E470" s="182">
        <f>IF($B470="","",IFERROR(BDP($B470&amp;" Action","CP037"),""))</f>
        <v/>
      </c>
      <c r="F470" s="183">
        <f>Database!T470</f>
        <v/>
      </c>
      <c r="G470" s="182">
        <f>IF($B470="","",IFERROR(BDP($B470&amp;" Action","GREENSHOE_FACILITY"),""))</f>
        <v/>
      </c>
      <c r="H470" s="182">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76">
        <f>Database!Q470</f>
        <v/>
      </c>
      <c r="O470" s="24">
        <f>IFERROR(BDH(Database!$A470&amp;" HK Equity","PE_RATIO",Database!$H470,Database!$H470),"")</f>
        <v/>
      </c>
      <c r="P470" s="180">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82">
        <f>IF($B471="","",IFERROR(BDP($B471&amp;" Action","CP036"),""))</f>
        <v/>
      </c>
      <c r="D471" s="183">
        <f>Database!S471</f>
        <v/>
      </c>
      <c r="E471" s="182">
        <f>IF($B471="","",IFERROR(BDP($B471&amp;" Action","CP037"),""))</f>
        <v/>
      </c>
      <c r="F471" s="183">
        <f>Database!T471</f>
        <v/>
      </c>
      <c r="G471" s="182">
        <f>IF($B471="","",IFERROR(BDP($B471&amp;" Action","GREENSHOE_FACILITY"),""))</f>
        <v/>
      </c>
      <c r="H471" s="182">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76">
        <f>Database!Q471</f>
        <v/>
      </c>
      <c r="O471" s="24">
        <f>IFERROR(BDH(Database!$A471&amp;" HK Equity","PE_RATIO",Database!$H471,Database!$H471),"")</f>
        <v/>
      </c>
      <c r="P471" s="180">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82">
        <f>IF($B472="","",IFERROR(BDP($B472&amp;" Action","CP036"),""))</f>
        <v/>
      </c>
      <c r="D472" s="183">
        <f>Database!S472</f>
        <v/>
      </c>
      <c r="E472" s="182">
        <f>IF($B472="","",IFERROR(BDP($B472&amp;" Action","CP037"),""))</f>
        <v/>
      </c>
      <c r="F472" s="183">
        <f>Database!T472</f>
        <v/>
      </c>
      <c r="G472" s="182">
        <f>IF($B472="","",IFERROR(BDP($B472&amp;" Action","GREENSHOE_FACILITY"),""))</f>
        <v/>
      </c>
      <c r="H472" s="182">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76">
        <f>Database!Q472</f>
        <v/>
      </c>
      <c r="O472" s="24">
        <f>IFERROR(BDH(Database!$A472&amp;" HK Equity","PE_RATIO",Database!$H472,Database!$H472),"")</f>
        <v/>
      </c>
      <c r="P472" s="180">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82">
        <f>IF($B473="","",IFERROR(BDP($B473&amp;" Action","CP036"),""))</f>
        <v/>
      </c>
      <c r="D473" s="183">
        <f>Database!S473</f>
        <v/>
      </c>
      <c r="E473" s="182">
        <f>IF($B473="","",IFERROR(BDP($B473&amp;" Action","CP037"),""))</f>
        <v/>
      </c>
      <c r="F473" s="183">
        <f>Database!T473</f>
        <v/>
      </c>
      <c r="G473" s="182">
        <f>IF($B473="","",IFERROR(BDP($B473&amp;" Action","GREENSHOE_FACILITY"),""))</f>
        <v/>
      </c>
      <c r="H473" s="182">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76">
        <f>Database!Q473</f>
        <v/>
      </c>
      <c r="O473" s="24">
        <f>IFERROR(BDH(Database!$A473&amp;" HK Equity","PE_RATIO",Database!$H473,Database!$H473),"")</f>
        <v/>
      </c>
      <c r="P473" s="180">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82">
        <f>IF($B474="","",IFERROR(BDP($B474&amp;" Action","CP036"),""))</f>
        <v/>
      </c>
      <c r="D474" s="183">
        <f>Database!S474</f>
        <v/>
      </c>
      <c r="E474" s="182">
        <f>IF($B474="","",IFERROR(BDP($B474&amp;" Action","CP037"),""))</f>
        <v/>
      </c>
      <c r="F474" s="183">
        <f>Database!T474</f>
        <v/>
      </c>
      <c r="G474" s="182">
        <f>IF($B474="","",IFERROR(BDP($B474&amp;" Action","GREENSHOE_FACILITY"),""))</f>
        <v/>
      </c>
      <c r="H474" s="182">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76">
        <f>Database!Q474</f>
        <v/>
      </c>
      <c r="O474" s="24">
        <f>IFERROR(BDH(Database!$A474&amp;" HK Equity","PE_RATIO",Database!$H474,Database!$H474),"")</f>
        <v/>
      </c>
      <c r="P474" s="180">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82">
        <f>IF($B475="","",IFERROR(BDP($B475&amp;" Action","CP036"),""))</f>
        <v/>
      </c>
      <c r="D475" s="183">
        <f>Database!S475</f>
        <v/>
      </c>
      <c r="E475" s="182">
        <f>IF($B475="","",IFERROR(BDP($B475&amp;" Action","CP037"),""))</f>
        <v/>
      </c>
      <c r="F475" s="183">
        <f>Database!T475</f>
        <v/>
      </c>
      <c r="G475" s="182">
        <f>IF($B475="","",IFERROR(BDP($B475&amp;" Action","GREENSHOE_FACILITY"),""))</f>
        <v/>
      </c>
      <c r="H475" s="182">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76">
        <f>Database!Q475</f>
        <v/>
      </c>
      <c r="O475" s="24">
        <f>IFERROR(BDH(Database!$A475&amp;" HK Equity","PE_RATIO",Database!$H475,Database!$H475),"")</f>
        <v/>
      </c>
      <c r="P475" s="180">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82">
        <f>IF($B476="","",IFERROR(BDP($B476&amp;" Action","CP036"),""))</f>
        <v/>
      </c>
      <c r="D476" s="183">
        <f>Database!S476</f>
        <v/>
      </c>
      <c r="E476" s="182">
        <f>IF($B476="","",IFERROR(BDP($B476&amp;" Action","CP037"),""))</f>
        <v/>
      </c>
      <c r="F476" s="183">
        <f>Database!T476</f>
        <v/>
      </c>
      <c r="G476" s="182">
        <f>IF($B476="","",IFERROR(BDP($B476&amp;" Action","GREENSHOE_FACILITY"),""))</f>
        <v/>
      </c>
      <c r="H476" s="182">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76">
        <f>Database!Q476</f>
        <v/>
      </c>
      <c r="O476" s="24">
        <f>IFERROR(BDH(Database!$A476&amp;" HK Equity","PE_RATIO",Database!$H476,Database!$H476),"")</f>
        <v/>
      </c>
      <c r="P476" s="180">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82">
        <f>IF($B477="","",IFERROR(BDP($B477&amp;" Action","CP036"),""))</f>
        <v/>
      </c>
      <c r="D477" s="183">
        <f>Database!S477</f>
        <v/>
      </c>
      <c r="E477" s="182">
        <f>IF($B477="","",IFERROR(BDP($B477&amp;" Action","CP037"),""))</f>
        <v/>
      </c>
      <c r="F477" s="183">
        <f>Database!T477</f>
        <v/>
      </c>
      <c r="G477" s="182">
        <f>IF($B477="","",IFERROR(BDP($B477&amp;" Action","GREENSHOE_FACILITY"),""))</f>
        <v/>
      </c>
      <c r="H477" s="182">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76">
        <f>Database!Q477</f>
        <v/>
      </c>
      <c r="O477" s="24">
        <f>IFERROR(BDH(Database!$A477&amp;" HK Equity","PE_RATIO",Database!$H477,Database!$H477),"")</f>
        <v/>
      </c>
      <c r="P477" s="180">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82">
        <f>IF($B478="","",IFERROR(BDP($B478&amp;" Action","CP036"),""))</f>
        <v/>
      </c>
      <c r="D478" s="183">
        <f>Database!S478</f>
        <v/>
      </c>
      <c r="E478" s="182">
        <f>IF($B478="","",IFERROR(BDP($B478&amp;" Action","CP037"),""))</f>
        <v/>
      </c>
      <c r="F478" s="183">
        <f>Database!T478</f>
        <v/>
      </c>
      <c r="G478" s="182">
        <f>IF($B478="","",IFERROR(BDP($B478&amp;" Action","GREENSHOE_FACILITY"),""))</f>
        <v/>
      </c>
      <c r="H478" s="182">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76">
        <f>Database!Q478</f>
        <v/>
      </c>
      <c r="O478" s="24">
        <f>IFERROR(BDH(Database!$A478&amp;" HK Equity","PE_RATIO",Database!$H478,Database!$H478),"")</f>
        <v/>
      </c>
      <c r="P478" s="180">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82">
        <f>IF($B479="","",IFERROR(BDP($B479&amp;" Action","CP036"),""))</f>
        <v/>
      </c>
      <c r="D479" s="183">
        <f>Database!S479</f>
        <v/>
      </c>
      <c r="E479" s="182">
        <f>IF($B479="","",IFERROR(BDP($B479&amp;" Action","CP037"),""))</f>
        <v/>
      </c>
      <c r="F479" s="183">
        <f>Database!T479</f>
        <v/>
      </c>
      <c r="G479" s="182">
        <f>IF($B479="","",IFERROR(BDP($B479&amp;" Action","GREENSHOE_FACILITY"),""))</f>
        <v/>
      </c>
      <c r="H479" s="182">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76">
        <f>Database!Q479</f>
        <v/>
      </c>
      <c r="O479" s="24">
        <f>IFERROR(BDH(Database!$A479&amp;" HK Equity","PE_RATIO",Database!$H479,Database!$H479),"")</f>
        <v/>
      </c>
      <c r="P479" s="180">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82">
        <f>IF($B480="","",IFERROR(BDP($B480&amp;" Action","CP036"),""))</f>
        <v/>
      </c>
      <c r="D480" s="183">
        <f>Database!S480</f>
        <v/>
      </c>
      <c r="E480" s="182">
        <f>IF($B480="","",IFERROR(BDP($B480&amp;" Action","CP037"),""))</f>
        <v/>
      </c>
      <c r="F480" s="183">
        <f>Database!T480</f>
        <v/>
      </c>
      <c r="G480" s="182">
        <f>IF($B480="","",IFERROR(BDP($B480&amp;" Action","GREENSHOE_FACILITY"),""))</f>
        <v/>
      </c>
      <c r="H480" s="182">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76">
        <f>Database!Q480</f>
        <v/>
      </c>
      <c r="O480" s="24">
        <f>IFERROR(BDH(Database!$A480&amp;" HK Equity","PE_RATIO",Database!$H480,Database!$H480),"")</f>
        <v/>
      </c>
      <c r="P480" s="180">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82">
        <f>IF($B481="","",IFERROR(BDP($B481&amp;" Action","CP036"),""))</f>
        <v/>
      </c>
      <c r="D481" s="183">
        <f>Database!S481</f>
        <v/>
      </c>
      <c r="E481" s="182">
        <f>IF($B481="","",IFERROR(BDP($B481&amp;" Action","CP037"),""))</f>
        <v/>
      </c>
      <c r="F481" s="183">
        <f>Database!T481</f>
        <v/>
      </c>
      <c r="G481" s="182">
        <f>IF($B481="","",IFERROR(BDP($B481&amp;" Action","GREENSHOE_FACILITY"),""))</f>
        <v/>
      </c>
      <c r="H481" s="182">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76">
        <f>Database!Q481</f>
        <v/>
      </c>
      <c r="O481" s="24">
        <f>IFERROR(BDH(Database!$A481&amp;" HK Equity","PE_RATIO",Database!$H481,Database!$H481),"")</f>
        <v/>
      </c>
      <c r="P481" s="180">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82">
        <f>IF($B482="","",IFERROR(BDP($B482&amp;" Action","CP036"),""))</f>
        <v/>
      </c>
      <c r="D482" s="183">
        <f>Database!S482</f>
        <v/>
      </c>
      <c r="E482" s="182">
        <f>IF($B482="","",IFERROR(BDP($B482&amp;" Action","CP037"),""))</f>
        <v/>
      </c>
      <c r="F482" s="183">
        <f>Database!T482</f>
        <v/>
      </c>
      <c r="G482" s="182">
        <f>IF($B482="","",IFERROR(BDP($B482&amp;" Action","GREENSHOE_FACILITY"),""))</f>
        <v/>
      </c>
      <c r="H482" s="182">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76">
        <f>Database!Q482</f>
        <v/>
      </c>
      <c r="O482" s="24">
        <f>IFERROR(BDH(Database!$A482&amp;" HK Equity","PE_RATIO",Database!$H482,Database!$H482),"")</f>
        <v/>
      </c>
      <c r="P482" s="180">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82">
        <f>IF($B483="","",IFERROR(BDP($B483&amp;" Action","CP036"),""))</f>
        <v/>
      </c>
      <c r="D483" s="183">
        <f>Database!S483</f>
        <v/>
      </c>
      <c r="E483" s="182">
        <f>IF($B483="","",IFERROR(BDP($B483&amp;" Action","CP037"),""))</f>
        <v/>
      </c>
      <c r="F483" s="183">
        <f>Database!T483</f>
        <v/>
      </c>
      <c r="G483" s="182">
        <f>IF($B483="","",IFERROR(BDP($B483&amp;" Action","GREENSHOE_FACILITY"),""))</f>
        <v/>
      </c>
      <c r="H483" s="182">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76">
        <f>Database!Q483</f>
        <v/>
      </c>
      <c r="O483" s="24">
        <f>IFERROR(BDH(Database!$A483&amp;" HK Equity","PE_RATIO",Database!$H483,Database!$H483),"")</f>
        <v/>
      </c>
      <c r="P483" s="180">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82">
        <f>IF($B484="","",IFERROR(BDP($B484&amp;" Action","CP036"),""))</f>
        <v/>
      </c>
      <c r="D484" s="183">
        <f>Database!S484</f>
        <v/>
      </c>
      <c r="E484" s="182">
        <f>IF($B484="","",IFERROR(BDP($B484&amp;" Action","CP037"),""))</f>
        <v/>
      </c>
      <c r="F484" s="183">
        <f>Database!T484</f>
        <v/>
      </c>
      <c r="G484" s="182">
        <f>IF($B484="","",IFERROR(BDP($B484&amp;" Action","GREENSHOE_FACILITY"),""))</f>
        <v/>
      </c>
      <c r="H484" s="182">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76">
        <f>Database!Q484</f>
        <v/>
      </c>
      <c r="O484" s="24">
        <f>IFERROR(BDH(Database!$A484&amp;" HK Equity","PE_RATIO",Database!$H484,Database!$H484),"")</f>
        <v/>
      </c>
      <c r="P484" s="180">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82">
        <f>IF($B485="","",IFERROR(BDP($B485&amp;" Action","CP036"),""))</f>
        <v/>
      </c>
      <c r="D485" s="183">
        <f>Database!S485</f>
        <v/>
      </c>
      <c r="E485" s="182">
        <f>IF($B485="","",IFERROR(BDP($B485&amp;" Action","CP037"),""))</f>
        <v/>
      </c>
      <c r="F485" s="183">
        <f>Database!T485</f>
        <v/>
      </c>
      <c r="G485" s="182">
        <f>IF($B485="","",IFERROR(BDP($B485&amp;" Action","GREENSHOE_FACILITY"),""))</f>
        <v/>
      </c>
      <c r="H485" s="182">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76">
        <f>Database!Q485</f>
        <v/>
      </c>
      <c r="O485" s="24">
        <f>IFERROR(BDH(Database!$A485&amp;" HK Equity","PE_RATIO",Database!$H485,Database!$H485),"")</f>
        <v/>
      </c>
      <c r="P485" s="180">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82">
        <f>IF($B486="","",IFERROR(BDP($B486&amp;" Action","CP036"),""))</f>
        <v/>
      </c>
      <c r="D486" s="183">
        <f>Database!S486</f>
        <v/>
      </c>
      <c r="E486" s="182">
        <f>IF($B486="","",IFERROR(BDP($B486&amp;" Action","CP037"),""))</f>
        <v/>
      </c>
      <c r="F486" s="183">
        <f>Database!T486</f>
        <v/>
      </c>
      <c r="G486" s="182">
        <f>IF($B486="","",IFERROR(BDP($B486&amp;" Action","GREENSHOE_FACILITY"),""))</f>
        <v/>
      </c>
      <c r="H486" s="182">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76">
        <f>Database!Q486</f>
        <v/>
      </c>
      <c r="O486" s="24">
        <f>IFERROR(BDH(Database!$A486&amp;" HK Equity","PE_RATIO",Database!$H486,Database!$H486),"")</f>
        <v/>
      </c>
      <c r="P486" s="180">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82">
        <f>IF($B487="","",IFERROR(BDP($B487&amp;" Action","CP036"),""))</f>
        <v/>
      </c>
      <c r="D487" s="183">
        <f>Database!S487</f>
        <v/>
      </c>
      <c r="E487" s="182">
        <f>IF($B487="","",IFERROR(BDP($B487&amp;" Action","CP037"),""))</f>
        <v/>
      </c>
      <c r="F487" s="183">
        <f>Database!T487</f>
        <v/>
      </c>
      <c r="G487" s="182">
        <f>IF($B487="","",IFERROR(BDP($B487&amp;" Action","GREENSHOE_FACILITY"),""))</f>
        <v/>
      </c>
      <c r="H487" s="182">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76">
        <f>Database!Q487</f>
        <v/>
      </c>
      <c r="O487" s="24">
        <f>IFERROR(BDH(Database!$A487&amp;" HK Equity","PE_RATIO",Database!$H487,Database!$H487),"")</f>
        <v/>
      </c>
      <c r="P487" s="180">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82">
        <f>IF($B488="","",IFERROR(BDP($B488&amp;" Action","CP036"),""))</f>
        <v/>
      </c>
      <c r="D488" s="183">
        <f>Database!S488</f>
        <v/>
      </c>
      <c r="E488" s="182">
        <f>IF($B488="","",IFERROR(BDP($B488&amp;" Action","CP037"),""))</f>
        <v/>
      </c>
      <c r="F488" s="183">
        <f>Database!T488</f>
        <v/>
      </c>
      <c r="G488" s="182">
        <f>IF($B488="","",IFERROR(BDP($B488&amp;" Action","GREENSHOE_FACILITY"),""))</f>
        <v/>
      </c>
      <c r="H488" s="182">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76">
        <f>Database!Q488</f>
        <v/>
      </c>
      <c r="O488" s="24">
        <f>IFERROR(BDH(Database!$A488&amp;" HK Equity","PE_RATIO",Database!$H488,Database!$H488),"")</f>
        <v/>
      </c>
      <c r="P488" s="180">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82">
        <f>IF($B489="","",IFERROR(BDP($B489&amp;" Action","CP036"),""))</f>
        <v/>
      </c>
      <c r="D489" s="183">
        <f>Database!S489</f>
        <v/>
      </c>
      <c r="E489" s="182">
        <f>IF($B489="","",IFERROR(BDP($B489&amp;" Action","CP037"),""))</f>
        <v/>
      </c>
      <c r="F489" s="183">
        <f>Database!T489</f>
        <v/>
      </c>
      <c r="G489" s="182">
        <f>IF($B489="","",IFERROR(BDP($B489&amp;" Action","GREENSHOE_FACILITY"),""))</f>
        <v/>
      </c>
      <c r="H489" s="182">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76">
        <f>Database!Q489</f>
        <v/>
      </c>
      <c r="O489" s="24">
        <f>IFERROR(BDH(Database!$A489&amp;" HK Equity","PE_RATIO",Database!$H489,Database!$H489),"")</f>
        <v/>
      </c>
      <c r="P489" s="180">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82">
        <f>IF($B490="","",IFERROR(BDP($B490&amp;" Action","CP036"),""))</f>
        <v/>
      </c>
      <c r="D490" s="183">
        <f>Database!S490</f>
        <v/>
      </c>
      <c r="E490" s="182">
        <f>IF($B490="","",IFERROR(BDP($B490&amp;" Action","CP037"),""))</f>
        <v/>
      </c>
      <c r="F490" s="183">
        <f>Database!T490</f>
        <v/>
      </c>
      <c r="G490" s="182">
        <f>IF($B490="","",IFERROR(BDP($B490&amp;" Action","GREENSHOE_FACILITY"),""))</f>
        <v/>
      </c>
      <c r="H490" s="182">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76">
        <f>Database!Q490</f>
        <v/>
      </c>
      <c r="O490" s="24">
        <f>IFERROR(BDH(Database!$A490&amp;" HK Equity","PE_RATIO",Database!$H490,Database!$H490),"")</f>
        <v/>
      </c>
      <c r="P490" s="180">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82">
        <f>IF($B491="","",IFERROR(BDP($B491&amp;" Action","CP036"),""))</f>
        <v/>
      </c>
      <c r="D491" s="183">
        <f>Database!S491</f>
        <v/>
      </c>
      <c r="E491" s="182">
        <f>IF($B491="","",IFERROR(BDP($B491&amp;" Action","CP037"),""))</f>
        <v/>
      </c>
      <c r="F491" s="183">
        <f>Database!T491</f>
        <v/>
      </c>
      <c r="G491" s="182">
        <f>IF($B491="","",IFERROR(BDP($B491&amp;" Action","GREENSHOE_FACILITY"),""))</f>
        <v/>
      </c>
      <c r="H491" s="182">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76">
        <f>Database!Q491</f>
        <v/>
      </c>
      <c r="O491" s="24">
        <f>IFERROR(BDH(Database!$A491&amp;" HK Equity","PE_RATIO",Database!$H491,Database!$H491),"")</f>
        <v/>
      </c>
      <c r="P491" s="180">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82">
        <f>IF($B492="","",IFERROR(BDP($B492&amp;" Action","CP036"),""))</f>
        <v/>
      </c>
      <c r="D492" s="183">
        <f>Database!S492</f>
        <v/>
      </c>
      <c r="E492" s="182">
        <f>IF($B492="","",IFERROR(BDP($B492&amp;" Action","CP037"),""))</f>
        <v/>
      </c>
      <c r="F492" s="183">
        <f>Database!T492</f>
        <v/>
      </c>
      <c r="G492" s="182">
        <f>IF($B492="","",IFERROR(BDP($B492&amp;" Action","GREENSHOE_FACILITY"),""))</f>
        <v/>
      </c>
      <c r="H492" s="182">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76">
        <f>Database!Q492</f>
        <v/>
      </c>
      <c r="O492" s="24">
        <f>IFERROR(BDH(Database!$A492&amp;" HK Equity","PE_RATIO",Database!$H492,Database!$H492),"")</f>
        <v/>
      </c>
      <c r="P492" s="180">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82">
        <f>IF($B493="","",IFERROR(BDP($B493&amp;" Action","CP036"),""))</f>
        <v/>
      </c>
      <c r="D493" s="183">
        <f>Database!S493</f>
        <v/>
      </c>
      <c r="E493" s="182">
        <f>IF($B493="","",IFERROR(BDP($B493&amp;" Action","CP037"),""))</f>
        <v/>
      </c>
      <c r="F493" s="183">
        <f>Database!T493</f>
        <v/>
      </c>
      <c r="G493" s="182">
        <f>IF($B493="","",IFERROR(BDP($B493&amp;" Action","GREENSHOE_FACILITY"),""))</f>
        <v/>
      </c>
      <c r="H493" s="182">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76">
        <f>Database!Q493</f>
        <v/>
      </c>
      <c r="O493" s="24">
        <f>IFERROR(BDH(Database!$A493&amp;" HK Equity","PE_RATIO",Database!$H493,Database!$H493),"")</f>
        <v/>
      </c>
      <c r="P493" s="180">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82">
        <f>IF($B494="","",IFERROR(BDP($B494&amp;" Action","CP036"),""))</f>
        <v/>
      </c>
      <c r="D494" s="183">
        <f>Database!S494</f>
        <v/>
      </c>
      <c r="E494" s="182">
        <f>IF($B494="","",IFERROR(BDP($B494&amp;" Action","CP037"),""))</f>
        <v/>
      </c>
      <c r="F494" s="183">
        <f>Database!T494</f>
        <v/>
      </c>
      <c r="G494" s="182">
        <f>IF($B494="","",IFERROR(BDP($B494&amp;" Action","GREENSHOE_FACILITY"),""))</f>
        <v/>
      </c>
      <c r="H494" s="182">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76">
        <f>Database!Q494</f>
        <v/>
      </c>
      <c r="O494" s="24">
        <f>IFERROR(BDH(Database!$A494&amp;" HK Equity","PE_RATIO",Database!$H494,Database!$H494),"")</f>
        <v/>
      </c>
      <c r="P494" s="180">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82">
        <f>IF($B495="","",IFERROR(BDP($B495&amp;" Action","CP036"),""))</f>
        <v/>
      </c>
      <c r="D495" s="183">
        <f>Database!S495</f>
        <v/>
      </c>
      <c r="E495" s="182">
        <f>IF($B495="","",IFERROR(BDP($B495&amp;" Action","CP037"),""))</f>
        <v/>
      </c>
      <c r="F495" s="183">
        <f>Database!T495</f>
        <v/>
      </c>
      <c r="G495" s="182">
        <f>IF($B495="","",IFERROR(BDP($B495&amp;" Action","GREENSHOE_FACILITY"),""))</f>
        <v/>
      </c>
      <c r="H495" s="182">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76">
        <f>Database!Q495</f>
        <v/>
      </c>
      <c r="O495" s="24">
        <f>IFERROR(BDH(Database!$A495&amp;" HK Equity","PE_RATIO",Database!$H495,Database!$H495),"")</f>
        <v/>
      </c>
      <c r="P495" s="180">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82">
        <f>IF($B496="","",IFERROR(BDP($B496&amp;" Action","CP036"),""))</f>
        <v/>
      </c>
      <c r="D496" s="183">
        <f>Database!S496</f>
        <v/>
      </c>
      <c r="E496" s="182">
        <f>IF($B496="","",IFERROR(BDP($B496&amp;" Action","CP037"),""))</f>
        <v/>
      </c>
      <c r="F496" s="183">
        <f>Database!T496</f>
        <v/>
      </c>
      <c r="G496" s="182">
        <f>IF($B496="","",IFERROR(BDP($B496&amp;" Action","GREENSHOE_FACILITY"),""))</f>
        <v/>
      </c>
      <c r="H496" s="182">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76">
        <f>Database!Q496</f>
        <v/>
      </c>
      <c r="O496" s="24">
        <f>IFERROR(BDH(Database!$A496&amp;" HK Equity","PE_RATIO",Database!$H496,Database!$H496),"")</f>
        <v/>
      </c>
      <c r="P496" s="180">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82">
        <f>IF($B497="","",IFERROR(BDP($B497&amp;" Action","CP036"),""))</f>
        <v/>
      </c>
      <c r="D497" s="183">
        <f>Database!S497</f>
        <v/>
      </c>
      <c r="E497" s="182">
        <f>IF($B497="","",IFERROR(BDP($B497&amp;" Action","CP037"),""))</f>
        <v/>
      </c>
      <c r="F497" s="183">
        <f>Database!T497</f>
        <v/>
      </c>
      <c r="G497" s="182">
        <f>IF($B497="","",IFERROR(BDP($B497&amp;" Action","GREENSHOE_FACILITY"),""))</f>
        <v/>
      </c>
      <c r="H497" s="182">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76">
        <f>Database!Q497</f>
        <v/>
      </c>
      <c r="O497" s="24">
        <f>IFERROR(BDH(Database!$A497&amp;" HK Equity","PE_RATIO",Database!$H497,Database!$H497),"")</f>
        <v/>
      </c>
      <c r="P497" s="180">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82">
        <f>IF($B498="","",IFERROR(BDP($B498&amp;" Action","CP036"),""))</f>
        <v/>
      </c>
      <c r="D498" s="183">
        <f>Database!S498</f>
        <v/>
      </c>
      <c r="E498" s="182">
        <f>IF($B498="","",IFERROR(BDP($B498&amp;" Action","CP037"),""))</f>
        <v/>
      </c>
      <c r="F498" s="183">
        <f>Database!T498</f>
        <v/>
      </c>
      <c r="G498" s="182">
        <f>IF($B498="","",IFERROR(BDP($B498&amp;" Action","GREENSHOE_FACILITY"),""))</f>
        <v/>
      </c>
      <c r="H498" s="182">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76">
        <f>Database!Q498</f>
        <v/>
      </c>
      <c r="O498" s="24">
        <f>IFERROR(BDH(Database!$A498&amp;" HK Equity","PE_RATIO",Database!$H498,Database!$H498),"")</f>
        <v/>
      </c>
      <c r="P498" s="180">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82">
        <f>IF($B499="","",IFERROR(BDP($B499&amp;" Action","CP036"),""))</f>
        <v/>
      </c>
      <c r="D499" s="183">
        <f>Database!S499</f>
        <v/>
      </c>
      <c r="E499" s="182">
        <f>IF($B499="","",IFERROR(BDP($B499&amp;" Action","CP037"),""))</f>
        <v/>
      </c>
      <c r="F499" s="183">
        <f>Database!T499</f>
        <v/>
      </c>
      <c r="G499" s="182">
        <f>IF($B499="","",IFERROR(BDP($B499&amp;" Action","GREENSHOE_FACILITY"),""))</f>
        <v/>
      </c>
      <c r="H499" s="182">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76">
        <f>Database!Q499</f>
        <v/>
      </c>
      <c r="O499" s="24">
        <f>IFERROR(BDH(Database!$A499&amp;" HK Equity","PE_RATIO",Database!$H499,Database!$H499),"")</f>
        <v/>
      </c>
      <c r="P499" s="180">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82">
        <f>IF($B500="","",IFERROR(BDP($B500&amp;" Action","CP036"),""))</f>
        <v/>
      </c>
      <c r="D500" s="183">
        <f>Database!S500</f>
        <v/>
      </c>
      <c r="E500" s="182">
        <f>IF($B500="","",IFERROR(BDP($B500&amp;" Action","CP037"),""))</f>
        <v/>
      </c>
      <c r="F500" s="183">
        <f>Database!T500</f>
        <v/>
      </c>
      <c r="G500" s="182">
        <f>IF($B500="","",IFERROR(BDP($B500&amp;" Action","GREENSHOE_FACILITY"),""))</f>
        <v/>
      </c>
      <c r="H500" s="182">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76">
        <f>Database!Q500</f>
        <v/>
      </c>
      <c r="O500" s="24">
        <f>IFERROR(BDH(Database!$A500&amp;" HK Equity","PE_RATIO",Database!$H500,Database!$H500),"")</f>
        <v/>
      </c>
      <c r="P500" s="180">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82">
        <f>IF($B501="","",IFERROR(BDP($B501&amp;" Action","CP036"),""))</f>
        <v/>
      </c>
      <c r="D501" s="183">
        <f>Database!S501</f>
        <v/>
      </c>
      <c r="E501" s="182">
        <f>IF($B501="","",IFERROR(BDP($B501&amp;" Action","CP037"),""))</f>
        <v/>
      </c>
      <c r="F501" s="183">
        <f>Database!T501</f>
        <v/>
      </c>
      <c r="G501" s="182">
        <f>IF($B501="","",IFERROR(BDP($B501&amp;" Action","GREENSHOE_FACILITY"),""))</f>
        <v/>
      </c>
      <c r="H501" s="182">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76">
        <f>Database!Q501</f>
        <v/>
      </c>
      <c r="O501" s="24">
        <f>IFERROR(BDH(Database!$A501&amp;" HK Equity","PE_RATIO",Database!$H501,Database!$H501),"")</f>
        <v/>
      </c>
      <c r="P501" s="180">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82">
        <f>IF($B502="","",IFERROR(BDP($B502&amp;" Action","CP036"),""))</f>
        <v/>
      </c>
      <c r="D502" s="183">
        <f>Database!S502</f>
        <v/>
      </c>
      <c r="E502" s="182">
        <f>IF($B502="","",IFERROR(BDP($B502&amp;" Action","CP037"),""))</f>
        <v/>
      </c>
      <c r="F502" s="183">
        <f>Database!T502</f>
        <v/>
      </c>
      <c r="G502" s="182">
        <f>IF($B502="","",IFERROR(BDP($B502&amp;" Action","GREENSHOE_FACILITY"),""))</f>
        <v/>
      </c>
      <c r="H502" s="182">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76">
        <f>Database!Q502</f>
        <v/>
      </c>
      <c r="O502" s="24">
        <f>IFERROR(BDH(Database!$A502&amp;" HK Equity","PE_RATIO",Database!$H502,Database!$H502),"")</f>
        <v/>
      </c>
      <c r="P502" s="180">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82">
        <f>IF($B503="","",IFERROR(BDP($B503&amp;" Action","CP036"),""))</f>
        <v/>
      </c>
      <c r="D503" s="183">
        <f>Database!S503</f>
        <v/>
      </c>
      <c r="E503" s="182">
        <f>IF($B503="","",IFERROR(BDP($B503&amp;" Action","CP037"),""))</f>
        <v/>
      </c>
      <c r="F503" s="183">
        <f>Database!T503</f>
        <v/>
      </c>
      <c r="G503" s="182">
        <f>IF($B503="","",IFERROR(BDP($B503&amp;" Action","GREENSHOE_FACILITY"),""))</f>
        <v/>
      </c>
      <c r="H503" s="182">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76">
        <f>Database!Q503</f>
        <v/>
      </c>
      <c r="O503" s="24">
        <f>IFERROR(BDH(Database!$A503&amp;" HK Equity","PE_RATIO",Database!$H503,Database!$H503),"")</f>
        <v/>
      </c>
      <c r="P503" s="180">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82">
        <f>IF($B504="","",IFERROR(BDP($B504&amp;" Action","CP036"),""))</f>
        <v/>
      </c>
      <c r="D504" s="183">
        <f>Database!S504</f>
        <v/>
      </c>
      <c r="E504" s="182">
        <f>IF($B504="","",IFERROR(BDP($B504&amp;" Action","CP037"),""))</f>
        <v/>
      </c>
      <c r="F504" s="183">
        <f>Database!T504</f>
        <v/>
      </c>
      <c r="G504" s="182">
        <f>IF($B504="","",IFERROR(BDP($B504&amp;" Action","GREENSHOE_FACILITY"),""))</f>
        <v/>
      </c>
      <c r="H504" s="182">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76">
        <f>Database!Q504</f>
        <v/>
      </c>
      <c r="O504" s="24">
        <f>IFERROR(BDH(Database!$A504&amp;" HK Equity","PE_RATIO",Database!$H504,Database!$H504),"")</f>
        <v/>
      </c>
      <c r="P504" s="180">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82">
        <f>IF($B505="","",IFERROR(BDP($B505&amp;" Action","CP036"),""))</f>
        <v/>
      </c>
      <c r="D505" s="183">
        <f>Database!S505</f>
        <v/>
      </c>
      <c r="E505" s="182">
        <f>IF($B505="","",IFERROR(BDP($B505&amp;" Action","CP037"),""))</f>
        <v/>
      </c>
      <c r="F505" s="183">
        <f>Database!T505</f>
        <v/>
      </c>
      <c r="G505" s="182">
        <f>IF($B505="","",IFERROR(BDP($B505&amp;" Action","GREENSHOE_FACILITY"),""))</f>
        <v/>
      </c>
      <c r="H505" s="182">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76">
        <f>Database!Q505</f>
        <v/>
      </c>
      <c r="O505" s="24">
        <f>IFERROR(BDH(Database!$A505&amp;" HK Equity","PE_RATIO",Database!$H505,Database!$H505),"")</f>
        <v/>
      </c>
      <c r="P505" s="180">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82">
        <f>IF($B506="","",IFERROR(BDP($B506&amp;" Action","CP036"),""))</f>
        <v/>
      </c>
      <c r="D506" s="183">
        <f>Database!S506</f>
        <v/>
      </c>
      <c r="E506" s="182">
        <f>IF($B506="","",IFERROR(BDP($B506&amp;" Action","CP037"),""))</f>
        <v/>
      </c>
      <c r="F506" s="183">
        <f>Database!T506</f>
        <v/>
      </c>
      <c r="G506" s="182">
        <f>IF($B506="","",IFERROR(BDP($B506&amp;" Action","GREENSHOE_FACILITY"),""))</f>
        <v/>
      </c>
      <c r="H506" s="182">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76">
        <f>Database!Q506</f>
        <v/>
      </c>
      <c r="O506" s="24">
        <f>IFERROR(BDH(Database!$A506&amp;" HK Equity","PE_RATIO",Database!$H506,Database!$H506),"")</f>
        <v/>
      </c>
      <c r="P506" s="180">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82">
        <f>IF($B507="","",IFERROR(BDP($B507&amp;" Action","CP036"),""))</f>
        <v/>
      </c>
      <c r="D507" s="183">
        <f>Database!S507</f>
        <v/>
      </c>
      <c r="E507" s="182">
        <f>IF($B507="","",IFERROR(BDP($B507&amp;" Action","CP037"),""))</f>
        <v/>
      </c>
      <c r="F507" s="183">
        <f>Database!T507</f>
        <v/>
      </c>
      <c r="G507" s="182">
        <f>IF($B507="","",IFERROR(BDP($B507&amp;" Action","GREENSHOE_FACILITY"),""))</f>
        <v/>
      </c>
      <c r="H507" s="182">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76">
        <f>Database!Q507</f>
        <v/>
      </c>
      <c r="O507" s="24">
        <f>IFERROR(BDH(Database!$A507&amp;" HK Equity","PE_RATIO",Database!$H507,Database!$H507),"")</f>
        <v/>
      </c>
      <c r="P507" s="180">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82">
        <f>IF($B508="","",IFERROR(BDP($B508&amp;" Action","CP036"),""))</f>
        <v/>
      </c>
      <c r="D508" s="183">
        <f>Database!S508</f>
        <v/>
      </c>
      <c r="E508" s="182">
        <f>IF($B508="","",IFERROR(BDP($B508&amp;" Action","CP037"),""))</f>
        <v/>
      </c>
      <c r="F508" s="183">
        <f>Database!T508</f>
        <v/>
      </c>
      <c r="G508" s="182">
        <f>IF($B508="","",IFERROR(BDP($B508&amp;" Action","GREENSHOE_FACILITY"),""))</f>
        <v/>
      </c>
      <c r="H508" s="182">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76">
        <f>Database!Q508</f>
        <v/>
      </c>
      <c r="O508" s="24">
        <f>IFERROR(BDH(Database!$A508&amp;" HK Equity","PE_RATIO",Database!$H508,Database!$H508),"")</f>
        <v/>
      </c>
      <c r="P508" s="180">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82">
        <f>IF($B509="","",IFERROR(BDP($B509&amp;" Action","CP036"),""))</f>
        <v/>
      </c>
      <c r="D509" s="183">
        <f>Database!S509</f>
        <v/>
      </c>
      <c r="E509" s="182">
        <f>IF($B509="","",IFERROR(BDP($B509&amp;" Action","CP037"),""))</f>
        <v/>
      </c>
      <c r="F509" s="183">
        <f>Database!T509</f>
        <v/>
      </c>
      <c r="G509" s="182">
        <f>IF($B509="","",IFERROR(BDP($B509&amp;" Action","GREENSHOE_FACILITY"),""))</f>
        <v/>
      </c>
      <c r="H509" s="182">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76">
        <f>Database!Q509</f>
        <v/>
      </c>
      <c r="O509" s="24">
        <f>IFERROR(BDH(Database!$A509&amp;" HK Equity","PE_RATIO",Database!$H509,Database!$H509),"")</f>
        <v/>
      </c>
      <c r="P509" s="180">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82">
        <f>IF($B510="","",IFERROR(BDP($B510&amp;" Action","CP036"),""))</f>
        <v/>
      </c>
      <c r="D510" s="183">
        <f>Database!S510</f>
        <v/>
      </c>
      <c r="E510" s="182">
        <f>IF($B510="","",IFERROR(BDP($B510&amp;" Action","CP037"),""))</f>
        <v/>
      </c>
      <c r="F510" s="183">
        <f>Database!T510</f>
        <v/>
      </c>
      <c r="G510" s="182">
        <f>IF($B510="","",IFERROR(BDP($B510&amp;" Action","GREENSHOE_FACILITY"),""))</f>
        <v/>
      </c>
      <c r="H510" s="182">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76">
        <f>Database!Q510</f>
        <v/>
      </c>
      <c r="O510" s="24">
        <f>IFERROR(BDH(Database!$A510&amp;" HK Equity","PE_RATIO",Database!$H510,Database!$H510),"")</f>
        <v/>
      </c>
      <c r="P510" s="180">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82">
        <f>IF($B511="","",IFERROR(BDP($B511&amp;" Action","CP036"),""))</f>
        <v/>
      </c>
      <c r="D511" s="183">
        <f>Database!S511</f>
        <v/>
      </c>
      <c r="E511" s="182">
        <f>IF($B511="","",IFERROR(BDP($B511&amp;" Action","CP037"),""))</f>
        <v/>
      </c>
      <c r="F511" s="183">
        <f>Database!T511</f>
        <v/>
      </c>
      <c r="G511" s="182">
        <f>IF($B511="","",IFERROR(BDP($B511&amp;" Action","GREENSHOE_FACILITY"),""))</f>
        <v/>
      </c>
      <c r="H511" s="182">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76">
        <f>Database!Q511</f>
        <v/>
      </c>
      <c r="O511" s="24">
        <f>IFERROR(BDH(Database!$A511&amp;" HK Equity","PE_RATIO",Database!$H511,Database!$H511),"")</f>
        <v/>
      </c>
      <c r="P511" s="180">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82">
        <f>IF($B512="","",IFERROR(BDP($B512&amp;" Action","CP036"),""))</f>
        <v/>
      </c>
      <c r="D512" s="183">
        <f>Database!S512</f>
        <v/>
      </c>
      <c r="E512" s="182">
        <f>IF($B512="","",IFERROR(BDP($B512&amp;" Action","CP037"),""))</f>
        <v/>
      </c>
      <c r="F512" s="183">
        <f>Database!T512</f>
        <v/>
      </c>
      <c r="G512" s="182">
        <f>IF($B512="","",IFERROR(BDP($B512&amp;" Action","GREENSHOE_FACILITY"),""))</f>
        <v/>
      </c>
      <c r="H512" s="182">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76">
        <f>Database!Q512</f>
        <v/>
      </c>
      <c r="O512" s="24">
        <f>IFERROR(BDH(Database!$A512&amp;" HK Equity","PE_RATIO",Database!$H512,Database!$H512),"")</f>
        <v/>
      </c>
      <c r="P512" s="180">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82">
        <f>IF($B513="","",IFERROR(BDP($B513&amp;" Action","CP036"),""))</f>
        <v/>
      </c>
      <c r="D513" s="183">
        <f>Database!S513</f>
        <v/>
      </c>
      <c r="E513" s="182">
        <f>IF($B513="","",IFERROR(BDP($B513&amp;" Action","CP037"),""))</f>
        <v/>
      </c>
      <c r="F513" s="183">
        <f>Database!T513</f>
        <v/>
      </c>
      <c r="G513" s="182">
        <f>IF($B513="","",IFERROR(BDP($B513&amp;" Action","GREENSHOE_FACILITY"),""))</f>
        <v/>
      </c>
      <c r="H513" s="182">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76">
        <f>Database!Q513</f>
        <v/>
      </c>
      <c r="O513" s="24">
        <f>IFERROR(BDH(Database!$A513&amp;" HK Equity","PE_RATIO",Database!$H513,Database!$H513),"")</f>
        <v/>
      </c>
      <c r="P513" s="180">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82">
        <f>IF($B514="","",IFERROR(BDP($B514&amp;" Action","CP036"),""))</f>
        <v/>
      </c>
      <c r="D514" s="183">
        <f>Database!S514</f>
        <v/>
      </c>
      <c r="E514" s="182">
        <f>IF($B514="","",IFERROR(BDP($B514&amp;" Action","CP037"),""))</f>
        <v/>
      </c>
      <c r="F514" s="183">
        <f>Database!T514</f>
        <v/>
      </c>
      <c r="G514" s="182">
        <f>IF($B514="","",IFERROR(BDP($B514&amp;" Action","GREENSHOE_FACILITY"),""))</f>
        <v/>
      </c>
      <c r="H514" s="182">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76">
        <f>Database!Q514</f>
        <v/>
      </c>
      <c r="O514" s="24">
        <f>IFERROR(BDH(Database!$A514&amp;" HK Equity","PE_RATIO",Database!$H514,Database!$H514),"")</f>
        <v/>
      </c>
      <c r="P514" s="180">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82">
        <f>IF($B515="","",IFERROR(BDP($B515&amp;" Action","CP036"),""))</f>
        <v/>
      </c>
      <c r="D515" s="183">
        <f>Database!S515</f>
        <v/>
      </c>
      <c r="E515" s="182">
        <f>IF($B515="","",IFERROR(BDP($B515&amp;" Action","CP037"),""))</f>
        <v/>
      </c>
      <c r="F515" s="183">
        <f>Database!T515</f>
        <v/>
      </c>
      <c r="G515" s="182">
        <f>IF($B515="","",IFERROR(BDP($B515&amp;" Action","GREENSHOE_FACILITY"),""))</f>
        <v/>
      </c>
      <c r="H515" s="182">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76">
        <f>Database!Q515</f>
        <v/>
      </c>
      <c r="O515" s="24">
        <f>IFERROR(BDH(Database!$A515&amp;" HK Equity","PE_RATIO",Database!$H515,Database!$H515),"")</f>
        <v/>
      </c>
      <c r="P515" s="180">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82">
        <f>IF($B516="","",IFERROR(BDP($B516&amp;" Action","CP036"),""))</f>
        <v/>
      </c>
      <c r="D516" s="183">
        <f>Database!S516</f>
        <v/>
      </c>
      <c r="E516" s="182">
        <f>IF($B516="","",IFERROR(BDP($B516&amp;" Action","CP037"),""))</f>
        <v/>
      </c>
      <c r="F516" s="183">
        <f>Database!T516</f>
        <v/>
      </c>
      <c r="G516" s="182">
        <f>IF($B516="","",IFERROR(BDP($B516&amp;" Action","GREENSHOE_FACILITY"),""))</f>
        <v/>
      </c>
      <c r="H516" s="182">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76">
        <f>Database!Q516</f>
        <v/>
      </c>
      <c r="O516" s="24">
        <f>IFERROR(BDH(Database!$A516&amp;" HK Equity","PE_RATIO",Database!$H516,Database!$H516),"")</f>
        <v/>
      </c>
      <c r="P516" s="180">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82">
        <f>IF($B517="","",IFERROR(BDP($B517&amp;" Action","CP036"),""))</f>
        <v/>
      </c>
      <c r="D517" s="183">
        <f>Database!S517</f>
        <v/>
      </c>
      <c r="E517" s="182">
        <f>IF($B517="","",IFERROR(BDP($B517&amp;" Action","CP037"),""))</f>
        <v/>
      </c>
      <c r="F517" s="183">
        <f>Database!T517</f>
        <v/>
      </c>
      <c r="G517" s="182">
        <f>IF($B517="","",IFERROR(BDP($B517&amp;" Action","GREENSHOE_FACILITY"),""))</f>
        <v/>
      </c>
      <c r="H517" s="182">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76">
        <f>Database!Q517</f>
        <v/>
      </c>
      <c r="O517" s="24">
        <f>IFERROR(BDH(Database!$A517&amp;" HK Equity","PE_RATIO",Database!$H517,Database!$H517),"")</f>
        <v/>
      </c>
      <c r="P517" s="180">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82">
        <f>IF($B518="","",IFERROR(BDP($B518&amp;" Action","CP036"),""))</f>
        <v/>
      </c>
      <c r="D518" s="183">
        <f>Database!S518</f>
        <v/>
      </c>
      <c r="E518" s="182">
        <f>IF($B518="","",IFERROR(BDP($B518&amp;" Action","CP037"),""))</f>
        <v/>
      </c>
      <c r="F518" s="183">
        <f>Database!T518</f>
        <v/>
      </c>
      <c r="G518" s="182">
        <f>IF($B518="","",IFERROR(BDP($B518&amp;" Action","GREENSHOE_FACILITY"),""))</f>
        <v/>
      </c>
      <c r="H518" s="182">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76">
        <f>Database!Q518</f>
        <v/>
      </c>
      <c r="O518" s="24">
        <f>IFERROR(BDH(Database!$A518&amp;" HK Equity","PE_RATIO",Database!$H518,Database!$H518),"")</f>
        <v/>
      </c>
      <c r="P518" s="180">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c r="A519" s="17">
        <f>Database!A519&amp;"  "&amp;Database!B519</f>
        <v/>
      </c>
      <c r="B519" s="10">
        <f>IFERROR(INDEX(BDS(Database!$A519&amp;" HK Equity","EQUITY_OFFERINGS","array=t","endcol=1"),MATCH("IPO",BDS(Database!$A519&amp;" HK Equity","EQUITY_OFFERINGS","array=t","startcol=2","endcol=2"),0)),"")</f>
        <v/>
      </c>
      <c r="C519" s="182">
        <f>IF($B519="","",IFERROR(BDP($B519&amp;" Action","CP036"),""))</f>
        <v/>
      </c>
      <c r="D519" s="183">
        <f>Database!S519</f>
        <v/>
      </c>
      <c r="E519" s="182">
        <f>IF($B519="","",IFERROR(BDP($B519&amp;" Action","CP037"),""))</f>
        <v/>
      </c>
      <c r="F519" s="183">
        <f>Database!T519</f>
        <v/>
      </c>
      <c r="G519" s="182">
        <f>IF($B519="","",IFERROR(BDP($B519&amp;" Action","GREENSHOE_FACILITY"),""))</f>
        <v/>
      </c>
      <c r="H519" s="182">
        <f>IF($B519="","",IFERROR(BDP($B519&amp;" Action","OFFERING_GREENSHOE_SHARES_EX"),""))</f>
        <v/>
      </c>
      <c r="I519" s="17">
        <f>Database!AB519</f>
        <v/>
      </c>
      <c r="J519" s="24">
        <f>IFERROR(BDP(Database!$A519&amp;" HK Equity","PE_RATIO"),"")</f>
        <v/>
      </c>
      <c r="K519" s="10">
        <f>IFERROR(BDP(Database!$A519&amp;" HK Equity","A/H_SHARE_CONVERSION"),"")</f>
        <v/>
      </c>
      <c r="L519" s="17">
        <f>IF(Database!BH519="","(none found)",Database!BH519)</f>
        <v/>
      </c>
      <c r="M519" s="19">
        <f>IFERROR(BDH(Database!$A519&amp;" HK Equity","CUR_MKT_CAP",Database!$H519,Database!$H519),"")</f>
        <v/>
      </c>
      <c r="N519" s="176">
        <f>Database!Q519</f>
        <v/>
      </c>
      <c r="O519" s="24">
        <f>IFERROR(BDH(Database!$A519&amp;" HK Equity","PE_RATIO",Database!$H519,Database!$H519),"")</f>
        <v/>
      </c>
      <c r="P519" s="180">
        <f>IF(Database!BB519="","(n/m or not derivable)",Database!BB519)</f>
        <v/>
      </c>
      <c r="Q519" s="24">
        <f>IF(Database!BH519="","",IFERROR(BDH(LEFT(Database!BH519,FIND(".",Database!BH519)-1)&amp;" CH Equity","PE_RATIO",Database!$H519,Database!$H519),""))</f>
        <v/>
      </c>
      <c r="R519" s="24">
        <f>IF(Database!BH519="","",IFERROR(BDH("HSAHP Index","PX_LAST",Database!$H519,Database!$H519),""))</f>
        <v/>
      </c>
      <c r="S519" s="24">
        <f>IFERROR(BDP(Database!$A519&amp;" HK Equity","PX_TO_SALES_RATIO"),"")</f>
        <v/>
      </c>
      <c r="T519" s="19">
        <f>IF(Database!BH519="","",IFERROR(BDP(LEFT(Database!BH519,FIND(".",Database!BH519)-1)&amp;" CH Equity","CUR_MKT_CAP"),""))</f>
        <v/>
      </c>
    </row>
    <row r="520">
      <c r="A520" s="17">
        <f>Database!A520&amp;"  "&amp;Database!B520</f>
        <v/>
      </c>
      <c r="B520" s="10">
        <f>IFERROR(INDEX(BDS(Database!$A520&amp;" HK Equity","EQUITY_OFFERINGS","array=t","endcol=1"),MATCH("IPO",BDS(Database!$A520&amp;" HK Equity","EQUITY_OFFERINGS","array=t","startcol=2","endcol=2"),0)),"")</f>
        <v/>
      </c>
      <c r="C520" s="182">
        <f>IF($B520="","",IFERROR(BDP($B520&amp;" Action","CP036"),""))</f>
        <v/>
      </c>
      <c r="D520" s="183">
        <f>Database!S520</f>
        <v/>
      </c>
      <c r="E520" s="182">
        <f>IF($B520="","",IFERROR(BDP($B520&amp;" Action","CP037"),""))</f>
        <v/>
      </c>
      <c r="F520" s="183">
        <f>Database!T520</f>
        <v/>
      </c>
      <c r="G520" s="182">
        <f>IF($B520="","",IFERROR(BDP($B520&amp;" Action","GREENSHOE_FACILITY"),""))</f>
        <v/>
      </c>
      <c r="H520" s="182">
        <f>IF($B520="","",IFERROR(BDP($B520&amp;" Action","OFFERING_GREENSHOE_SHARES_EX"),""))</f>
        <v/>
      </c>
      <c r="I520" s="17">
        <f>Database!AB520</f>
        <v/>
      </c>
      <c r="J520" s="24">
        <f>IFERROR(BDP(Database!$A520&amp;" HK Equity","PE_RATIO"),"")</f>
        <v/>
      </c>
      <c r="K520" s="10">
        <f>IFERROR(BDP(Database!$A520&amp;" HK Equity","A/H_SHARE_CONVERSION"),"")</f>
        <v/>
      </c>
      <c r="L520" s="17">
        <f>IF(Database!BH520="","(none found)",Database!BH520)</f>
        <v/>
      </c>
      <c r="M520" s="19">
        <f>IFERROR(BDH(Database!$A520&amp;" HK Equity","CUR_MKT_CAP",Database!$H520,Database!$H520),"")</f>
        <v/>
      </c>
      <c r="N520" s="176">
        <f>Database!Q520</f>
        <v/>
      </c>
      <c r="O520" s="24">
        <f>IFERROR(BDH(Database!$A520&amp;" HK Equity","PE_RATIO",Database!$H520,Database!$H520),"")</f>
        <v/>
      </c>
      <c r="P520" s="180">
        <f>IF(Database!BB520="","(n/m or not derivable)",Database!BB520)</f>
        <v/>
      </c>
      <c r="Q520" s="24">
        <f>IF(Database!BH520="","",IFERROR(BDH(LEFT(Database!BH520,FIND(".",Database!BH520)-1)&amp;" CH Equity","PE_RATIO",Database!$H520,Database!$H520),""))</f>
        <v/>
      </c>
      <c r="R520" s="24">
        <f>IF(Database!BH520="","",IFERROR(BDH("HSAHP Index","PX_LAST",Database!$H520,Database!$H520),""))</f>
        <v/>
      </c>
      <c r="S520" s="24">
        <f>IFERROR(BDP(Database!$A520&amp;" HK Equity","PX_TO_SALES_RATIO"),"")</f>
        <v/>
      </c>
      <c r="T520" s="19">
        <f>IF(Database!BH520="","",IFERROR(BDP(LEFT(Database!BH520,FIND(".",Database!BH520)-1)&amp;" CH Equity","CUR_MKT_CAP"),""))</f>
        <v/>
      </c>
    </row>
    <row r="521">
      <c r="A521" s="17">
        <f>Database!A521&amp;"  "&amp;Database!B521</f>
        <v/>
      </c>
      <c r="B521" s="10">
        <f>IFERROR(INDEX(BDS(Database!$A521&amp;" HK Equity","EQUITY_OFFERINGS","array=t","endcol=1"),MATCH("IPO",BDS(Database!$A521&amp;" HK Equity","EQUITY_OFFERINGS","array=t","startcol=2","endcol=2"),0)),"")</f>
        <v/>
      </c>
      <c r="C521" s="182">
        <f>IF($B521="","",IFERROR(BDP($B521&amp;" Action","CP036"),""))</f>
        <v/>
      </c>
      <c r="D521" s="183">
        <f>Database!S521</f>
        <v/>
      </c>
      <c r="E521" s="182">
        <f>IF($B521="","",IFERROR(BDP($B521&amp;" Action","CP037"),""))</f>
        <v/>
      </c>
      <c r="F521" s="183">
        <f>Database!T521</f>
        <v/>
      </c>
      <c r="G521" s="182">
        <f>IF($B521="","",IFERROR(BDP($B521&amp;" Action","GREENSHOE_FACILITY"),""))</f>
        <v/>
      </c>
      <c r="H521" s="182">
        <f>IF($B521="","",IFERROR(BDP($B521&amp;" Action","OFFERING_GREENSHOE_SHARES_EX"),""))</f>
        <v/>
      </c>
      <c r="I521" s="17">
        <f>Database!AB521</f>
        <v/>
      </c>
      <c r="J521" s="24">
        <f>IFERROR(BDP(Database!$A521&amp;" HK Equity","PE_RATIO"),"")</f>
        <v/>
      </c>
      <c r="K521" s="10">
        <f>IFERROR(BDP(Database!$A521&amp;" HK Equity","A/H_SHARE_CONVERSION"),"")</f>
        <v/>
      </c>
      <c r="L521" s="17">
        <f>IF(Database!BH521="","(none found)",Database!BH521)</f>
        <v/>
      </c>
      <c r="M521" s="19">
        <f>IFERROR(BDH(Database!$A521&amp;" HK Equity","CUR_MKT_CAP",Database!$H521,Database!$H521),"")</f>
        <v/>
      </c>
      <c r="N521" s="176">
        <f>Database!Q521</f>
        <v/>
      </c>
      <c r="O521" s="24">
        <f>IFERROR(BDH(Database!$A521&amp;" HK Equity","PE_RATIO",Database!$H521,Database!$H521),"")</f>
        <v/>
      </c>
      <c r="P521" s="180">
        <f>IF(Database!BB521="","(n/m or not derivable)",Database!BB521)</f>
        <v/>
      </c>
      <c r="Q521" s="24">
        <f>IF(Database!BH521="","",IFERROR(BDH(LEFT(Database!BH521,FIND(".",Database!BH521)-1)&amp;" CH Equity","PE_RATIO",Database!$H521,Database!$H521),""))</f>
        <v/>
      </c>
      <c r="R521" s="24">
        <f>IF(Database!BH521="","",IFERROR(BDH("HSAHP Index","PX_LAST",Database!$H521,Database!$H521),""))</f>
        <v/>
      </c>
      <c r="S521" s="24">
        <f>IFERROR(BDP(Database!$A521&amp;" HK Equity","PX_TO_SALES_RATIO"),"")</f>
        <v/>
      </c>
      <c r="T521" s="19">
        <f>IF(Database!BH521="","",IFERROR(BDP(LEFT(Database!BH521,FIND(".",Database!BH521)-1)&amp;" CH Equity","CUR_MKT_CAP"),""))</f>
        <v/>
      </c>
    </row>
    <row r="522"/>
    <row r="523">
      <c r="A523" s="2" t="inlineStr">
        <is>
          <t>Orange = Bloomberg and the scraped value differ by more than 25%.</t>
        </is>
      </c>
    </row>
  </sheetData>
  <conditionalFormatting sqref="C5:C521">
    <cfRule type="expression" priority="1" dxfId="3">
      <formula>AND(ISNUMBER(C5),ISNUMBER(D5),ABS(C5-D5)&gt;0.25*ABS(D5))</formula>
    </cfRule>
  </conditionalFormatting>
  <conditionalFormatting sqref="E5:E521">
    <cfRule type="expression" priority="2" dxfId="3">
      <formula>AND(ISNUMBER(E5),ISNUMBER(F5),ABS(E5-F5)&gt;0.25*ABS(F5))</formula>
    </cfRule>
  </conditionalFormatting>
  <conditionalFormatting sqref="M5:M521">
    <cfRule type="expression" priority="3" dxfId="3">
      <formula>AND(ISNUMBER(M5),ISNUMBER(N5),ABS(M5-N5)&gt;0.25*ABS(N5))</formula>
    </cfRule>
  </conditionalFormatting>
  <conditionalFormatting sqref="O5:O521">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4"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84"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84"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84"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84"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84"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84"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84" t="inlineStr">
        <is>
          <t>TMT-other</t>
        </is>
      </c>
      <c r="D49" s="84" t="inlineStr">
        <is>
          <t>^HSI (Hang Seng Index)</t>
        </is>
      </c>
    </row>
    <row r="50">
      <c r="B50" s="70" t="inlineStr">
        <is>
          <t>Telecom</t>
        </is>
      </c>
      <c r="C50" s="2" t="inlineStr"/>
    </row>
    <row r="51">
      <c r="B51" s="70" t="inlineStr">
        <is>
          <t>Media / advertising</t>
        </is>
      </c>
      <c r="C51" s="2" t="inlineStr"/>
    </row>
    <row r="52">
      <c r="A52" s="184"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1" t="inlineStr">
        <is>
          <t>2021</t>
        </is>
      </c>
      <c r="B5" s="54">
        <f>COUNTIFS(Database!$H$5:$H$521,"&gt;="&amp;DATE(2021,1,1),Database!$H$5:$H$521,"&lt;="&amp;DATE(2021,12,31))</f>
        <v/>
      </c>
      <c r="C5" s="167" t="n"/>
      <c r="D5" s="54">
        <f>IF(C5="","n/a",C5-B5)</f>
        <v/>
      </c>
      <c r="E5" s="26">
        <f>SUMIFS(Database!$I$5:$I$521,Database!$H$5:$H$521,"&gt;="&amp;DATE(2021,1,1),Database!$H$5:$H$521,"&lt;="&amp;DATE(2021,12,31))/1000</f>
        <v/>
      </c>
      <c r="F5" s="185" t="n">
        <v>331.3</v>
      </c>
      <c r="G5" s="53">
        <f>IF(OR(F5="",E5=0),"n/a",F5/E5-1)</f>
        <v/>
      </c>
    </row>
    <row r="6">
      <c r="A6" s="181" t="inlineStr">
        <is>
          <t>2022</t>
        </is>
      </c>
      <c r="B6" s="54">
        <f>COUNTIFS(Database!$H$5:$H$521,"&gt;="&amp;DATE(2022,1,1),Database!$H$5:$H$521,"&lt;="&amp;DATE(2022,12,31))</f>
        <v/>
      </c>
      <c r="C6" s="167" t="n">
        <v>90</v>
      </c>
      <c r="D6" s="54">
        <f>IF(C6="","n/a",C6-B6)</f>
        <v/>
      </c>
      <c r="E6" s="26">
        <f>SUMIFS(Database!$I$5:$I$521,Database!$H$5:$H$521,"&gt;="&amp;DATE(2022,1,1),Database!$H$5:$H$521,"&lt;="&amp;DATE(2022,12,31))/1000</f>
        <v/>
      </c>
      <c r="F6" s="185" t="n">
        <v>104.6</v>
      </c>
      <c r="G6" s="53">
        <f>IF(OR(F6="",E6=0),"n/a",F6/E6-1)</f>
        <v/>
      </c>
    </row>
    <row r="7">
      <c r="A7" s="181" t="inlineStr">
        <is>
          <t>2023</t>
        </is>
      </c>
      <c r="B7" s="54">
        <f>COUNTIFS(Database!$H$5:$H$521,"&gt;="&amp;DATE(2023,1,1),Database!$H$5:$H$521,"&lt;="&amp;DATE(2023,12,31))</f>
        <v/>
      </c>
      <c r="C7" s="167" t="n">
        <v>73</v>
      </c>
      <c r="D7" s="54">
        <f>IF(C7="","n/a",C7-B7)</f>
        <v/>
      </c>
      <c r="E7" s="26">
        <f>SUMIFS(Database!$I$5:$I$521,Database!$H$5:$H$521,"&gt;="&amp;DATE(2023,1,1),Database!$H$5:$H$521,"&lt;="&amp;DATE(2023,12,31))/1000</f>
        <v/>
      </c>
      <c r="F7" s="185" t="n">
        <v>46.3</v>
      </c>
      <c r="G7" s="53">
        <f>IF(OR(F7="",E7=0),"n/a",F7/E7-1)</f>
        <v/>
      </c>
    </row>
    <row r="8">
      <c r="A8" s="181" t="inlineStr">
        <is>
          <t>2024</t>
        </is>
      </c>
      <c r="B8" s="54">
        <f>COUNTIFS(Database!$H$5:$H$521,"&gt;="&amp;DATE(2024,1,1),Database!$H$5:$H$521,"&lt;="&amp;DATE(2024,12,31))</f>
        <v/>
      </c>
      <c r="C8" s="167" t="n">
        <v>71</v>
      </c>
      <c r="D8" s="54">
        <f>IF(C8="","n/a",C8-B8)</f>
        <v/>
      </c>
      <c r="E8" s="26">
        <f>SUMIFS(Database!$I$5:$I$521,Database!$H$5:$H$521,"&gt;="&amp;DATE(2024,1,1),Database!$H$5:$H$521,"&lt;="&amp;DATE(2024,12,31))/1000</f>
        <v/>
      </c>
      <c r="F8" s="185" t="n">
        <v>87.5</v>
      </c>
      <c r="G8" s="53">
        <f>IF(OR(F8="",E8=0),"n/a",F8/E8-1)</f>
        <v/>
      </c>
    </row>
    <row r="9">
      <c r="A9" s="181" t="inlineStr">
        <is>
          <t>2025</t>
        </is>
      </c>
      <c r="B9" s="54">
        <f>COUNTIFS(Database!$H$5:$H$521,"&gt;="&amp;DATE(2025,1,1),Database!$H$5:$H$521,"&lt;="&amp;DATE(2025,12,31))</f>
        <v/>
      </c>
      <c r="C9" s="167" t="n"/>
      <c r="D9" s="54">
        <f>IF(C9="","n/a",C9-B9)</f>
        <v/>
      </c>
      <c r="E9" s="26">
        <f>SUMIFS(Database!$I$5:$I$521,Database!$H$5:$H$521,"&gt;="&amp;DATE(2025,1,1),Database!$H$5:$H$521,"&lt;="&amp;DATE(2025,12,31))/1000</f>
        <v/>
      </c>
      <c r="F9" s="185" t="n"/>
      <c r="G9" s="53">
        <f>IF(OR(F9="",E9=0),"n/a",F9/E9-1)</f>
        <v/>
      </c>
    </row>
    <row r="10">
      <c r="A10" s="181" t="inlineStr">
        <is>
          <t>2026</t>
        </is>
      </c>
      <c r="B10" s="54">
        <f>COUNTIFS(Database!$H$5:$H$521,"&gt;="&amp;DATE(2026,1,1),Database!$H$5:$H$521,"&lt;="&amp;DATE(2026,12,31))</f>
        <v/>
      </c>
      <c r="C10" s="167" t="n"/>
      <c r="D10" s="54">
        <f>IF(C10="","n/a",C10-B10)</f>
        <v/>
      </c>
      <c r="E10" s="26">
        <f>SUMIFS(Database!$I$5:$I$521,Database!$H$5:$H$521,"&gt;="&amp;DATE(2026,1,1),Database!$H$5:$H$521,"&lt;="&amp;DATE(2026,12,31))/1000</f>
        <v/>
      </c>
      <c r="F10" s="185" t="n"/>
      <c r="G10" s="53">
        <f>IF(OR(F10="",E10=0),"n/a",F10/E10-1)</f>
        <v/>
      </c>
    </row>
    <row r="11"/>
    <row r="12">
      <c r="A12" s="165"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0" t="inlineStr">
        <is>
          <t>1024</t>
        </is>
      </c>
      <c r="B14" s="17" t="inlineStr">
        <is>
          <t>Kuaishou</t>
        </is>
      </c>
      <c r="C14" s="17" t="inlineStr">
        <is>
          <t>final_price</t>
        </is>
      </c>
      <c r="D14" s="178" t="n">
        <v>115</v>
      </c>
      <c r="E14" s="50">
        <f>INDEX(Database!$M$5:$M$521,MATCH("1024",Database!$A$5:$A$521,0))</f>
        <v/>
      </c>
      <c r="F14" s="10">
        <f>IF(E14="","MISSING",IF(ABS(E14-D14)/D14&lt;0.02,"OK","CHECK"))</f>
        <v/>
      </c>
    </row>
    <row r="15">
      <c r="A15" s="170" t="inlineStr">
        <is>
          <t>3750</t>
        </is>
      </c>
      <c r="B15" s="17" t="inlineStr">
        <is>
          <t>CATL (H)</t>
        </is>
      </c>
      <c r="C15" s="17" t="inlineStr">
        <is>
          <t>final_price</t>
        </is>
      </c>
      <c r="D15" s="178" t="n">
        <v>263</v>
      </c>
      <c r="E15" s="50">
        <f>INDEX(Database!$M$5:$M$521,MATCH("3750",Database!$A$5:$A$521,0))</f>
        <v/>
      </c>
      <c r="F15" s="10">
        <f>IF(E15="","MISSING",IF(ABS(E15-D15)/D15&lt;0.02,"OK","CHECK"))</f>
        <v/>
      </c>
    </row>
    <row r="16">
      <c r="A16" s="170" t="inlineStr">
        <is>
          <t>0300</t>
        </is>
      </c>
      <c r="B16" s="17" t="inlineStr">
        <is>
          <t>Midea Group (H)</t>
        </is>
      </c>
      <c r="C16" s="17" t="inlineStr">
        <is>
          <t>final_price</t>
        </is>
      </c>
      <c r="D16" s="178" t="n">
        <v>54.8</v>
      </c>
      <c r="E16" s="50">
        <f>INDEX(Database!$M$5:$M$521,MATCH("0300",Database!$A$5:$A$521,0))</f>
        <v/>
      </c>
      <c r="F16" s="10">
        <f>IF(E16="","MISSING",IF(ABS(E16-D16)/D16&lt;0.02,"OK","CHECK"))</f>
        <v/>
      </c>
    </row>
    <row r="17">
      <c r="A17" s="170" t="inlineStr">
        <is>
          <t>9660</t>
        </is>
      </c>
      <c r="B17" s="17" t="inlineStr">
        <is>
          <t>Horizon Robotics</t>
        </is>
      </c>
      <c r="C17" s="17" t="inlineStr">
        <is>
          <t>final_price</t>
        </is>
      </c>
      <c r="D17" s="178" t="n">
        <v>3.99</v>
      </c>
      <c r="E17" s="50">
        <f>INDEX(Database!$M$5:$M$521,MATCH("9660",Database!$A$5:$A$521,0))</f>
        <v/>
      </c>
      <c r="F17" s="10">
        <f>IF(E17="","MISSING",IF(ABS(E17-D17)/D17&lt;0.02,"OK","CHECK"))</f>
        <v/>
      </c>
    </row>
    <row r="18">
      <c r="A18" s="170" t="inlineStr">
        <is>
          <t>2097</t>
        </is>
      </c>
      <c r="B18" s="17" t="inlineStr">
        <is>
          <t>Mixue Group</t>
        </is>
      </c>
      <c r="C18" s="17" t="inlineStr">
        <is>
          <t>final_price</t>
        </is>
      </c>
      <c r="D18" s="178" t="n">
        <v>202.5</v>
      </c>
      <c r="E18" s="50">
        <f>INDEX(Database!$M$5:$M$521,MATCH("2097",Database!$A$5:$A$521,0))</f>
        <v/>
      </c>
      <c r="F18" s="10">
        <f>IF(E18="","MISSING",IF(ABS(E18-D18)/D18&lt;0.02,"OK","CHECK"))</f>
        <v/>
      </c>
    </row>
    <row r="19">
      <c r="A19" s="170" t="inlineStr">
        <is>
          <t>9696</t>
        </is>
      </c>
      <c r="B19" s="17" t="inlineStr">
        <is>
          <t>Tianqi Lithium (H)</t>
        </is>
      </c>
      <c r="C19" s="17" t="inlineStr">
        <is>
          <t>final_price</t>
        </is>
      </c>
      <c r="D19" s="178" t="n">
        <v>82</v>
      </c>
      <c r="E19" s="50">
        <f>INDEX(Database!$M$5:$M$521,MATCH("9696",Database!$A$5:$A$521,0))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2"/>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IFERROR(INDEX(Database!$Z$5:$Z$521,MATCH(Screener!$B$5,Database!$B$5:$B$521,0))&amp;"","")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Database!BA5</f>
        <v/>
      </c>
      <c r="AF16">
        <f>Database!BG5</f>
        <v/>
      </c>
      <c r="AG16">
        <f>Database!H5</f>
        <v/>
      </c>
      <c r="AH16">
        <f>Database!BB5</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Database!BA6</f>
        <v/>
      </c>
      <c r="AF17">
        <f>Database!BG6</f>
        <v/>
      </c>
      <c r="AG17">
        <f>Database!H6</f>
        <v/>
      </c>
      <c r="AH17">
        <f>Database!BB6</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Database!BA7</f>
        <v/>
      </c>
      <c r="AF18">
        <f>Database!BG7</f>
        <v/>
      </c>
      <c r="AG18">
        <f>Database!H7</f>
        <v/>
      </c>
      <c r="AH18">
        <f>Database!BB7</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Database!BA8</f>
        <v/>
      </c>
      <c r="AF19">
        <f>Database!BG8</f>
        <v/>
      </c>
      <c r="AG19">
        <f>Database!H8</f>
        <v/>
      </c>
      <c r="AH19">
        <f>Database!BB8</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Database!BA9</f>
        <v/>
      </c>
      <c r="AF20">
        <f>Database!BG9</f>
        <v/>
      </c>
      <c r="AG20">
        <f>Database!H9</f>
        <v/>
      </c>
      <c r="AH20">
        <f>Database!BB9</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Database!BA10</f>
        <v/>
      </c>
      <c r="AF21">
        <f>Database!BG10</f>
        <v/>
      </c>
      <c r="AG21">
        <f>Database!H10</f>
        <v/>
      </c>
      <c r="AH21">
        <f>Database!BB10</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Database!BA11</f>
        <v/>
      </c>
      <c r="AF22">
        <f>Database!BG11</f>
        <v/>
      </c>
      <c r="AG22">
        <f>Database!H11</f>
        <v/>
      </c>
      <c r="AH22">
        <f>Database!BB11</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Database!BA12</f>
        <v/>
      </c>
      <c r="AF23">
        <f>Database!BG12</f>
        <v/>
      </c>
      <c r="AG23">
        <f>Database!H12</f>
        <v/>
      </c>
      <c r="AH23">
        <f>Database!BB12</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Database!BA13</f>
        <v/>
      </c>
      <c r="AF24">
        <f>Database!BG13</f>
        <v/>
      </c>
      <c r="AG24">
        <f>Database!H13</f>
        <v/>
      </c>
      <c r="AH24">
        <f>Database!BB13</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Database!BA14</f>
        <v/>
      </c>
      <c r="AF25">
        <f>Database!BG14</f>
        <v/>
      </c>
      <c r="AG25">
        <f>Database!H14</f>
        <v/>
      </c>
      <c r="AH25">
        <f>Database!BB14</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Database!BA15</f>
        <v/>
      </c>
      <c r="AF26">
        <f>Database!BG15</f>
        <v/>
      </c>
      <c r="AG26">
        <f>Database!H15</f>
        <v/>
      </c>
      <c r="AH26">
        <f>Database!BB15</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Database!BA16</f>
        <v/>
      </c>
      <c r="AF27">
        <f>Database!BG16</f>
        <v/>
      </c>
      <c r="AG27">
        <f>Database!H16</f>
        <v/>
      </c>
      <c r="AH27">
        <f>Database!BB16</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Database!BA17</f>
        <v/>
      </c>
      <c r="AF28">
        <f>Database!BG17</f>
        <v/>
      </c>
      <c r="AG28">
        <f>Database!H17</f>
        <v/>
      </c>
      <c r="AH28">
        <f>Database!BB17</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Database!BA18</f>
        <v/>
      </c>
      <c r="AF29">
        <f>Database!BG18</f>
        <v/>
      </c>
      <c r="AG29">
        <f>Database!H18</f>
        <v/>
      </c>
      <c r="AH29">
        <f>Database!BB18</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Database!BA19</f>
        <v/>
      </c>
      <c r="AF30">
        <f>Database!BG19</f>
        <v/>
      </c>
      <c r="AG30">
        <f>Database!H19</f>
        <v/>
      </c>
      <c r="AH30">
        <f>Database!BB19</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Database!BA20</f>
        <v/>
      </c>
      <c r="AF31">
        <f>Database!BG20</f>
        <v/>
      </c>
      <c r="AG31">
        <f>Database!H20</f>
        <v/>
      </c>
      <c r="AH31">
        <f>Database!BB20</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Database!BA21</f>
        <v/>
      </c>
      <c r="AF32">
        <f>Database!BG21</f>
        <v/>
      </c>
      <c r="AG32">
        <f>Database!H21</f>
        <v/>
      </c>
      <c r="AH32">
        <f>Database!BB21</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Database!BA22</f>
        <v/>
      </c>
      <c r="AF33">
        <f>Database!BG22</f>
        <v/>
      </c>
      <c r="AG33">
        <f>Database!H22</f>
        <v/>
      </c>
      <c r="AH33">
        <f>Database!BB22</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Database!BA23</f>
        <v/>
      </c>
      <c r="AF34">
        <f>Database!BG23</f>
        <v/>
      </c>
      <c r="AG34">
        <f>Database!H23</f>
        <v/>
      </c>
      <c r="AH34">
        <f>Database!BB23</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Database!BA24</f>
        <v/>
      </c>
      <c r="AF35">
        <f>Database!BG24</f>
        <v/>
      </c>
      <c r="AG35">
        <f>Database!H24</f>
        <v/>
      </c>
      <c r="AH35">
        <f>Database!BB24</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Database!BA25</f>
        <v/>
      </c>
      <c r="AF36">
        <f>Database!BG25</f>
        <v/>
      </c>
      <c r="AG36">
        <f>Database!H25</f>
        <v/>
      </c>
      <c r="AH36">
        <f>Database!BB25</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Database!BA26</f>
        <v/>
      </c>
      <c r="AF37">
        <f>Database!BG26</f>
        <v/>
      </c>
      <c r="AG37">
        <f>Database!H26</f>
        <v/>
      </c>
      <c r="AH37">
        <f>Database!BB26</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Database!BA27</f>
        <v/>
      </c>
      <c r="AF38">
        <f>Database!BG27</f>
        <v/>
      </c>
      <c r="AG38">
        <f>Database!H27</f>
        <v/>
      </c>
      <c r="AH38">
        <f>Database!BB27</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Database!BA28</f>
        <v/>
      </c>
      <c r="AF39">
        <f>Database!BG28</f>
        <v/>
      </c>
      <c r="AG39">
        <f>Database!H28</f>
        <v/>
      </c>
      <c r="AH39">
        <f>Database!BB28</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Database!BA29</f>
        <v/>
      </c>
      <c r="AF40">
        <f>Database!BG29</f>
        <v/>
      </c>
      <c r="AG40">
        <f>Database!H29</f>
        <v/>
      </c>
      <c r="AH40">
        <f>Database!BB29</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Database!BA30</f>
        <v/>
      </c>
      <c r="AF41">
        <f>Database!BG30</f>
        <v/>
      </c>
      <c r="AG41">
        <f>Database!H30</f>
        <v/>
      </c>
      <c r="AH41">
        <f>Database!BB30</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Database!BA31</f>
        <v/>
      </c>
      <c r="AF42">
        <f>Database!BG31</f>
        <v/>
      </c>
      <c r="AG42">
        <f>Database!H31</f>
        <v/>
      </c>
      <c r="AH42">
        <f>Database!BB31</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Database!BA32</f>
        <v/>
      </c>
      <c r="AF43">
        <f>Database!BG32</f>
        <v/>
      </c>
      <c r="AG43">
        <f>Database!H32</f>
        <v/>
      </c>
      <c r="AH43">
        <f>Database!BB32</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Database!BA33</f>
        <v/>
      </c>
      <c r="AF44">
        <f>Database!BG33</f>
        <v/>
      </c>
      <c r="AG44">
        <f>Database!H33</f>
        <v/>
      </c>
      <c r="AH44">
        <f>Database!BB33</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Database!BA34</f>
        <v/>
      </c>
      <c r="AF45">
        <f>Database!BG34</f>
        <v/>
      </c>
      <c r="AG45">
        <f>Database!H34</f>
        <v/>
      </c>
      <c r="AH45">
        <f>Database!BB34</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Database!BA35</f>
        <v/>
      </c>
      <c r="AF46">
        <f>Database!BG35</f>
        <v/>
      </c>
      <c r="AG46">
        <f>Database!H35</f>
        <v/>
      </c>
      <c r="AH46">
        <f>Database!BB35</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Database!BA36</f>
        <v/>
      </c>
      <c r="AF47">
        <f>Database!BG36</f>
        <v/>
      </c>
      <c r="AG47">
        <f>Database!H36</f>
        <v/>
      </c>
      <c r="AH47">
        <f>Database!BB36</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Database!BA37</f>
        <v/>
      </c>
      <c r="AF48">
        <f>Database!BG37</f>
        <v/>
      </c>
      <c r="AG48">
        <f>Database!H37</f>
        <v/>
      </c>
      <c r="AH48">
        <f>Database!BB37</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Database!BA38</f>
        <v/>
      </c>
      <c r="AF49">
        <f>Database!BG38</f>
        <v/>
      </c>
      <c r="AG49">
        <f>Database!H38</f>
        <v/>
      </c>
      <c r="AH49">
        <f>Database!BB38</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Database!BA39</f>
        <v/>
      </c>
      <c r="AF50">
        <f>Database!BG39</f>
        <v/>
      </c>
      <c r="AG50">
        <f>Database!H39</f>
        <v/>
      </c>
      <c r="AH50">
        <f>Database!BB39</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Database!BA40</f>
        <v/>
      </c>
      <c r="AF51">
        <f>Database!BG40</f>
        <v/>
      </c>
      <c r="AG51">
        <f>Database!H40</f>
        <v/>
      </c>
      <c r="AH51">
        <f>Database!BB40</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Database!BA41</f>
        <v/>
      </c>
      <c r="AF52">
        <f>Database!BG41</f>
        <v/>
      </c>
      <c r="AG52">
        <f>Database!H41</f>
        <v/>
      </c>
      <c r="AH52">
        <f>Database!BB41</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Database!BA42</f>
        <v/>
      </c>
      <c r="AF53">
        <f>Database!BG42</f>
        <v/>
      </c>
      <c r="AG53">
        <f>Database!H42</f>
        <v/>
      </c>
      <c r="AH53">
        <f>Database!BB42</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Database!BA43</f>
        <v/>
      </c>
      <c r="AF54">
        <f>Database!BG43</f>
        <v/>
      </c>
      <c r="AG54">
        <f>Database!H43</f>
        <v/>
      </c>
      <c r="AH54">
        <f>Database!BB43</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Database!BA44</f>
        <v/>
      </c>
      <c r="AF55">
        <f>Database!BG44</f>
        <v/>
      </c>
      <c r="AG55">
        <f>Database!H44</f>
        <v/>
      </c>
      <c r="AH55">
        <f>Database!BB44</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Database!BA45</f>
        <v/>
      </c>
      <c r="AF56">
        <f>Database!BG45</f>
        <v/>
      </c>
      <c r="AG56">
        <f>Database!H45</f>
        <v/>
      </c>
      <c r="AH56">
        <f>Database!BB45</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Database!BA46</f>
        <v/>
      </c>
      <c r="AF57">
        <f>Database!BG46</f>
        <v/>
      </c>
      <c r="AG57">
        <f>Database!H46</f>
        <v/>
      </c>
      <c r="AH57">
        <f>Database!BB46</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Database!BA47</f>
        <v/>
      </c>
      <c r="AF58">
        <f>Database!BG47</f>
        <v/>
      </c>
      <c r="AG58">
        <f>Database!H47</f>
        <v/>
      </c>
      <c r="AH58">
        <f>Database!BB47</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Database!BA48</f>
        <v/>
      </c>
      <c r="AF59">
        <f>Database!BG48</f>
        <v/>
      </c>
      <c r="AG59">
        <f>Database!H48</f>
        <v/>
      </c>
      <c r="AH59">
        <f>Database!BB48</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Database!BA49</f>
        <v/>
      </c>
      <c r="AF60">
        <f>Database!BG49</f>
        <v/>
      </c>
      <c r="AG60">
        <f>Database!H49</f>
        <v/>
      </c>
      <c r="AH60">
        <f>Database!BB49</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Database!BA50</f>
        <v/>
      </c>
      <c r="AF61">
        <f>Database!BG50</f>
        <v/>
      </c>
      <c r="AG61">
        <f>Database!H50</f>
        <v/>
      </c>
      <c r="AH61">
        <f>Database!BB50</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Database!BA51</f>
        <v/>
      </c>
      <c r="AF62">
        <f>Database!BG51</f>
        <v/>
      </c>
      <c r="AG62">
        <f>Database!H51</f>
        <v/>
      </c>
      <c r="AH62">
        <f>Database!BB51</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Database!BA52</f>
        <v/>
      </c>
      <c r="AF63">
        <f>Database!BG52</f>
        <v/>
      </c>
      <c r="AG63">
        <f>Database!H52</f>
        <v/>
      </c>
      <c r="AH63">
        <f>Database!BB52</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Database!BA53</f>
        <v/>
      </c>
      <c r="AF64">
        <f>Database!BG53</f>
        <v/>
      </c>
      <c r="AG64">
        <f>Database!H53</f>
        <v/>
      </c>
      <c r="AH64">
        <f>Database!BB53</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Database!BA54</f>
        <v/>
      </c>
      <c r="AF65">
        <f>Database!BG54</f>
        <v/>
      </c>
      <c r="AG65">
        <f>Database!H54</f>
        <v/>
      </c>
      <c r="AH65">
        <f>Database!BB54</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Database!BA55</f>
        <v/>
      </c>
      <c r="AF66">
        <f>Database!BG55</f>
        <v/>
      </c>
      <c r="AG66">
        <f>Database!H55</f>
        <v/>
      </c>
      <c r="AH66">
        <f>Database!BB55</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Database!BA56</f>
        <v/>
      </c>
      <c r="AF67">
        <f>Database!BG56</f>
        <v/>
      </c>
      <c r="AG67">
        <f>Database!H56</f>
        <v/>
      </c>
      <c r="AH67">
        <f>Database!BB56</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Database!BA57</f>
        <v/>
      </c>
      <c r="AF68">
        <f>Database!BG57</f>
        <v/>
      </c>
      <c r="AG68">
        <f>Database!H57</f>
        <v/>
      </c>
      <c r="AH68">
        <f>Database!BB57</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Database!BA58</f>
        <v/>
      </c>
      <c r="AF69">
        <f>Database!BG58</f>
        <v/>
      </c>
      <c r="AG69">
        <f>Database!H58</f>
        <v/>
      </c>
      <c r="AH69">
        <f>Database!BB58</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Database!BA59</f>
        <v/>
      </c>
      <c r="AF70">
        <f>Database!BG59</f>
        <v/>
      </c>
      <c r="AG70">
        <f>Database!H59</f>
        <v/>
      </c>
      <c r="AH70">
        <f>Database!BB59</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Database!BA60</f>
        <v/>
      </c>
      <c r="AF71">
        <f>Database!BG60</f>
        <v/>
      </c>
      <c r="AG71">
        <f>Database!H60</f>
        <v/>
      </c>
      <c r="AH71">
        <f>Database!BB60</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Database!BA61</f>
        <v/>
      </c>
      <c r="AF72">
        <f>Database!BG61</f>
        <v/>
      </c>
      <c r="AG72">
        <f>Database!H61</f>
        <v/>
      </c>
      <c r="AH72">
        <f>Database!BB61</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Database!BA62</f>
        <v/>
      </c>
      <c r="AF73">
        <f>Database!BG62</f>
        <v/>
      </c>
      <c r="AG73">
        <f>Database!H62</f>
        <v/>
      </c>
      <c r="AH73">
        <f>Database!BB62</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Database!BA63</f>
        <v/>
      </c>
      <c r="AF74">
        <f>Database!BG63</f>
        <v/>
      </c>
      <c r="AG74">
        <f>Database!H63</f>
        <v/>
      </c>
      <c r="AH74">
        <f>Database!BB63</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Database!BA64</f>
        <v/>
      </c>
      <c r="AF75">
        <f>Database!BG64</f>
        <v/>
      </c>
      <c r="AG75">
        <f>Database!H64</f>
        <v/>
      </c>
      <c r="AH75">
        <f>Database!BB64</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Database!BA65</f>
        <v/>
      </c>
      <c r="AF76">
        <f>Database!BG65</f>
        <v/>
      </c>
      <c r="AG76">
        <f>Database!H65</f>
        <v/>
      </c>
      <c r="AH76">
        <f>Database!BB65</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Database!BA66</f>
        <v/>
      </c>
      <c r="AF77">
        <f>Database!BG66</f>
        <v/>
      </c>
      <c r="AG77">
        <f>Database!H66</f>
        <v/>
      </c>
      <c r="AH77">
        <f>Database!BB66</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Database!BA67</f>
        <v/>
      </c>
      <c r="AF78">
        <f>Database!BG67</f>
        <v/>
      </c>
      <c r="AG78">
        <f>Database!H67</f>
        <v/>
      </c>
      <c r="AH78">
        <f>Database!BB67</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Database!BA68</f>
        <v/>
      </c>
      <c r="AF79">
        <f>Database!BG68</f>
        <v/>
      </c>
      <c r="AG79">
        <f>Database!H68</f>
        <v/>
      </c>
      <c r="AH79">
        <f>Database!BB68</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Database!BA69</f>
        <v/>
      </c>
      <c r="AF80">
        <f>Database!BG69</f>
        <v/>
      </c>
      <c r="AG80">
        <f>Database!H69</f>
        <v/>
      </c>
      <c r="AH80">
        <f>Database!BB69</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Database!BA70</f>
        <v/>
      </c>
      <c r="AF81">
        <f>Database!BG70</f>
        <v/>
      </c>
      <c r="AG81">
        <f>Database!H70</f>
        <v/>
      </c>
      <c r="AH81">
        <f>Database!BB70</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Database!BA71</f>
        <v/>
      </c>
      <c r="AF82">
        <f>Database!BG71</f>
        <v/>
      </c>
      <c r="AG82">
        <f>Database!H71</f>
        <v/>
      </c>
      <c r="AH82">
        <f>Database!BB71</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Database!BA72</f>
        <v/>
      </c>
      <c r="AF83">
        <f>Database!BG72</f>
        <v/>
      </c>
      <c r="AG83">
        <f>Database!H72</f>
        <v/>
      </c>
      <c r="AH83">
        <f>Database!BB72</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Database!BA73</f>
        <v/>
      </c>
      <c r="AF84">
        <f>Database!BG73</f>
        <v/>
      </c>
      <c r="AG84">
        <f>Database!H73</f>
        <v/>
      </c>
      <c r="AH84">
        <f>Database!BB73</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Database!BA74</f>
        <v/>
      </c>
      <c r="AF85">
        <f>Database!BG74</f>
        <v/>
      </c>
      <c r="AG85">
        <f>Database!H74</f>
        <v/>
      </c>
      <c r="AH85">
        <f>Database!BB74</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Database!BA75</f>
        <v/>
      </c>
      <c r="AF86">
        <f>Database!BG75</f>
        <v/>
      </c>
      <c r="AG86">
        <f>Database!H75</f>
        <v/>
      </c>
      <c r="AH86">
        <f>Database!BB75</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Database!BA76</f>
        <v/>
      </c>
      <c r="AF87">
        <f>Database!BG76</f>
        <v/>
      </c>
      <c r="AG87">
        <f>Database!H76</f>
        <v/>
      </c>
      <c r="AH87">
        <f>Database!BB76</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Database!BA77</f>
        <v/>
      </c>
      <c r="AF88">
        <f>Database!BG77</f>
        <v/>
      </c>
      <c r="AG88">
        <f>Database!H77</f>
        <v/>
      </c>
      <c r="AH88">
        <f>Database!BB77</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Database!BA78</f>
        <v/>
      </c>
      <c r="AF89">
        <f>Database!BG78</f>
        <v/>
      </c>
      <c r="AG89">
        <f>Database!H78</f>
        <v/>
      </c>
      <c r="AH89">
        <f>Database!BB78</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Database!BA79</f>
        <v/>
      </c>
      <c r="AF90">
        <f>Database!BG79</f>
        <v/>
      </c>
      <c r="AG90">
        <f>Database!H79</f>
        <v/>
      </c>
      <c r="AH90">
        <f>Database!BB79</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Database!BA80</f>
        <v/>
      </c>
      <c r="AF91">
        <f>Database!BG80</f>
        <v/>
      </c>
      <c r="AG91">
        <f>Database!H80</f>
        <v/>
      </c>
      <c r="AH91">
        <f>Database!BB80</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Database!BA81</f>
        <v/>
      </c>
      <c r="AF92">
        <f>Database!BG81</f>
        <v/>
      </c>
      <c r="AG92">
        <f>Database!H81</f>
        <v/>
      </c>
      <c r="AH92">
        <f>Database!BB81</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Database!BA82</f>
        <v/>
      </c>
      <c r="AF93">
        <f>Database!BG82</f>
        <v/>
      </c>
      <c r="AG93">
        <f>Database!H82</f>
        <v/>
      </c>
      <c r="AH93">
        <f>Database!BB82</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Database!BA83</f>
        <v/>
      </c>
      <c r="AF94">
        <f>Database!BG83</f>
        <v/>
      </c>
      <c r="AG94">
        <f>Database!H83</f>
        <v/>
      </c>
      <c r="AH94">
        <f>Database!BB83</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Database!BA84</f>
        <v/>
      </c>
      <c r="AF95">
        <f>Database!BG84</f>
        <v/>
      </c>
      <c r="AG95">
        <f>Database!H84</f>
        <v/>
      </c>
      <c r="AH95">
        <f>Database!BB84</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Database!BA85</f>
        <v/>
      </c>
      <c r="AF96">
        <f>Database!BG85</f>
        <v/>
      </c>
      <c r="AG96">
        <f>Database!H85</f>
        <v/>
      </c>
      <c r="AH96">
        <f>Database!BB85</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Database!BA86</f>
        <v/>
      </c>
      <c r="AF97">
        <f>Database!BG86</f>
        <v/>
      </c>
      <c r="AG97">
        <f>Database!H86</f>
        <v/>
      </c>
      <c r="AH97">
        <f>Database!BB86</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Database!BA87</f>
        <v/>
      </c>
      <c r="AF98">
        <f>Database!BG87</f>
        <v/>
      </c>
      <c r="AG98">
        <f>Database!H87</f>
        <v/>
      </c>
      <c r="AH98">
        <f>Database!BB87</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Database!BA88</f>
        <v/>
      </c>
      <c r="AF99">
        <f>Database!BG88</f>
        <v/>
      </c>
      <c r="AG99">
        <f>Database!H88</f>
        <v/>
      </c>
      <c r="AH99">
        <f>Database!BB88</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Database!BA89</f>
        <v/>
      </c>
      <c r="AF100">
        <f>Database!BG89</f>
        <v/>
      </c>
      <c r="AG100">
        <f>Database!H89</f>
        <v/>
      </c>
      <c r="AH100">
        <f>Database!BB89</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Database!BA90</f>
        <v/>
      </c>
      <c r="AF101">
        <f>Database!BG90</f>
        <v/>
      </c>
      <c r="AG101">
        <f>Database!H90</f>
        <v/>
      </c>
      <c r="AH101">
        <f>Database!BB90</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Database!BA91</f>
        <v/>
      </c>
      <c r="AF102">
        <f>Database!BG91</f>
        <v/>
      </c>
      <c r="AG102">
        <f>Database!H91</f>
        <v/>
      </c>
      <c r="AH102">
        <f>Database!BB91</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Database!BA92</f>
        <v/>
      </c>
      <c r="AF103">
        <f>Database!BG92</f>
        <v/>
      </c>
      <c r="AG103">
        <f>Database!H92</f>
        <v/>
      </c>
      <c r="AH103">
        <f>Database!BB92</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Database!BA93</f>
        <v/>
      </c>
      <c r="AF104">
        <f>Database!BG93</f>
        <v/>
      </c>
      <c r="AG104">
        <f>Database!H93</f>
        <v/>
      </c>
      <c r="AH104">
        <f>Database!BB93</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Database!BA94</f>
        <v/>
      </c>
      <c r="AF105">
        <f>Database!BG94</f>
        <v/>
      </c>
      <c r="AG105">
        <f>Database!H94</f>
        <v/>
      </c>
      <c r="AH105">
        <f>Database!BB94</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Database!BA95</f>
        <v/>
      </c>
      <c r="AF106">
        <f>Database!BG95</f>
        <v/>
      </c>
      <c r="AG106">
        <f>Database!H95</f>
        <v/>
      </c>
      <c r="AH106">
        <f>Database!BB95</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Database!BA96</f>
        <v/>
      </c>
      <c r="AF107">
        <f>Database!BG96</f>
        <v/>
      </c>
      <c r="AG107">
        <f>Database!H96</f>
        <v/>
      </c>
      <c r="AH107">
        <f>Database!BB96</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Database!BA97</f>
        <v/>
      </c>
      <c r="AF108">
        <f>Database!BG97</f>
        <v/>
      </c>
      <c r="AG108">
        <f>Database!H97</f>
        <v/>
      </c>
      <c r="AH108">
        <f>Database!BB97</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Database!BA98</f>
        <v/>
      </c>
      <c r="AF109">
        <f>Database!BG98</f>
        <v/>
      </c>
      <c r="AG109">
        <f>Database!H98</f>
        <v/>
      </c>
      <c r="AH109">
        <f>Database!BB98</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Database!BA99</f>
        <v/>
      </c>
      <c r="AF110">
        <f>Database!BG99</f>
        <v/>
      </c>
      <c r="AG110">
        <f>Database!H99</f>
        <v/>
      </c>
      <c r="AH110">
        <f>Database!BB99</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Database!BA100</f>
        <v/>
      </c>
      <c r="AF111">
        <f>Database!BG100</f>
        <v/>
      </c>
      <c r="AG111">
        <f>Database!H100</f>
        <v/>
      </c>
      <c r="AH111">
        <f>Database!BB100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Database!BA101</f>
        <v/>
      </c>
      <c r="AF112">
        <f>Database!BG101</f>
        <v/>
      </c>
      <c r="AG112">
        <f>Database!H101</f>
        <v/>
      </c>
      <c r="AH112">
        <f>Database!BB101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Database!BA102</f>
        <v/>
      </c>
      <c r="AF113">
        <f>Database!BG102</f>
        <v/>
      </c>
      <c r="AG113">
        <f>Database!H102</f>
        <v/>
      </c>
      <c r="AH113">
        <f>Database!BB102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Database!BA103</f>
        <v/>
      </c>
      <c r="AF114">
        <f>Database!BG103</f>
        <v/>
      </c>
      <c r="AG114">
        <f>Database!H103</f>
        <v/>
      </c>
      <c r="AH114">
        <f>Database!BB103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Database!BA104</f>
        <v/>
      </c>
      <c r="AF115">
        <f>Database!BG104</f>
        <v/>
      </c>
      <c r="AG115">
        <f>Database!H104</f>
        <v/>
      </c>
      <c r="AH115">
        <f>Database!BB104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Database!BA105</f>
        <v/>
      </c>
      <c r="AF116">
        <f>Database!BG105</f>
        <v/>
      </c>
      <c r="AG116">
        <f>Database!H105</f>
        <v/>
      </c>
      <c r="AH116">
        <f>Database!BB105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Database!BA106</f>
        <v/>
      </c>
      <c r="AF117">
        <f>Database!BG106</f>
        <v/>
      </c>
      <c r="AG117">
        <f>Database!H106</f>
        <v/>
      </c>
      <c r="AH117">
        <f>Database!BB106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Database!BA107</f>
        <v/>
      </c>
      <c r="AF118">
        <f>Database!BG107</f>
        <v/>
      </c>
      <c r="AG118">
        <f>Database!H107</f>
        <v/>
      </c>
      <c r="AH118">
        <f>Database!BB107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Database!BA108</f>
        <v/>
      </c>
      <c r="AF119">
        <f>Database!BG108</f>
        <v/>
      </c>
      <c r="AG119">
        <f>Database!H108</f>
        <v/>
      </c>
      <c r="AH119">
        <f>Database!BB108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Database!BA109</f>
        <v/>
      </c>
      <c r="AF120">
        <f>Database!BG109</f>
        <v/>
      </c>
      <c r="AG120">
        <f>Database!H109</f>
        <v/>
      </c>
      <c r="AH120">
        <f>Database!BB109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Database!BA110</f>
        <v/>
      </c>
      <c r="AF121">
        <f>Database!BG110</f>
        <v/>
      </c>
      <c r="AG121">
        <f>Database!H110</f>
        <v/>
      </c>
      <c r="AH121">
        <f>Database!BB110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Database!BA111</f>
        <v/>
      </c>
      <c r="AF122">
        <f>Database!BG111</f>
        <v/>
      </c>
      <c r="AG122">
        <f>Database!H111</f>
        <v/>
      </c>
      <c r="AH122">
        <f>Database!BB111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Database!BA112</f>
        <v/>
      </c>
      <c r="AF123">
        <f>Database!BG112</f>
        <v/>
      </c>
      <c r="AG123">
        <f>Database!H112</f>
        <v/>
      </c>
      <c r="AH123">
        <f>Database!BB112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Database!BA113</f>
        <v/>
      </c>
      <c r="AF124">
        <f>Database!BG113</f>
        <v/>
      </c>
      <c r="AG124">
        <f>Database!H113</f>
        <v/>
      </c>
      <c r="AH124">
        <f>Database!BB113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Database!BA114</f>
        <v/>
      </c>
      <c r="AF125">
        <f>Database!BG114</f>
        <v/>
      </c>
      <c r="AG125">
        <f>Database!H114</f>
        <v/>
      </c>
      <c r="AH125">
        <f>Database!BB114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Database!BA115</f>
        <v/>
      </c>
      <c r="AF126">
        <f>Database!BG115</f>
        <v/>
      </c>
      <c r="AG126">
        <f>Database!H115</f>
        <v/>
      </c>
      <c r="AH126">
        <f>Database!BB115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Database!BA116</f>
        <v/>
      </c>
      <c r="AF127">
        <f>Database!BG116</f>
        <v/>
      </c>
      <c r="AG127">
        <f>Database!H116</f>
        <v/>
      </c>
      <c r="AH127">
        <f>Database!BB116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Database!BA117</f>
        <v/>
      </c>
      <c r="AF128">
        <f>Database!BG117</f>
        <v/>
      </c>
      <c r="AG128">
        <f>Database!H117</f>
        <v/>
      </c>
      <c r="AH128">
        <f>Database!BB117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Database!BA118</f>
        <v/>
      </c>
      <c r="AF129">
        <f>Database!BG118</f>
        <v/>
      </c>
      <c r="AG129">
        <f>Database!H118</f>
        <v/>
      </c>
      <c r="AH129">
        <f>Database!BB118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Database!BA119</f>
        <v/>
      </c>
      <c r="AF130">
        <f>Database!BG119</f>
        <v/>
      </c>
      <c r="AG130">
        <f>Database!H119</f>
        <v/>
      </c>
      <c r="AH130">
        <f>Database!BB119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Database!BA120</f>
        <v/>
      </c>
      <c r="AF131">
        <f>Database!BG120</f>
        <v/>
      </c>
      <c r="AG131">
        <f>Database!H120</f>
        <v/>
      </c>
      <c r="AH131">
        <f>Database!BB120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Database!BA121</f>
        <v/>
      </c>
      <c r="AF132">
        <f>Database!BG121</f>
        <v/>
      </c>
      <c r="AG132">
        <f>Database!H121</f>
        <v/>
      </c>
      <c r="AH132">
        <f>Database!BB121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Database!BA122</f>
        <v/>
      </c>
      <c r="AF133">
        <f>Database!BG122</f>
        <v/>
      </c>
      <c r="AG133">
        <f>Database!H122</f>
        <v/>
      </c>
      <c r="AH133">
        <f>Database!BB122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Database!BA123</f>
        <v/>
      </c>
      <c r="AF134">
        <f>Database!BG123</f>
        <v/>
      </c>
      <c r="AG134">
        <f>Database!H123</f>
        <v/>
      </c>
      <c r="AH134">
        <f>Database!BB123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Database!BA124</f>
        <v/>
      </c>
      <c r="AF135">
        <f>Database!BG124</f>
        <v/>
      </c>
      <c r="AG135">
        <f>Database!H124</f>
        <v/>
      </c>
      <c r="AH135">
        <f>Database!BB124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Database!BA125</f>
        <v/>
      </c>
      <c r="AF136">
        <f>Database!BG125</f>
        <v/>
      </c>
      <c r="AG136">
        <f>Database!H125</f>
        <v/>
      </c>
      <c r="AH136">
        <f>Database!BB125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Database!BA126</f>
        <v/>
      </c>
      <c r="AF137">
        <f>Database!BG126</f>
        <v/>
      </c>
      <c r="AG137">
        <f>Database!H126</f>
        <v/>
      </c>
      <c r="AH137">
        <f>Database!BB126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Database!BA127</f>
        <v/>
      </c>
      <c r="AF138">
        <f>Database!BG127</f>
        <v/>
      </c>
      <c r="AG138">
        <f>Database!H127</f>
        <v/>
      </c>
      <c r="AH138">
        <f>Database!BB127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Database!BA128</f>
        <v/>
      </c>
      <c r="AF139">
        <f>Database!BG128</f>
        <v/>
      </c>
      <c r="AG139">
        <f>Database!H128</f>
        <v/>
      </c>
      <c r="AH139">
        <f>Database!BB128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Database!BA129</f>
        <v/>
      </c>
      <c r="AF140">
        <f>Database!BG129</f>
        <v/>
      </c>
      <c r="AG140">
        <f>Database!H129</f>
        <v/>
      </c>
      <c r="AH140">
        <f>Database!BB129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Database!BA130</f>
        <v/>
      </c>
      <c r="AF141">
        <f>Database!BG130</f>
        <v/>
      </c>
      <c r="AG141">
        <f>Database!H130</f>
        <v/>
      </c>
      <c r="AH141">
        <f>Database!BB130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Database!BA131</f>
        <v/>
      </c>
      <c r="AF142">
        <f>Database!BG131</f>
        <v/>
      </c>
      <c r="AG142">
        <f>Database!H131</f>
        <v/>
      </c>
      <c r="AH142">
        <f>Database!BB131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Database!BA132</f>
        <v/>
      </c>
      <c r="AF143">
        <f>Database!BG132</f>
        <v/>
      </c>
      <c r="AG143">
        <f>Database!H132</f>
        <v/>
      </c>
      <c r="AH143">
        <f>Database!BB132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Database!BA133</f>
        <v/>
      </c>
      <c r="AF144">
        <f>Database!BG133</f>
        <v/>
      </c>
      <c r="AG144">
        <f>Database!H133</f>
        <v/>
      </c>
      <c r="AH144">
        <f>Database!BB133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Database!BA134</f>
        <v/>
      </c>
      <c r="AF145">
        <f>Database!BG134</f>
        <v/>
      </c>
      <c r="AG145">
        <f>Database!H134</f>
        <v/>
      </c>
      <c r="AH145">
        <f>Database!BB134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Database!BA135</f>
        <v/>
      </c>
      <c r="AF146">
        <f>Database!BG135</f>
        <v/>
      </c>
      <c r="AG146">
        <f>Database!H135</f>
        <v/>
      </c>
      <c r="AH146">
        <f>Database!BB135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Database!BA136</f>
        <v/>
      </c>
      <c r="AF147">
        <f>Database!BG136</f>
        <v/>
      </c>
      <c r="AG147">
        <f>Database!H136</f>
        <v/>
      </c>
      <c r="AH147">
        <f>Database!BB136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Database!BA137</f>
        <v/>
      </c>
      <c r="AF148">
        <f>Database!BG137</f>
        <v/>
      </c>
      <c r="AG148">
        <f>Database!H137</f>
        <v/>
      </c>
      <c r="AH148">
        <f>Database!BB137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Database!BA138</f>
        <v/>
      </c>
      <c r="AF149">
        <f>Database!BG138</f>
        <v/>
      </c>
      <c r="AG149">
        <f>Database!H138</f>
        <v/>
      </c>
      <c r="AH149">
        <f>Database!BB138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Database!BA139</f>
        <v/>
      </c>
      <c r="AF150">
        <f>Database!BG139</f>
        <v/>
      </c>
      <c r="AG150">
        <f>Database!H139</f>
        <v/>
      </c>
      <c r="AH150">
        <f>Database!BB139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Database!BA140</f>
        <v/>
      </c>
      <c r="AF151">
        <f>Database!BG140</f>
        <v/>
      </c>
      <c r="AG151">
        <f>Database!H140</f>
        <v/>
      </c>
      <c r="AH151">
        <f>Database!BB140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Database!BA141</f>
        <v/>
      </c>
      <c r="AF152">
        <f>Database!BG141</f>
        <v/>
      </c>
      <c r="AG152">
        <f>Database!H141</f>
        <v/>
      </c>
      <c r="AH152">
        <f>Database!BB141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Database!BA142</f>
        <v/>
      </c>
      <c r="AF153">
        <f>Database!BG142</f>
        <v/>
      </c>
      <c r="AG153">
        <f>Database!H142</f>
        <v/>
      </c>
      <c r="AH153">
        <f>Database!BB142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Database!BA143</f>
        <v/>
      </c>
      <c r="AF154">
        <f>Database!BG143</f>
        <v/>
      </c>
      <c r="AG154">
        <f>Database!H143</f>
        <v/>
      </c>
      <c r="AH154">
        <f>Database!BB143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Database!BA144</f>
        <v/>
      </c>
      <c r="AF155">
        <f>Database!BG144</f>
        <v/>
      </c>
      <c r="AG155">
        <f>Database!H144</f>
        <v/>
      </c>
      <c r="AH155">
        <f>Database!BB144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Database!BA145</f>
        <v/>
      </c>
      <c r="AF156">
        <f>Database!BG145</f>
        <v/>
      </c>
      <c r="AG156">
        <f>Database!H145</f>
        <v/>
      </c>
      <c r="AH156">
        <f>Database!BB145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Database!BA146</f>
        <v/>
      </c>
      <c r="AF157">
        <f>Database!BG146</f>
        <v/>
      </c>
      <c r="AG157">
        <f>Database!H146</f>
        <v/>
      </c>
      <c r="AH157">
        <f>Database!BB146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Database!BA147</f>
        <v/>
      </c>
      <c r="AF158">
        <f>Database!BG147</f>
        <v/>
      </c>
      <c r="AG158">
        <f>Database!H147</f>
        <v/>
      </c>
      <c r="AH158">
        <f>Database!BB147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Database!BA148</f>
        <v/>
      </c>
      <c r="AF159">
        <f>Database!BG148</f>
        <v/>
      </c>
      <c r="AG159">
        <f>Database!H148</f>
        <v/>
      </c>
      <c r="AH159">
        <f>Database!BB148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Database!BA149</f>
        <v/>
      </c>
      <c r="AF160">
        <f>Database!BG149</f>
        <v/>
      </c>
      <c r="AG160">
        <f>Database!H149</f>
        <v/>
      </c>
      <c r="AH160">
        <f>Database!BB149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Database!BA150</f>
        <v/>
      </c>
      <c r="AF161">
        <f>Database!BG150</f>
        <v/>
      </c>
      <c r="AG161">
        <f>Database!H150</f>
        <v/>
      </c>
      <c r="AH161">
        <f>Database!BB150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Database!BA151</f>
        <v/>
      </c>
      <c r="AF162">
        <f>Database!BG151</f>
        <v/>
      </c>
      <c r="AG162">
        <f>Database!H151</f>
        <v/>
      </c>
      <c r="AH162">
        <f>Database!BB151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Database!BA152</f>
        <v/>
      </c>
      <c r="AF163">
        <f>Database!BG152</f>
        <v/>
      </c>
      <c r="AG163">
        <f>Database!H152</f>
        <v/>
      </c>
      <c r="AH163">
        <f>Database!BB152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Database!BA153</f>
        <v/>
      </c>
      <c r="AF164">
        <f>Database!BG153</f>
        <v/>
      </c>
      <c r="AG164">
        <f>Database!H153</f>
        <v/>
      </c>
      <c r="AH164">
        <f>Database!BB153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Database!BA154</f>
        <v/>
      </c>
      <c r="AF165">
        <f>Database!BG154</f>
        <v/>
      </c>
      <c r="AG165">
        <f>Database!H154</f>
        <v/>
      </c>
      <c r="AH165">
        <f>Database!BB154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Database!BA155</f>
        <v/>
      </c>
      <c r="AF166">
        <f>Database!BG155</f>
        <v/>
      </c>
      <c r="AG166">
        <f>Database!H155</f>
        <v/>
      </c>
      <c r="AH166">
        <f>Database!BB155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Database!BA156</f>
        <v/>
      </c>
      <c r="AF167">
        <f>Database!BG156</f>
        <v/>
      </c>
      <c r="AG167">
        <f>Database!H156</f>
        <v/>
      </c>
      <c r="AH167">
        <f>Database!BB156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Database!BA157</f>
        <v/>
      </c>
      <c r="AF168">
        <f>Database!BG157</f>
        <v/>
      </c>
      <c r="AG168">
        <f>Database!H157</f>
        <v/>
      </c>
      <c r="AH168">
        <f>Database!BB157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Database!BA158</f>
        <v/>
      </c>
      <c r="AF169">
        <f>Database!BG158</f>
        <v/>
      </c>
      <c r="AG169">
        <f>Database!H158</f>
        <v/>
      </c>
      <c r="AH169">
        <f>Database!BB158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Database!BA159</f>
        <v/>
      </c>
      <c r="AF170">
        <f>Database!BG159</f>
        <v/>
      </c>
      <c r="AG170">
        <f>Database!H159</f>
        <v/>
      </c>
      <c r="AH170">
        <f>Database!BB159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Database!BA160</f>
        <v/>
      </c>
      <c r="AF171">
        <f>Database!BG160</f>
        <v/>
      </c>
      <c r="AG171">
        <f>Database!H160</f>
        <v/>
      </c>
      <c r="AH171">
        <f>Database!BB160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Database!BA161</f>
        <v/>
      </c>
      <c r="AF172">
        <f>Database!BG161</f>
        <v/>
      </c>
      <c r="AG172">
        <f>Database!H161</f>
        <v/>
      </c>
      <c r="AH172">
        <f>Database!BB161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Database!BA162</f>
        <v/>
      </c>
      <c r="AF173">
        <f>Database!BG162</f>
        <v/>
      </c>
      <c r="AG173">
        <f>Database!H162</f>
        <v/>
      </c>
      <c r="AH173">
        <f>Database!BB162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Database!BA163</f>
        <v/>
      </c>
      <c r="AF174">
        <f>Database!BG163</f>
        <v/>
      </c>
      <c r="AG174">
        <f>Database!H163</f>
        <v/>
      </c>
      <c r="AH174">
        <f>Database!BB163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Database!BA164</f>
        <v/>
      </c>
      <c r="AF175">
        <f>Database!BG164</f>
        <v/>
      </c>
      <c r="AG175">
        <f>Database!H164</f>
        <v/>
      </c>
      <c r="AH175">
        <f>Database!BB164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Database!BA165</f>
        <v/>
      </c>
      <c r="AF176">
        <f>Database!BG165</f>
        <v/>
      </c>
      <c r="AG176">
        <f>Database!H165</f>
        <v/>
      </c>
      <c r="AH176">
        <f>Database!BB165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Database!BA166</f>
        <v/>
      </c>
      <c r="AF177">
        <f>Database!BG166</f>
        <v/>
      </c>
      <c r="AG177">
        <f>Database!H166</f>
        <v/>
      </c>
      <c r="AH177">
        <f>Database!BB166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Database!BA167</f>
        <v/>
      </c>
      <c r="AF178">
        <f>Database!BG167</f>
        <v/>
      </c>
      <c r="AG178">
        <f>Database!H167</f>
        <v/>
      </c>
      <c r="AH178">
        <f>Database!BB167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Database!BA168</f>
        <v/>
      </c>
      <c r="AF179">
        <f>Database!BG168</f>
        <v/>
      </c>
      <c r="AG179">
        <f>Database!H168</f>
        <v/>
      </c>
      <c r="AH179">
        <f>Database!BB168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Database!BA169</f>
        <v/>
      </c>
      <c r="AF180">
        <f>Database!BG169</f>
        <v/>
      </c>
      <c r="AG180">
        <f>Database!H169</f>
        <v/>
      </c>
      <c r="AH180">
        <f>Database!BB169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Database!BA170</f>
        <v/>
      </c>
      <c r="AF181">
        <f>Database!BG170</f>
        <v/>
      </c>
      <c r="AG181">
        <f>Database!H170</f>
        <v/>
      </c>
      <c r="AH181">
        <f>Database!BB170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Database!BA171</f>
        <v/>
      </c>
      <c r="AF182">
        <f>Database!BG171</f>
        <v/>
      </c>
      <c r="AG182">
        <f>Database!H171</f>
        <v/>
      </c>
      <c r="AH182">
        <f>Database!BB171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Database!BA172</f>
        <v/>
      </c>
      <c r="AF183">
        <f>Database!BG172</f>
        <v/>
      </c>
      <c r="AG183">
        <f>Database!H172</f>
        <v/>
      </c>
      <c r="AH183">
        <f>Database!BB172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Database!BA173</f>
        <v/>
      </c>
      <c r="AF184">
        <f>Database!BG173</f>
        <v/>
      </c>
      <c r="AG184">
        <f>Database!H173</f>
        <v/>
      </c>
      <c r="AH184">
        <f>Database!BB173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Database!BA174</f>
        <v/>
      </c>
      <c r="AF185">
        <f>Database!BG174</f>
        <v/>
      </c>
      <c r="AG185">
        <f>Database!H174</f>
        <v/>
      </c>
      <c r="AH185">
        <f>Database!BB174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Database!BA175</f>
        <v/>
      </c>
      <c r="AF186">
        <f>Database!BG175</f>
        <v/>
      </c>
      <c r="AG186">
        <f>Database!H175</f>
        <v/>
      </c>
      <c r="AH186">
        <f>Database!BB175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Database!BA176</f>
        <v/>
      </c>
      <c r="AF187">
        <f>Database!BG176</f>
        <v/>
      </c>
      <c r="AG187">
        <f>Database!H176</f>
        <v/>
      </c>
      <c r="AH187">
        <f>Database!BB176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Database!BA177</f>
        <v/>
      </c>
      <c r="AF188">
        <f>Database!BG177</f>
        <v/>
      </c>
      <c r="AG188">
        <f>Database!H177</f>
        <v/>
      </c>
      <c r="AH188">
        <f>Database!BB177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Database!BA178</f>
        <v/>
      </c>
      <c r="AF189">
        <f>Database!BG178</f>
        <v/>
      </c>
      <c r="AG189">
        <f>Database!H178</f>
        <v/>
      </c>
      <c r="AH189">
        <f>Database!BB178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Database!BA179</f>
        <v/>
      </c>
      <c r="AF190">
        <f>Database!BG179</f>
        <v/>
      </c>
      <c r="AG190">
        <f>Database!H179</f>
        <v/>
      </c>
      <c r="AH190">
        <f>Database!BB179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Database!BA180</f>
        <v/>
      </c>
      <c r="AF191">
        <f>Database!BG180</f>
        <v/>
      </c>
      <c r="AG191">
        <f>Database!H180</f>
        <v/>
      </c>
      <c r="AH191">
        <f>Database!BB180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Database!BA181</f>
        <v/>
      </c>
      <c r="AF192">
        <f>Database!BG181</f>
        <v/>
      </c>
      <c r="AG192">
        <f>Database!H181</f>
        <v/>
      </c>
      <c r="AH192">
        <f>Database!BB181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Database!BA182</f>
        <v/>
      </c>
      <c r="AF193">
        <f>Database!BG182</f>
        <v/>
      </c>
      <c r="AG193">
        <f>Database!H182</f>
        <v/>
      </c>
      <c r="AH193">
        <f>Database!BB182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Database!BA183</f>
        <v/>
      </c>
      <c r="AF194">
        <f>Database!BG183</f>
        <v/>
      </c>
      <c r="AG194">
        <f>Database!H183</f>
        <v/>
      </c>
      <c r="AH194">
        <f>Database!BB183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Database!BA184</f>
        <v/>
      </c>
      <c r="AF195">
        <f>Database!BG184</f>
        <v/>
      </c>
      <c r="AG195">
        <f>Database!H184</f>
        <v/>
      </c>
      <c r="AH195">
        <f>Database!BB184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Database!BA185</f>
        <v/>
      </c>
      <c r="AF196">
        <f>Database!BG185</f>
        <v/>
      </c>
      <c r="AG196">
        <f>Database!H185</f>
        <v/>
      </c>
      <c r="AH196">
        <f>Database!BB185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Database!BA186</f>
        <v/>
      </c>
      <c r="AF197">
        <f>Database!BG186</f>
        <v/>
      </c>
      <c r="AG197">
        <f>Database!H186</f>
        <v/>
      </c>
      <c r="AH197">
        <f>Database!BB186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Database!BA187</f>
        <v/>
      </c>
      <c r="AF198">
        <f>Database!BG187</f>
        <v/>
      </c>
      <c r="AG198">
        <f>Database!H187</f>
        <v/>
      </c>
      <c r="AH198">
        <f>Database!BB187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Database!BA188</f>
        <v/>
      </c>
      <c r="AF199">
        <f>Database!BG188</f>
        <v/>
      </c>
      <c r="AG199">
        <f>Database!H188</f>
        <v/>
      </c>
      <c r="AH199">
        <f>Database!BB188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Database!BA189</f>
        <v/>
      </c>
      <c r="AF200">
        <f>Database!BG189</f>
        <v/>
      </c>
      <c r="AG200">
        <f>Database!H189</f>
        <v/>
      </c>
      <c r="AH200">
        <f>Database!BB189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Database!BA190</f>
        <v/>
      </c>
      <c r="AF201">
        <f>Database!BG190</f>
        <v/>
      </c>
      <c r="AG201">
        <f>Database!H190</f>
        <v/>
      </c>
      <c r="AH201">
        <f>Database!BB190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Database!BA191</f>
        <v/>
      </c>
      <c r="AF202">
        <f>Database!BG191</f>
        <v/>
      </c>
      <c r="AG202">
        <f>Database!H191</f>
        <v/>
      </c>
      <c r="AH202">
        <f>Database!BB191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Database!BA192</f>
        <v/>
      </c>
      <c r="AF203">
        <f>Database!BG192</f>
        <v/>
      </c>
      <c r="AG203">
        <f>Database!H192</f>
        <v/>
      </c>
      <c r="AH203">
        <f>Database!BB192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Database!BA193</f>
        <v/>
      </c>
      <c r="AF204">
        <f>Database!BG193</f>
        <v/>
      </c>
      <c r="AG204">
        <f>Database!H193</f>
        <v/>
      </c>
      <c r="AH204">
        <f>Database!BB193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Database!BA194</f>
        <v/>
      </c>
      <c r="AF205">
        <f>Database!BG194</f>
        <v/>
      </c>
      <c r="AG205">
        <f>Database!H194</f>
        <v/>
      </c>
      <c r="AH205">
        <f>Database!BB194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Database!BA195</f>
        <v/>
      </c>
      <c r="AF206">
        <f>Database!BG195</f>
        <v/>
      </c>
      <c r="AG206">
        <f>Database!H195</f>
        <v/>
      </c>
      <c r="AH206">
        <f>Database!BB195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Database!BA196</f>
        <v/>
      </c>
      <c r="AF207">
        <f>Database!BG196</f>
        <v/>
      </c>
      <c r="AG207">
        <f>Database!H196</f>
        <v/>
      </c>
      <c r="AH207">
        <f>Database!BB196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Database!BA197</f>
        <v/>
      </c>
      <c r="AF208">
        <f>Database!BG197</f>
        <v/>
      </c>
      <c r="AG208">
        <f>Database!H197</f>
        <v/>
      </c>
      <c r="AH208">
        <f>Database!BB197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Database!BA198</f>
        <v/>
      </c>
      <c r="AF209">
        <f>Database!BG198</f>
        <v/>
      </c>
      <c r="AG209">
        <f>Database!H198</f>
        <v/>
      </c>
      <c r="AH209">
        <f>Database!BB198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Database!BA199</f>
        <v/>
      </c>
      <c r="AF210">
        <f>Database!BG199</f>
        <v/>
      </c>
      <c r="AG210">
        <f>Database!H199</f>
        <v/>
      </c>
      <c r="AH210">
        <f>Database!BB199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Database!BA200</f>
        <v/>
      </c>
      <c r="AF211">
        <f>Database!BG200</f>
        <v/>
      </c>
      <c r="AG211">
        <f>Database!H200</f>
        <v/>
      </c>
      <c r="AH211">
        <f>Database!BB200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Database!BA201</f>
        <v/>
      </c>
      <c r="AF212">
        <f>Database!BG201</f>
        <v/>
      </c>
      <c r="AG212">
        <f>Database!H201</f>
        <v/>
      </c>
      <c r="AH212">
        <f>Database!BB201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Database!BA202</f>
        <v/>
      </c>
      <c r="AF213">
        <f>Database!BG202</f>
        <v/>
      </c>
      <c r="AG213">
        <f>Database!H202</f>
        <v/>
      </c>
      <c r="AH213">
        <f>Database!BB202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Database!BA203</f>
        <v/>
      </c>
      <c r="AF214">
        <f>Database!BG203</f>
        <v/>
      </c>
      <c r="AG214">
        <f>Database!H203</f>
        <v/>
      </c>
      <c r="AH214">
        <f>Database!BB203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Database!BA204</f>
        <v/>
      </c>
      <c r="AF215">
        <f>Database!BG204</f>
        <v/>
      </c>
      <c r="AG215">
        <f>Database!H204</f>
        <v/>
      </c>
      <c r="AH215">
        <f>Database!BB204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Database!BA205</f>
        <v/>
      </c>
      <c r="AF216">
        <f>Database!BG205</f>
        <v/>
      </c>
      <c r="AG216">
        <f>Database!H205</f>
        <v/>
      </c>
      <c r="AH216">
        <f>Database!BB205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Database!BA206</f>
        <v/>
      </c>
      <c r="AF217">
        <f>Database!BG206</f>
        <v/>
      </c>
      <c r="AG217">
        <f>Database!H206</f>
        <v/>
      </c>
      <c r="AH217">
        <f>Database!BB206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Database!BA207</f>
        <v/>
      </c>
      <c r="AF218">
        <f>Database!BG207</f>
        <v/>
      </c>
      <c r="AG218">
        <f>Database!H207</f>
        <v/>
      </c>
      <c r="AH218">
        <f>Database!BB207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Database!BA208</f>
        <v/>
      </c>
      <c r="AF219">
        <f>Database!BG208</f>
        <v/>
      </c>
      <c r="AG219">
        <f>Database!H208</f>
        <v/>
      </c>
      <c r="AH219">
        <f>Database!BB208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Database!BA209</f>
        <v/>
      </c>
      <c r="AF220">
        <f>Database!BG209</f>
        <v/>
      </c>
      <c r="AG220">
        <f>Database!H209</f>
        <v/>
      </c>
      <c r="AH220">
        <f>Database!BB209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Database!BA210</f>
        <v/>
      </c>
      <c r="AF221">
        <f>Database!BG210</f>
        <v/>
      </c>
      <c r="AG221">
        <f>Database!H210</f>
        <v/>
      </c>
      <c r="AH221">
        <f>Database!BB210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Database!BA211</f>
        <v/>
      </c>
      <c r="AF222">
        <f>Database!BG211</f>
        <v/>
      </c>
      <c r="AG222">
        <f>Database!H211</f>
        <v/>
      </c>
      <c r="AH222">
        <f>Database!BB211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Database!BA212</f>
        <v/>
      </c>
      <c r="AF223">
        <f>Database!BG212</f>
        <v/>
      </c>
      <c r="AG223">
        <f>Database!H212</f>
        <v/>
      </c>
      <c r="AH223">
        <f>Database!BB212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Database!BA213</f>
        <v/>
      </c>
      <c r="AF224">
        <f>Database!BG213</f>
        <v/>
      </c>
      <c r="AG224">
        <f>Database!H213</f>
        <v/>
      </c>
      <c r="AH224">
        <f>Database!BB213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Database!BA214</f>
        <v/>
      </c>
      <c r="AF225">
        <f>Database!BG214</f>
        <v/>
      </c>
      <c r="AG225">
        <f>Database!H214</f>
        <v/>
      </c>
      <c r="AH225">
        <f>Database!BB214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Database!BA215</f>
        <v/>
      </c>
      <c r="AF226">
        <f>Database!BG215</f>
        <v/>
      </c>
      <c r="AG226">
        <f>Database!H215</f>
        <v/>
      </c>
      <c r="AH226">
        <f>Database!BB215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Database!BA216</f>
        <v/>
      </c>
      <c r="AF227">
        <f>Database!BG216</f>
        <v/>
      </c>
      <c r="AG227">
        <f>Database!H216</f>
        <v/>
      </c>
      <c r="AH227">
        <f>Database!BB216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Database!BA217</f>
        <v/>
      </c>
      <c r="AF228">
        <f>Database!BG217</f>
        <v/>
      </c>
      <c r="AG228">
        <f>Database!H217</f>
        <v/>
      </c>
      <c r="AH228">
        <f>Database!BB217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Database!BA218</f>
        <v/>
      </c>
      <c r="AF229">
        <f>Database!BG218</f>
        <v/>
      </c>
      <c r="AG229">
        <f>Database!H218</f>
        <v/>
      </c>
      <c r="AH229">
        <f>Database!BB218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Database!BA219</f>
        <v/>
      </c>
      <c r="AF230">
        <f>Database!BG219</f>
        <v/>
      </c>
      <c r="AG230">
        <f>Database!H219</f>
        <v/>
      </c>
      <c r="AH230">
        <f>Database!BB219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Database!BA220</f>
        <v/>
      </c>
      <c r="AF231">
        <f>Database!BG220</f>
        <v/>
      </c>
      <c r="AG231">
        <f>Database!H220</f>
        <v/>
      </c>
      <c r="AH231">
        <f>Database!BB220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Database!BA221</f>
        <v/>
      </c>
      <c r="AF232">
        <f>Database!BG221</f>
        <v/>
      </c>
      <c r="AG232">
        <f>Database!H221</f>
        <v/>
      </c>
      <c r="AH232">
        <f>Database!BB221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Database!BA222</f>
        <v/>
      </c>
      <c r="AF233">
        <f>Database!BG222</f>
        <v/>
      </c>
      <c r="AG233">
        <f>Database!H222</f>
        <v/>
      </c>
      <c r="AH233">
        <f>Database!BB222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Database!BA223</f>
        <v/>
      </c>
      <c r="AF234">
        <f>Database!BG223</f>
        <v/>
      </c>
      <c r="AG234">
        <f>Database!H223</f>
        <v/>
      </c>
      <c r="AH234">
        <f>Database!BB223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Database!BA224</f>
        <v/>
      </c>
      <c r="AF235">
        <f>Database!BG224</f>
        <v/>
      </c>
      <c r="AG235">
        <f>Database!H224</f>
        <v/>
      </c>
      <c r="AH235">
        <f>Database!BB224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Database!BA225</f>
        <v/>
      </c>
      <c r="AF236">
        <f>Database!BG225</f>
        <v/>
      </c>
      <c r="AG236">
        <f>Database!H225</f>
        <v/>
      </c>
      <c r="AH236">
        <f>Database!BB225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Database!BA226</f>
        <v/>
      </c>
      <c r="AF237">
        <f>Database!BG226</f>
        <v/>
      </c>
      <c r="AG237">
        <f>Database!H226</f>
        <v/>
      </c>
      <c r="AH237">
        <f>Database!BB226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Database!BA227</f>
        <v/>
      </c>
      <c r="AF238">
        <f>Database!BG227</f>
        <v/>
      </c>
      <c r="AG238">
        <f>Database!H227</f>
        <v/>
      </c>
      <c r="AH238">
        <f>Database!BB227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Database!BA228</f>
        <v/>
      </c>
      <c r="AF239">
        <f>Database!BG228</f>
        <v/>
      </c>
      <c r="AG239">
        <f>Database!H228</f>
        <v/>
      </c>
      <c r="AH239">
        <f>Database!BB228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Database!BA229</f>
        <v/>
      </c>
      <c r="AF240">
        <f>Database!BG229</f>
        <v/>
      </c>
      <c r="AG240">
        <f>Database!H229</f>
        <v/>
      </c>
      <c r="AH240">
        <f>Database!BB229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Database!BA230</f>
        <v/>
      </c>
      <c r="AF241">
        <f>Database!BG230</f>
        <v/>
      </c>
      <c r="AG241">
        <f>Database!H230</f>
        <v/>
      </c>
      <c r="AH241">
        <f>Database!BB230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Database!BA231</f>
        <v/>
      </c>
      <c r="AF242">
        <f>Database!BG231</f>
        <v/>
      </c>
      <c r="AG242">
        <f>Database!H231</f>
        <v/>
      </c>
      <c r="AH242">
        <f>Database!BB231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Database!BA232</f>
        <v/>
      </c>
      <c r="AF243">
        <f>Database!BG232</f>
        <v/>
      </c>
      <c r="AG243">
        <f>Database!H232</f>
        <v/>
      </c>
      <c r="AH243">
        <f>Database!BB232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Database!BA233</f>
        <v/>
      </c>
      <c r="AF244">
        <f>Database!BG233</f>
        <v/>
      </c>
      <c r="AG244">
        <f>Database!H233</f>
        <v/>
      </c>
      <c r="AH244">
        <f>Database!BB233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Database!BA234</f>
        <v/>
      </c>
      <c r="AF245">
        <f>Database!BG234</f>
        <v/>
      </c>
      <c r="AG245">
        <f>Database!H234</f>
        <v/>
      </c>
      <c r="AH245">
        <f>Database!BB234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Database!BA235</f>
        <v/>
      </c>
      <c r="AF246">
        <f>Database!BG235</f>
        <v/>
      </c>
      <c r="AG246">
        <f>Database!H235</f>
        <v/>
      </c>
      <c r="AH246">
        <f>Database!BB235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Database!BA236</f>
        <v/>
      </c>
      <c r="AF247">
        <f>Database!BG236</f>
        <v/>
      </c>
      <c r="AG247">
        <f>Database!H236</f>
        <v/>
      </c>
      <c r="AH247">
        <f>Database!BB236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Database!BA237</f>
        <v/>
      </c>
      <c r="AF248">
        <f>Database!BG237</f>
        <v/>
      </c>
      <c r="AG248">
        <f>Database!H237</f>
        <v/>
      </c>
      <c r="AH248">
        <f>Database!BB237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Database!BA238</f>
        <v/>
      </c>
      <c r="AF249">
        <f>Database!BG238</f>
        <v/>
      </c>
      <c r="AG249">
        <f>Database!H238</f>
        <v/>
      </c>
      <c r="AH249">
        <f>Database!BB238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Database!BA239</f>
        <v/>
      </c>
      <c r="AF250">
        <f>Database!BG239</f>
        <v/>
      </c>
      <c r="AG250">
        <f>Database!H239</f>
        <v/>
      </c>
      <c r="AH250">
        <f>Database!BB239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Database!BA240</f>
        <v/>
      </c>
      <c r="AF251">
        <f>Database!BG240</f>
        <v/>
      </c>
      <c r="AG251">
        <f>Database!H240</f>
        <v/>
      </c>
      <c r="AH251">
        <f>Database!BB240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Database!BA241</f>
        <v/>
      </c>
      <c r="AF252">
        <f>Database!BG241</f>
        <v/>
      </c>
      <c r="AG252">
        <f>Database!H241</f>
        <v/>
      </c>
      <c r="AH252">
        <f>Database!BB241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Database!BA242</f>
        <v/>
      </c>
      <c r="AF253">
        <f>Database!BG242</f>
        <v/>
      </c>
      <c r="AG253">
        <f>Database!H242</f>
        <v/>
      </c>
      <c r="AH253">
        <f>Database!BB242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Database!BA243</f>
        <v/>
      </c>
      <c r="AF254">
        <f>Database!BG243</f>
        <v/>
      </c>
      <c r="AG254">
        <f>Database!H243</f>
        <v/>
      </c>
      <c r="AH254">
        <f>Database!BB243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Database!BA244</f>
        <v/>
      </c>
      <c r="AF255">
        <f>Database!BG244</f>
        <v/>
      </c>
      <c r="AG255">
        <f>Database!H244</f>
        <v/>
      </c>
      <c r="AH255">
        <f>Database!BB244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Database!BA245</f>
        <v/>
      </c>
      <c r="AF256">
        <f>Database!BG245</f>
        <v/>
      </c>
      <c r="AG256">
        <f>Database!H245</f>
        <v/>
      </c>
      <c r="AH256">
        <f>Database!BB245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Database!BA246</f>
        <v/>
      </c>
      <c r="AF257">
        <f>Database!BG246</f>
        <v/>
      </c>
      <c r="AG257">
        <f>Database!H246</f>
        <v/>
      </c>
      <c r="AH257">
        <f>Database!BB246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Database!BA247</f>
        <v/>
      </c>
      <c r="AF258">
        <f>Database!BG247</f>
        <v/>
      </c>
      <c r="AG258">
        <f>Database!H247</f>
        <v/>
      </c>
      <c r="AH258">
        <f>Database!BB247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Database!BA248</f>
        <v/>
      </c>
      <c r="AF259">
        <f>Database!BG248</f>
        <v/>
      </c>
      <c r="AG259">
        <f>Database!H248</f>
        <v/>
      </c>
      <c r="AH259">
        <f>Database!BB248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Database!BA249</f>
        <v/>
      </c>
      <c r="AF260">
        <f>Database!BG249</f>
        <v/>
      </c>
      <c r="AG260">
        <f>Database!H249</f>
        <v/>
      </c>
      <c r="AH260">
        <f>Database!BB249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Database!BA250</f>
        <v/>
      </c>
      <c r="AF261">
        <f>Database!BG250</f>
        <v/>
      </c>
      <c r="AG261">
        <f>Database!H250</f>
        <v/>
      </c>
      <c r="AH261">
        <f>Database!BB250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Database!BA251</f>
        <v/>
      </c>
      <c r="AF262">
        <f>Database!BG251</f>
        <v/>
      </c>
      <c r="AG262">
        <f>Database!H251</f>
        <v/>
      </c>
      <c r="AH262">
        <f>Database!BB251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Database!BA252</f>
        <v/>
      </c>
      <c r="AF263">
        <f>Database!BG252</f>
        <v/>
      </c>
      <c r="AG263">
        <f>Database!H252</f>
        <v/>
      </c>
      <c r="AH263">
        <f>Database!BB252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Database!BA253</f>
        <v/>
      </c>
      <c r="AF264">
        <f>Database!BG253</f>
        <v/>
      </c>
      <c r="AG264">
        <f>Database!H253</f>
        <v/>
      </c>
      <c r="AH264">
        <f>Database!BB253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Database!BA254</f>
        <v/>
      </c>
      <c r="AF265">
        <f>Database!BG254</f>
        <v/>
      </c>
      <c r="AG265">
        <f>Database!H254</f>
        <v/>
      </c>
      <c r="AH265">
        <f>Database!BB254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Database!BA255</f>
        <v/>
      </c>
      <c r="AF266">
        <f>Database!BG255</f>
        <v/>
      </c>
      <c r="AG266">
        <f>Database!H255</f>
        <v/>
      </c>
      <c r="AH266">
        <f>Database!BB255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Database!BA256</f>
        <v/>
      </c>
      <c r="AF267">
        <f>Database!BG256</f>
        <v/>
      </c>
      <c r="AG267">
        <f>Database!H256</f>
        <v/>
      </c>
      <c r="AH267">
        <f>Database!BB256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Database!BA257</f>
        <v/>
      </c>
      <c r="AF268">
        <f>Database!BG257</f>
        <v/>
      </c>
      <c r="AG268">
        <f>Database!H257</f>
        <v/>
      </c>
      <c r="AH268">
        <f>Database!BB257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Database!BA258</f>
        <v/>
      </c>
      <c r="AF269">
        <f>Database!BG258</f>
        <v/>
      </c>
      <c r="AG269">
        <f>Database!H258</f>
        <v/>
      </c>
      <c r="AH269">
        <f>Database!BB258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Database!BA259</f>
        <v/>
      </c>
      <c r="AF270">
        <f>Database!BG259</f>
        <v/>
      </c>
      <c r="AG270">
        <f>Database!H259</f>
        <v/>
      </c>
      <c r="AH270">
        <f>Database!BB259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Database!BA260</f>
        <v/>
      </c>
      <c r="AF271">
        <f>Database!BG260</f>
        <v/>
      </c>
      <c r="AG271">
        <f>Database!H260</f>
        <v/>
      </c>
      <c r="AH271">
        <f>Database!BB260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Database!BA261</f>
        <v/>
      </c>
      <c r="AF272">
        <f>Database!BG261</f>
        <v/>
      </c>
      <c r="AG272">
        <f>Database!H261</f>
        <v/>
      </c>
      <c r="AH272">
        <f>Database!BB261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Database!BA262</f>
        <v/>
      </c>
      <c r="AF273">
        <f>Database!BG262</f>
        <v/>
      </c>
      <c r="AG273">
        <f>Database!H262</f>
        <v/>
      </c>
      <c r="AH273">
        <f>Database!BB262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Database!BA263</f>
        <v/>
      </c>
      <c r="AF274">
        <f>Database!BG263</f>
        <v/>
      </c>
      <c r="AG274">
        <f>Database!H263</f>
        <v/>
      </c>
      <c r="AH274">
        <f>Database!BB263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Database!BA264</f>
        <v/>
      </c>
      <c r="AF275">
        <f>Database!BG264</f>
        <v/>
      </c>
      <c r="AG275">
        <f>Database!H264</f>
        <v/>
      </c>
      <c r="AH275">
        <f>Database!BB264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Database!BA265</f>
        <v/>
      </c>
      <c r="AF276">
        <f>Database!BG265</f>
        <v/>
      </c>
      <c r="AG276">
        <f>Database!H265</f>
        <v/>
      </c>
      <c r="AH276">
        <f>Database!BB265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Database!BA266</f>
        <v/>
      </c>
      <c r="AF277">
        <f>Database!BG266</f>
        <v/>
      </c>
      <c r="AG277">
        <f>Database!H266</f>
        <v/>
      </c>
      <c r="AH277">
        <f>Database!BB266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Database!BA267</f>
        <v/>
      </c>
      <c r="AF278">
        <f>Database!BG267</f>
        <v/>
      </c>
      <c r="AG278">
        <f>Database!H267</f>
        <v/>
      </c>
      <c r="AH278">
        <f>Database!BB267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Database!BA268</f>
        <v/>
      </c>
      <c r="AF279">
        <f>Database!BG268</f>
        <v/>
      </c>
      <c r="AG279">
        <f>Database!H268</f>
        <v/>
      </c>
      <c r="AH279">
        <f>Database!BB268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Database!BA269</f>
        <v/>
      </c>
      <c r="AF280">
        <f>Database!BG269</f>
        <v/>
      </c>
      <c r="AG280">
        <f>Database!H269</f>
        <v/>
      </c>
      <c r="AH280">
        <f>Database!BB269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Database!BA270</f>
        <v/>
      </c>
      <c r="AF281">
        <f>Database!BG270</f>
        <v/>
      </c>
      <c r="AG281">
        <f>Database!H270</f>
        <v/>
      </c>
      <c r="AH281">
        <f>Database!BB270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Database!BA271</f>
        <v/>
      </c>
      <c r="AF282">
        <f>Database!BG271</f>
        <v/>
      </c>
      <c r="AG282">
        <f>Database!H271</f>
        <v/>
      </c>
      <c r="AH282">
        <f>Database!BB271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Database!BA272</f>
        <v/>
      </c>
      <c r="AF283">
        <f>Database!BG272</f>
        <v/>
      </c>
      <c r="AG283">
        <f>Database!H272</f>
        <v/>
      </c>
      <c r="AH283">
        <f>Database!BB272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Database!BA273</f>
        <v/>
      </c>
      <c r="AF284">
        <f>Database!BG273</f>
        <v/>
      </c>
      <c r="AG284">
        <f>Database!H273</f>
        <v/>
      </c>
      <c r="AH284">
        <f>Database!BB273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Database!BA274</f>
        <v/>
      </c>
      <c r="AF285">
        <f>Database!BG274</f>
        <v/>
      </c>
      <c r="AG285">
        <f>Database!H274</f>
        <v/>
      </c>
      <c r="AH285">
        <f>Database!BB274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Database!BA275</f>
        <v/>
      </c>
      <c r="AF286">
        <f>Database!BG275</f>
        <v/>
      </c>
      <c r="AG286">
        <f>Database!H275</f>
        <v/>
      </c>
      <c r="AH286">
        <f>Database!BB275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Database!BA276</f>
        <v/>
      </c>
      <c r="AF287">
        <f>Database!BG276</f>
        <v/>
      </c>
      <c r="AG287">
        <f>Database!H276</f>
        <v/>
      </c>
      <c r="AH287">
        <f>Database!BB276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Database!BA277</f>
        <v/>
      </c>
      <c r="AF288">
        <f>Database!BG277</f>
        <v/>
      </c>
      <c r="AG288">
        <f>Database!H277</f>
        <v/>
      </c>
      <c r="AH288">
        <f>Database!BB277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Database!BA278</f>
        <v/>
      </c>
      <c r="AF289">
        <f>Database!BG278</f>
        <v/>
      </c>
      <c r="AG289">
        <f>Database!H278</f>
        <v/>
      </c>
      <c r="AH289">
        <f>Database!BB278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Database!BA279</f>
        <v/>
      </c>
      <c r="AF290">
        <f>Database!BG279</f>
        <v/>
      </c>
      <c r="AG290">
        <f>Database!H279</f>
        <v/>
      </c>
      <c r="AH290">
        <f>Database!BB279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Database!BA280</f>
        <v/>
      </c>
      <c r="AF291">
        <f>Database!BG280</f>
        <v/>
      </c>
      <c r="AG291">
        <f>Database!H280</f>
        <v/>
      </c>
      <c r="AH291">
        <f>Database!BB280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Database!BA281</f>
        <v/>
      </c>
      <c r="AF292">
        <f>Database!BG281</f>
        <v/>
      </c>
      <c r="AG292">
        <f>Database!H281</f>
        <v/>
      </c>
      <c r="AH292">
        <f>Database!BB281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Database!BA282</f>
        <v/>
      </c>
      <c r="AF293">
        <f>Database!BG282</f>
        <v/>
      </c>
      <c r="AG293">
        <f>Database!H282</f>
        <v/>
      </c>
      <c r="AH293">
        <f>Database!BB282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Database!BA283</f>
        <v/>
      </c>
      <c r="AF294">
        <f>Database!BG283</f>
        <v/>
      </c>
      <c r="AG294">
        <f>Database!H283</f>
        <v/>
      </c>
      <c r="AH294">
        <f>Database!BB283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Database!BA284</f>
        <v/>
      </c>
      <c r="AF295">
        <f>Database!BG284</f>
        <v/>
      </c>
      <c r="AG295">
        <f>Database!H284</f>
        <v/>
      </c>
      <c r="AH295">
        <f>Database!BB284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Database!BA285</f>
        <v/>
      </c>
      <c r="AF296">
        <f>Database!BG285</f>
        <v/>
      </c>
      <c r="AG296">
        <f>Database!H285</f>
        <v/>
      </c>
      <c r="AH296">
        <f>Database!BB285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Database!BA286</f>
        <v/>
      </c>
      <c r="AF297">
        <f>Database!BG286</f>
        <v/>
      </c>
      <c r="AG297">
        <f>Database!H286</f>
        <v/>
      </c>
      <c r="AH297">
        <f>Database!BB286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Database!BA287</f>
        <v/>
      </c>
      <c r="AF298">
        <f>Database!BG287</f>
        <v/>
      </c>
      <c r="AG298">
        <f>Database!H287</f>
        <v/>
      </c>
      <c r="AH298">
        <f>Database!BB287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Database!BA288</f>
        <v/>
      </c>
      <c r="AF299">
        <f>Database!BG288</f>
        <v/>
      </c>
      <c r="AG299">
        <f>Database!H288</f>
        <v/>
      </c>
      <c r="AH299">
        <f>Database!BB288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Database!BA289</f>
        <v/>
      </c>
      <c r="AF300">
        <f>Database!BG289</f>
        <v/>
      </c>
      <c r="AG300">
        <f>Database!H289</f>
        <v/>
      </c>
      <c r="AH300">
        <f>Database!BB289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Database!BA290</f>
        <v/>
      </c>
      <c r="AF301">
        <f>Database!BG290</f>
        <v/>
      </c>
      <c r="AG301">
        <f>Database!H290</f>
        <v/>
      </c>
      <c r="AH301">
        <f>Database!BB290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Database!BA291</f>
        <v/>
      </c>
      <c r="AF302">
        <f>Database!BG291</f>
        <v/>
      </c>
      <c r="AG302">
        <f>Database!H291</f>
        <v/>
      </c>
      <c r="AH302">
        <f>Database!BB291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Database!BA292</f>
        <v/>
      </c>
      <c r="AF303">
        <f>Database!BG292</f>
        <v/>
      </c>
      <c r="AG303">
        <f>Database!H292</f>
        <v/>
      </c>
      <c r="AH303">
        <f>Database!BB292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Database!BA293</f>
        <v/>
      </c>
      <c r="AF304">
        <f>Database!BG293</f>
        <v/>
      </c>
      <c r="AG304">
        <f>Database!H293</f>
        <v/>
      </c>
      <c r="AH304">
        <f>Database!BB293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Database!BA294</f>
        <v/>
      </c>
      <c r="AF305">
        <f>Database!BG294</f>
        <v/>
      </c>
      <c r="AG305">
        <f>Database!H294</f>
        <v/>
      </c>
      <c r="AH305">
        <f>Database!BB294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Database!BA295</f>
        <v/>
      </c>
      <c r="AF306">
        <f>Database!BG295</f>
        <v/>
      </c>
      <c r="AG306">
        <f>Database!H295</f>
        <v/>
      </c>
      <c r="AH306">
        <f>Database!BB295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Database!BA296</f>
        <v/>
      </c>
      <c r="AF307">
        <f>Database!BG296</f>
        <v/>
      </c>
      <c r="AG307">
        <f>Database!H296</f>
        <v/>
      </c>
      <c r="AH307">
        <f>Database!BB296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Database!BA297</f>
        <v/>
      </c>
      <c r="AF308">
        <f>Database!BG297</f>
        <v/>
      </c>
      <c r="AG308">
        <f>Database!H297</f>
        <v/>
      </c>
      <c r="AH308">
        <f>Database!BB297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Database!BA298</f>
        <v/>
      </c>
      <c r="AF309">
        <f>Database!BG298</f>
        <v/>
      </c>
      <c r="AG309">
        <f>Database!H298</f>
        <v/>
      </c>
      <c r="AH309">
        <f>Database!BB298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Database!BA299</f>
        <v/>
      </c>
      <c r="AF310">
        <f>Database!BG299</f>
        <v/>
      </c>
      <c r="AG310">
        <f>Database!H299</f>
        <v/>
      </c>
      <c r="AH310">
        <f>Database!BB299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Database!BA300</f>
        <v/>
      </c>
      <c r="AF311">
        <f>Database!BG300</f>
        <v/>
      </c>
      <c r="AG311">
        <f>Database!H300</f>
        <v/>
      </c>
      <c r="AH311">
        <f>Database!BB300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Database!BA301</f>
        <v/>
      </c>
      <c r="AF312">
        <f>Database!BG301</f>
        <v/>
      </c>
      <c r="AG312">
        <f>Database!H301</f>
        <v/>
      </c>
      <c r="AH312">
        <f>Database!BB301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Database!BA302</f>
        <v/>
      </c>
      <c r="AF313">
        <f>Database!BG302</f>
        <v/>
      </c>
      <c r="AG313">
        <f>Database!H302</f>
        <v/>
      </c>
      <c r="AH313">
        <f>Database!BB302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Database!BA303</f>
        <v/>
      </c>
      <c r="AF314">
        <f>Database!BG303</f>
        <v/>
      </c>
      <c r="AG314">
        <f>Database!H303</f>
        <v/>
      </c>
      <c r="AH314">
        <f>Database!BB303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Database!BA304</f>
        <v/>
      </c>
      <c r="AF315">
        <f>Database!BG304</f>
        <v/>
      </c>
      <c r="AG315">
        <f>Database!H304</f>
        <v/>
      </c>
      <c r="AH315">
        <f>Database!BB304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Database!BA305</f>
        <v/>
      </c>
      <c r="AF316">
        <f>Database!BG305</f>
        <v/>
      </c>
      <c r="AG316">
        <f>Database!H305</f>
        <v/>
      </c>
      <c r="AH316">
        <f>Database!BB305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Database!BA306</f>
        <v/>
      </c>
      <c r="AF317">
        <f>Database!BG306</f>
        <v/>
      </c>
      <c r="AG317">
        <f>Database!H306</f>
        <v/>
      </c>
      <c r="AH317">
        <f>Database!BB306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Database!BA307</f>
        <v/>
      </c>
      <c r="AF318">
        <f>Database!BG307</f>
        <v/>
      </c>
      <c r="AG318">
        <f>Database!H307</f>
        <v/>
      </c>
      <c r="AH318">
        <f>Database!BB307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Database!BA308</f>
        <v/>
      </c>
      <c r="AF319">
        <f>Database!BG308</f>
        <v/>
      </c>
      <c r="AG319">
        <f>Database!H308</f>
        <v/>
      </c>
      <c r="AH319">
        <f>Database!BB308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Database!BA309</f>
        <v/>
      </c>
      <c r="AF320">
        <f>Database!BG309</f>
        <v/>
      </c>
      <c r="AG320">
        <f>Database!H309</f>
        <v/>
      </c>
      <c r="AH320">
        <f>Database!BB309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Database!BA310</f>
        <v/>
      </c>
      <c r="AF321">
        <f>Database!BG310</f>
        <v/>
      </c>
      <c r="AG321">
        <f>Database!H310</f>
        <v/>
      </c>
      <c r="AH321">
        <f>Database!BB310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Database!BA311</f>
        <v/>
      </c>
      <c r="AF322">
        <f>Database!BG311</f>
        <v/>
      </c>
      <c r="AG322">
        <f>Database!H311</f>
        <v/>
      </c>
      <c r="AH322">
        <f>Database!BB311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Database!BA312</f>
        <v/>
      </c>
      <c r="AF323">
        <f>Database!BG312</f>
        <v/>
      </c>
      <c r="AG323">
        <f>Database!H312</f>
        <v/>
      </c>
      <c r="AH323">
        <f>Database!BB312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Database!BA313</f>
        <v/>
      </c>
      <c r="AF324">
        <f>Database!BG313</f>
        <v/>
      </c>
      <c r="AG324">
        <f>Database!H313</f>
        <v/>
      </c>
      <c r="AH324">
        <f>Database!BB313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Database!BA314</f>
        <v/>
      </c>
      <c r="AF325">
        <f>Database!BG314</f>
        <v/>
      </c>
      <c r="AG325">
        <f>Database!H314</f>
        <v/>
      </c>
      <c r="AH325">
        <f>Database!BB314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Database!BA315</f>
        <v/>
      </c>
      <c r="AF326">
        <f>Database!BG315</f>
        <v/>
      </c>
      <c r="AG326">
        <f>Database!H315</f>
        <v/>
      </c>
      <c r="AH326">
        <f>Database!BB315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Database!BA316</f>
        <v/>
      </c>
      <c r="AF327">
        <f>Database!BG316</f>
        <v/>
      </c>
      <c r="AG327">
        <f>Database!H316</f>
        <v/>
      </c>
      <c r="AH327">
        <f>Database!BB316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Database!BA317</f>
        <v/>
      </c>
      <c r="AF328">
        <f>Database!BG317</f>
        <v/>
      </c>
      <c r="AG328">
        <f>Database!H317</f>
        <v/>
      </c>
      <c r="AH328">
        <f>Database!BB317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Database!BA318</f>
        <v/>
      </c>
      <c r="AF329">
        <f>Database!BG318</f>
        <v/>
      </c>
      <c r="AG329">
        <f>Database!H318</f>
        <v/>
      </c>
      <c r="AH329">
        <f>Database!BB318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Database!BA319</f>
        <v/>
      </c>
      <c r="AF330">
        <f>Database!BG319</f>
        <v/>
      </c>
      <c r="AG330">
        <f>Database!H319</f>
        <v/>
      </c>
      <c r="AH330">
        <f>Database!BB319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Database!BA320</f>
        <v/>
      </c>
      <c r="AF331">
        <f>Database!BG320</f>
        <v/>
      </c>
      <c r="AG331">
        <f>Database!H320</f>
        <v/>
      </c>
      <c r="AH331">
        <f>Database!BB320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Database!BA321</f>
        <v/>
      </c>
      <c r="AF332">
        <f>Database!BG321</f>
        <v/>
      </c>
      <c r="AG332">
        <f>Database!H321</f>
        <v/>
      </c>
      <c r="AH332">
        <f>Database!BB321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Database!BA322</f>
        <v/>
      </c>
      <c r="AF333">
        <f>Database!BG322</f>
        <v/>
      </c>
      <c r="AG333">
        <f>Database!H322</f>
        <v/>
      </c>
      <c r="AH333">
        <f>Database!BB322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Database!BA323</f>
        <v/>
      </c>
      <c r="AF334">
        <f>Database!BG323</f>
        <v/>
      </c>
      <c r="AG334">
        <f>Database!H323</f>
        <v/>
      </c>
      <c r="AH334">
        <f>Database!BB323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Database!BA324</f>
        <v/>
      </c>
      <c r="AF335">
        <f>Database!BG324</f>
        <v/>
      </c>
      <c r="AG335">
        <f>Database!H324</f>
        <v/>
      </c>
      <c r="AH335">
        <f>Database!BB324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Database!BA325</f>
        <v/>
      </c>
      <c r="AF336">
        <f>Database!BG325</f>
        <v/>
      </c>
      <c r="AG336">
        <f>Database!H325</f>
        <v/>
      </c>
      <c r="AH336">
        <f>Database!BB325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Database!BA326</f>
        <v/>
      </c>
      <c r="AF337">
        <f>Database!BG326</f>
        <v/>
      </c>
      <c r="AG337">
        <f>Database!H326</f>
        <v/>
      </c>
      <c r="AH337">
        <f>Database!BB326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Database!BA327</f>
        <v/>
      </c>
      <c r="AF338">
        <f>Database!BG327</f>
        <v/>
      </c>
      <c r="AG338">
        <f>Database!H327</f>
        <v/>
      </c>
      <c r="AH338">
        <f>Database!BB327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Database!BA328</f>
        <v/>
      </c>
      <c r="AF339">
        <f>Database!BG328</f>
        <v/>
      </c>
      <c r="AG339">
        <f>Database!H328</f>
        <v/>
      </c>
      <c r="AH339">
        <f>Database!BB328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Database!BA329</f>
        <v/>
      </c>
      <c r="AF340">
        <f>Database!BG329</f>
        <v/>
      </c>
      <c r="AG340">
        <f>Database!H329</f>
        <v/>
      </c>
      <c r="AH340">
        <f>Database!BB329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Database!BA330</f>
        <v/>
      </c>
      <c r="AF341">
        <f>Database!BG330</f>
        <v/>
      </c>
      <c r="AG341">
        <f>Database!H330</f>
        <v/>
      </c>
      <c r="AH341">
        <f>Database!BB330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Database!BA331</f>
        <v/>
      </c>
      <c r="AF342">
        <f>Database!BG331</f>
        <v/>
      </c>
      <c r="AG342">
        <f>Database!H331</f>
        <v/>
      </c>
      <c r="AH342">
        <f>Database!BB331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Database!BA332</f>
        <v/>
      </c>
      <c r="AF343">
        <f>Database!BG332</f>
        <v/>
      </c>
      <c r="AG343">
        <f>Database!H332</f>
        <v/>
      </c>
      <c r="AH343">
        <f>Database!BB332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Database!BA333</f>
        <v/>
      </c>
      <c r="AF344">
        <f>Database!BG333</f>
        <v/>
      </c>
      <c r="AG344">
        <f>Database!H333</f>
        <v/>
      </c>
      <c r="AH344">
        <f>Database!BB333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Database!BA334</f>
        <v/>
      </c>
      <c r="AF345">
        <f>Database!BG334</f>
        <v/>
      </c>
      <c r="AG345">
        <f>Database!H334</f>
        <v/>
      </c>
      <c r="AH345">
        <f>Database!BB334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Database!BA335</f>
        <v/>
      </c>
      <c r="AF346">
        <f>Database!BG335</f>
        <v/>
      </c>
      <c r="AG346">
        <f>Database!H335</f>
        <v/>
      </c>
      <c r="AH346">
        <f>Database!BB335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Database!BA336</f>
        <v/>
      </c>
      <c r="AF347">
        <f>Database!BG336</f>
        <v/>
      </c>
      <c r="AG347">
        <f>Database!H336</f>
        <v/>
      </c>
      <c r="AH347">
        <f>Database!BB336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Database!BA337</f>
        <v/>
      </c>
      <c r="AF348">
        <f>Database!BG337</f>
        <v/>
      </c>
      <c r="AG348">
        <f>Database!H337</f>
        <v/>
      </c>
      <c r="AH348">
        <f>Database!BB337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Database!BA338</f>
        <v/>
      </c>
      <c r="AF349">
        <f>Database!BG338</f>
        <v/>
      </c>
      <c r="AG349">
        <f>Database!H338</f>
        <v/>
      </c>
      <c r="AH349">
        <f>Database!BB338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Database!BA339</f>
        <v/>
      </c>
      <c r="AF350">
        <f>Database!BG339</f>
        <v/>
      </c>
      <c r="AG350">
        <f>Database!H339</f>
        <v/>
      </c>
      <c r="AH350">
        <f>Database!BB339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Database!BA340</f>
        <v/>
      </c>
      <c r="AF351">
        <f>Database!BG340</f>
        <v/>
      </c>
      <c r="AG351">
        <f>Database!H340</f>
        <v/>
      </c>
      <c r="AH351">
        <f>Database!BB340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Database!BA341</f>
        <v/>
      </c>
      <c r="AF352">
        <f>Database!BG341</f>
        <v/>
      </c>
      <c r="AG352">
        <f>Database!H341</f>
        <v/>
      </c>
      <c r="AH352">
        <f>Database!BB341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Database!BA342</f>
        <v/>
      </c>
      <c r="AF353">
        <f>Database!BG342</f>
        <v/>
      </c>
      <c r="AG353">
        <f>Database!H342</f>
        <v/>
      </c>
      <c r="AH353">
        <f>Database!BB342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Database!BA343</f>
        <v/>
      </c>
      <c r="AF354">
        <f>Database!BG343</f>
        <v/>
      </c>
      <c r="AG354">
        <f>Database!H343</f>
        <v/>
      </c>
      <c r="AH354">
        <f>Database!BB343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Database!BA344</f>
        <v/>
      </c>
      <c r="AF355">
        <f>Database!BG344</f>
        <v/>
      </c>
      <c r="AG355">
        <f>Database!H344</f>
        <v/>
      </c>
      <c r="AH355">
        <f>Database!BB344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Database!BA345</f>
        <v/>
      </c>
      <c r="AF356">
        <f>Database!BG345</f>
        <v/>
      </c>
      <c r="AG356">
        <f>Database!H345</f>
        <v/>
      </c>
      <c r="AH356">
        <f>Database!BB345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Database!BA346</f>
        <v/>
      </c>
      <c r="AF357">
        <f>Database!BG346</f>
        <v/>
      </c>
      <c r="AG357">
        <f>Database!H346</f>
        <v/>
      </c>
      <c r="AH357">
        <f>Database!BB346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Database!BA347</f>
        <v/>
      </c>
      <c r="AF358">
        <f>Database!BG347</f>
        <v/>
      </c>
      <c r="AG358">
        <f>Database!H347</f>
        <v/>
      </c>
      <c r="AH358">
        <f>Database!BB347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Database!BA348</f>
        <v/>
      </c>
      <c r="AF359">
        <f>Database!BG348</f>
        <v/>
      </c>
      <c r="AG359">
        <f>Database!H348</f>
        <v/>
      </c>
      <c r="AH359">
        <f>Database!BB348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Database!BA349</f>
        <v/>
      </c>
      <c r="AF360">
        <f>Database!BG349</f>
        <v/>
      </c>
      <c r="AG360">
        <f>Database!H349</f>
        <v/>
      </c>
      <c r="AH360">
        <f>Database!BB349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Database!BA350</f>
        <v/>
      </c>
      <c r="AF361">
        <f>Database!BG350</f>
        <v/>
      </c>
      <c r="AG361">
        <f>Database!H350</f>
        <v/>
      </c>
      <c r="AH361">
        <f>Database!BB350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Database!BA351</f>
        <v/>
      </c>
      <c r="AF362">
        <f>Database!BG351</f>
        <v/>
      </c>
      <c r="AG362">
        <f>Database!H351</f>
        <v/>
      </c>
      <c r="AH362">
        <f>Database!BB351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Database!BA352</f>
        <v/>
      </c>
      <c r="AF363">
        <f>Database!BG352</f>
        <v/>
      </c>
      <c r="AG363">
        <f>Database!H352</f>
        <v/>
      </c>
      <c r="AH363">
        <f>Database!BB352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Database!BA353</f>
        <v/>
      </c>
      <c r="AF364">
        <f>Database!BG353</f>
        <v/>
      </c>
      <c r="AG364">
        <f>Database!H353</f>
        <v/>
      </c>
      <c r="AH364">
        <f>Database!BB353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Database!BA354</f>
        <v/>
      </c>
      <c r="AF365">
        <f>Database!BG354</f>
        <v/>
      </c>
      <c r="AG365">
        <f>Database!H354</f>
        <v/>
      </c>
      <c r="AH365">
        <f>Database!BB354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Database!BA355</f>
        <v/>
      </c>
      <c r="AF366">
        <f>Database!BG355</f>
        <v/>
      </c>
      <c r="AG366">
        <f>Database!H355</f>
        <v/>
      </c>
      <c r="AH366">
        <f>Database!BB355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Database!BA356</f>
        <v/>
      </c>
      <c r="AF367">
        <f>Database!BG356</f>
        <v/>
      </c>
      <c r="AG367">
        <f>Database!H356</f>
        <v/>
      </c>
      <c r="AH367">
        <f>Database!BB356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Database!BA357</f>
        <v/>
      </c>
      <c r="AF368">
        <f>Database!BG357</f>
        <v/>
      </c>
      <c r="AG368">
        <f>Database!H357</f>
        <v/>
      </c>
      <c r="AH368">
        <f>Database!BB357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Database!BA358</f>
        <v/>
      </c>
      <c r="AF369">
        <f>Database!BG358</f>
        <v/>
      </c>
      <c r="AG369">
        <f>Database!H358</f>
        <v/>
      </c>
      <c r="AH369">
        <f>Database!BB358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Database!BA359</f>
        <v/>
      </c>
      <c r="AF370">
        <f>Database!BG359</f>
        <v/>
      </c>
      <c r="AG370">
        <f>Database!H359</f>
        <v/>
      </c>
      <c r="AH370">
        <f>Database!BB359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Database!BA360</f>
        <v/>
      </c>
      <c r="AF371">
        <f>Database!BG360</f>
        <v/>
      </c>
      <c r="AG371">
        <f>Database!H360</f>
        <v/>
      </c>
      <c r="AH371">
        <f>Database!BB360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Database!BA361</f>
        <v/>
      </c>
      <c r="AF372">
        <f>Database!BG361</f>
        <v/>
      </c>
      <c r="AG372">
        <f>Database!H361</f>
        <v/>
      </c>
      <c r="AH372">
        <f>Database!BB361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Database!BA362</f>
        <v/>
      </c>
      <c r="AF373">
        <f>Database!BG362</f>
        <v/>
      </c>
      <c r="AG373">
        <f>Database!H362</f>
        <v/>
      </c>
      <c r="AH373">
        <f>Database!BB362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Database!BA363</f>
        <v/>
      </c>
      <c r="AF374">
        <f>Database!BG363</f>
        <v/>
      </c>
      <c r="AG374">
        <f>Database!H363</f>
        <v/>
      </c>
      <c r="AH374">
        <f>Database!BB363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Database!BA364</f>
        <v/>
      </c>
      <c r="AF375">
        <f>Database!BG364</f>
        <v/>
      </c>
      <c r="AG375">
        <f>Database!H364</f>
        <v/>
      </c>
      <c r="AH375">
        <f>Database!BB364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Database!BA365</f>
        <v/>
      </c>
      <c r="AF376">
        <f>Database!BG365</f>
        <v/>
      </c>
      <c r="AG376">
        <f>Database!H365</f>
        <v/>
      </c>
      <c r="AH376">
        <f>Database!BB365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Database!BA366</f>
        <v/>
      </c>
      <c r="AF377">
        <f>Database!BG366</f>
        <v/>
      </c>
      <c r="AG377">
        <f>Database!H366</f>
        <v/>
      </c>
      <c r="AH377">
        <f>Database!BB366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Database!BA367</f>
        <v/>
      </c>
      <c r="AF378">
        <f>Database!BG367</f>
        <v/>
      </c>
      <c r="AG378">
        <f>Database!H367</f>
        <v/>
      </c>
      <c r="AH378">
        <f>Database!BB367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Database!BA368</f>
        <v/>
      </c>
      <c r="AF379">
        <f>Database!BG368</f>
        <v/>
      </c>
      <c r="AG379">
        <f>Database!H368</f>
        <v/>
      </c>
      <c r="AH379">
        <f>Database!BB368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Database!BA369</f>
        <v/>
      </c>
      <c r="AF380">
        <f>Database!BG369</f>
        <v/>
      </c>
      <c r="AG380">
        <f>Database!H369</f>
        <v/>
      </c>
      <c r="AH380">
        <f>Database!BB369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Database!BA370</f>
        <v/>
      </c>
      <c r="AF381">
        <f>Database!BG370</f>
        <v/>
      </c>
      <c r="AG381">
        <f>Database!H370</f>
        <v/>
      </c>
      <c r="AH381">
        <f>Database!BB370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Database!BA371</f>
        <v/>
      </c>
      <c r="AF382">
        <f>Database!BG371</f>
        <v/>
      </c>
      <c r="AG382">
        <f>Database!H371</f>
        <v/>
      </c>
      <c r="AH382">
        <f>Database!BB371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Database!BA372</f>
        <v/>
      </c>
      <c r="AF383">
        <f>Database!BG372</f>
        <v/>
      </c>
      <c r="AG383">
        <f>Database!H372</f>
        <v/>
      </c>
      <c r="AH383">
        <f>Database!BB372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Database!BA373</f>
        <v/>
      </c>
      <c r="AF384">
        <f>Database!BG373</f>
        <v/>
      </c>
      <c r="AG384">
        <f>Database!H373</f>
        <v/>
      </c>
      <c r="AH384">
        <f>Database!BB373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Database!BA374</f>
        <v/>
      </c>
      <c r="AF385">
        <f>Database!BG374</f>
        <v/>
      </c>
      <c r="AG385">
        <f>Database!H374</f>
        <v/>
      </c>
      <c r="AH385">
        <f>Database!BB374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Database!BA375</f>
        <v/>
      </c>
      <c r="AF386">
        <f>Database!BG375</f>
        <v/>
      </c>
      <c r="AG386">
        <f>Database!H375</f>
        <v/>
      </c>
      <c r="AH386">
        <f>Database!BB375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Database!BA376</f>
        <v/>
      </c>
      <c r="AF387">
        <f>Database!BG376</f>
        <v/>
      </c>
      <c r="AG387">
        <f>Database!H376</f>
        <v/>
      </c>
      <c r="AH387">
        <f>Database!BB376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Database!BA377</f>
        <v/>
      </c>
      <c r="AF388">
        <f>Database!BG377</f>
        <v/>
      </c>
      <c r="AG388">
        <f>Database!H377</f>
        <v/>
      </c>
      <c r="AH388">
        <f>Database!BB377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Database!BA378</f>
        <v/>
      </c>
      <c r="AF389">
        <f>Database!BG378</f>
        <v/>
      </c>
      <c r="AG389">
        <f>Database!H378</f>
        <v/>
      </c>
      <c r="AH389">
        <f>Database!BB378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Database!BA379</f>
        <v/>
      </c>
      <c r="AF390">
        <f>Database!BG379</f>
        <v/>
      </c>
      <c r="AG390">
        <f>Database!H379</f>
        <v/>
      </c>
      <c r="AH390">
        <f>Database!BB379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Database!BA380</f>
        <v/>
      </c>
      <c r="AF391">
        <f>Database!BG380</f>
        <v/>
      </c>
      <c r="AG391">
        <f>Database!H380</f>
        <v/>
      </c>
      <c r="AH391">
        <f>Database!BB380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Database!BA381</f>
        <v/>
      </c>
      <c r="AF392">
        <f>Database!BG381</f>
        <v/>
      </c>
      <c r="AG392">
        <f>Database!H381</f>
        <v/>
      </c>
      <c r="AH392">
        <f>Database!BB381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Database!BA382</f>
        <v/>
      </c>
      <c r="AF393">
        <f>Database!BG382</f>
        <v/>
      </c>
      <c r="AG393">
        <f>Database!H382</f>
        <v/>
      </c>
      <c r="AH393">
        <f>Database!BB382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Database!BA383</f>
        <v/>
      </c>
      <c r="AF394">
        <f>Database!BG383</f>
        <v/>
      </c>
      <c r="AG394">
        <f>Database!H383</f>
        <v/>
      </c>
      <c r="AH394">
        <f>Database!BB383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Database!BA384</f>
        <v/>
      </c>
      <c r="AF395">
        <f>Database!BG384</f>
        <v/>
      </c>
      <c r="AG395">
        <f>Database!H384</f>
        <v/>
      </c>
      <c r="AH395">
        <f>Database!BB384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Database!BA385</f>
        <v/>
      </c>
      <c r="AF396">
        <f>Database!BG385</f>
        <v/>
      </c>
      <c r="AG396">
        <f>Database!H385</f>
        <v/>
      </c>
      <c r="AH396">
        <f>Database!BB385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Database!BA386</f>
        <v/>
      </c>
      <c r="AF397">
        <f>Database!BG386</f>
        <v/>
      </c>
      <c r="AG397">
        <f>Database!H386</f>
        <v/>
      </c>
      <c r="AH397">
        <f>Database!BB386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Database!BA387</f>
        <v/>
      </c>
      <c r="AF398">
        <f>Database!BG387</f>
        <v/>
      </c>
      <c r="AG398">
        <f>Database!H387</f>
        <v/>
      </c>
      <c r="AH398">
        <f>Database!BB387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Database!BA388</f>
        <v/>
      </c>
      <c r="AF399">
        <f>Database!BG388</f>
        <v/>
      </c>
      <c r="AG399">
        <f>Database!H388</f>
        <v/>
      </c>
      <c r="AH399">
        <f>Database!BB388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Database!BA389</f>
        <v/>
      </c>
      <c r="AF400">
        <f>Database!BG389</f>
        <v/>
      </c>
      <c r="AG400">
        <f>Database!H389</f>
        <v/>
      </c>
      <c r="AH400">
        <f>Database!BB389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Database!BA390</f>
        <v/>
      </c>
      <c r="AF401">
        <f>Database!BG390</f>
        <v/>
      </c>
      <c r="AG401">
        <f>Database!H390</f>
        <v/>
      </c>
      <c r="AH401">
        <f>Database!BB390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Database!BA391</f>
        <v/>
      </c>
      <c r="AF402">
        <f>Database!BG391</f>
        <v/>
      </c>
      <c r="AG402">
        <f>Database!H391</f>
        <v/>
      </c>
      <c r="AH402">
        <f>Database!BB391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Database!BA392</f>
        <v/>
      </c>
      <c r="AF403">
        <f>Database!BG392</f>
        <v/>
      </c>
      <c r="AG403">
        <f>Database!H392</f>
        <v/>
      </c>
      <c r="AH403">
        <f>Database!BB392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Database!BA393</f>
        <v/>
      </c>
      <c r="AF404">
        <f>Database!BG393</f>
        <v/>
      </c>
      <c r="AG404">
        <f>Database!H393</f>
        <v/>
      </c>
      <c r="AH404">
        <f>Database!BB393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Database!BA394</f>
        <v/>
      </c>
      <c r="AF405">
        <f>Database!BG394</f>
        <v/>
      </c>
      <c r="AG405">
        <f>Database!H394</f>
        <v/>
      </c>
      <c r="AH405">
        <f>Database!BB394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Database!BA395</f>
        <v/>
      </c>
      <c r="AF406">
        <f>Database!BG395</f>
        <v/>
      </c>
      <c r="AG406">
        <f>Database!H395</f>
        <v/>
      </c>
      <c r="AH406">
        <f>Database!BB395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Database!BA396</f>
        <v/>
      </c>
      <c r="AF407">
        <f>Database!BG396</f>
        <v/>
      </c>
      <c r="AG407">
        <f>Database!H396</f>
        <v/>
      </c>
      <c r="AH407">
        <f>Database!BB396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Database!BA397</f>
        <v/>
      </c>
      <c r="AF408">
        <f>Database!BG397</f>
        <v/>
      </c>
      <c r="AG408">
        <f>Database!H397</f>
        <v/>
      </c>
      <c r="AH408">
        <f>Database!BB397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Database!BA398</f>
        <v/>
      </c>
      <c r="AF409">
        <f>Database!BG398</f>
        <v/>
      </c>
      <c r="AG409">
        <f>Database!H398</f>
        <v/>
      </c>
      <c r="AH409">
        <f>Database!BB398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Database!BA399</f>
        <v/>
      </c>
      <c r="AF410">
        <f>Database!BG399</f>
        <v/>
      </c>
      <c r="AG410">
        <f>Database!H399</f>
        <v/>
      </c>
      <c r="AH410">
        <f>Database!BB399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Database!BA400</f>
        <v/>
      </c>
      <c r="AF411">
        <f>Database!BG400</f>
        <v/>
      </c>
      <c r="AG411">
        <f>Database!H400</f>
        <v/>
      </c>
      <c r="AH411">
        <f>Database!BB400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Database!BA401</f>
        <v/>
      </c>
      <c r="AF412">
        <f>Database!BG401</f>
        <v/>
      </c>
      <c r="AG412">
        <f>Database!H401</f>
        <v/>
      </c>
      <c r="AH412">
        <f>Database!BB401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Database!BA402</f>
        <v/>
      </c>
      <c r="AF413">
        <f>Database!BG402</f>
        <v/>
      </c>
      <c r="AG413">
        <f>Database!H402</f>
        <v/>
      </c>
      <c r="AH413">
        <f>Database!BB402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Database!BA403</f>
        <v/>
      </c>
      <c r="AF414">
        <f>Database!BG403</f>
        <v/>
      </c>
      <c r="AG414">
        <f>Database!H403</f>
        <v/>
      </c>
      <c r="AH414">
        <f>Database!BB403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Database!BA404</f>
        <v/>
      </c>
      <c r="AF415">
        <f>Database!BG404</f>
        <v/>
      </c>
      <c r="AG415">
        <f>Database!H404</f>
        <v/>
      </c>
      <c r="AH415">
        <f>Database!BB404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Database!BA405</f>
        <v/>
      </c>
      <c r="AF416">
        <f>Database!BG405</f>
        <v/>
      </c>
      <c r="AG416">
        <f>Database!H405</f>
        <v/>
      </c>
      <c r="AH416">
        <f>Database!BB405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Database!BA406</f>
        <v/>
      </c>
      <c r="AF417">
        <f>Database!BG406</f>
        <v/>
      </c>
      <c r="AG417">
        <f>Database!H406</f>
        <v/>
      </c>
      <c r="AH417">
        <f>Database!BB406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Database!BA407</f>
        <v/>
      </c>
      <c r="AF418">
        <f>Database!BG407</f>
        <v/>
      </c>
      <c r="AG418">
        <f>Database!H407</f>
        <v/>
      </c>
      <c r="AH418">
        <f>Database!BB407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Database!BA408</f>
        <v/>
      </c>
      <c r="AF419">
        <f>Database!BG408</f>
        <v/>
      </c>
      <c r="AG419">
        <f>Database!H408</f>
        <v/>
      </c>
      <c r="AH419">
        <f>Database!BB408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Database!BA409</f>
        <v/>
      </c>
      <c r="AF420">
        <f>Database!BG409</f>
        <v/>
      </c>
      <c r="AG420">
        <f>Database!H409</f>
        <v/>
      </c>
      <c r="AH420">
        <f>Database!BB409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Database!BA410</f>
        <v/>
      </c>
      <c r="AF421">
        <f>Database!BG410</f>
        <v/>
      </c>
      <c r="AG421">
        <f>Database!H410</f>
        <v/>
      </c>
      <c r="AH421">
        <f>Database!BB410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Database!BA411</f>
        <v/>
      </c>
      <c r="AF422">
        <f>Database!BG411</f>
        <v/>
      </c>
      <c r="AG422">
        <f>Database!H411</f>
        <v/>
      </c>
      <c r="AH422">
        <f>Database!BB411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Database!BA412</f>
        <v/>
      </c>
      <c r="AF423">
        <f>Database!BG412</f>
        <v/>
      </c>
      <c r="AG423">
        <f>Database!H412</f>
        <v/>
      </c>
      <c r="AH423">
        <f>Database!BB412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Database!BA413</f>
        <v/>
      </c>
      <c r="AF424">
        <f>Database!BG413</f>
        <v/>
      </c>
      <c r="AG424">
        <f>Database!H413</f>
        <v/>
      </c>
      <c r="AH424">
        <f>Database!BB413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Database!BA414</f>
        <v/>
      </c>
      <c r="AF425">
        <f>Database!BG414</f>
        <v/>
      </c>
      <c r="AG425">
        <f>Database!H414</f>
        <v/>
      </c>
      <c r="AH425">
        <f>Database!BB414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Database!BA415</f>
        <v/>
      </c>
      <c r="AF426">
        <f>Database!BG415</f>
        <v/>
      </c>
      <c r="AG426">
        <f>Database!H415</f>
        <v/>
      </c>
      <c r="AH426">
        <f>Database!BB415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Database!BA416</f>
        <v/>
      </c>
      <c r="AF427">
        <f>Database!BG416</f>
        <v/>
      </c>
      <c r="AG427">
        <f>Database!H416</f>
        <v/>
      </c>
      <c r="AH427">
        <f>Database!BB416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Database!BA417</f>
        <v/>
      </c>
      <c r="AF428">
        <f>Database!BG417</f>
        <v/>
      </c>
      <c r="AG428">
        <f>Database!H417</f>
        <v/>
      </c>
      <c r="AH428">
        <f>Database!BB417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Database!BA418</f>
        <v/>
      </c>
      <c r="AF429">
        <f>Database!BG418</f>
        <v/>
      </c>
      <c r="AG429">
        <f>Database!H418</f>
        <v/>
      </c>
      <c r="AH429">
        <f>Database!BB418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Database!BA419</f>
        <v/>
      </c>
      <c r="AF430">
        <f>Database!BG419</f>
        <v/>
      </c>
      <c r="AG430">
        <f>Database!H419</f>
        <v/>
      </c>
      <c r="AH430">
        <f>Database!BB419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Database!BA420</f>
        <v/>
      </c>
      <c r="AF431">
        <f>Database!BG420</f>
        <v/>
      </c>
      <c r="AG431">
        <f>Database!H420</f>
        <v/>
      </c>
      <c r="AH431">
        <f>Database!BB420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Database!BA421</f>
        <v/>
      </c>
      <c r="AF432">
        <f>Database!BG421</f>
        <v/>
      </c>
      <c r="AG432">
        <f>Database!H421</f>
        <v/>
      </c>
      <c r="AH432">
        <f>Database!BB421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Database!BA422</f>
        <v/>
      </c>
      <c r="AF433">
        <f>Database!BG422</f>
        <v/>
      </c>
      <c r="AG433">
        <f>Database!H422</f>
        <v/>
      </c>
      <c r="AH433">
        <f>Database!BB422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Database!BA423</f>
        <v/>
      </c>
      <c r="AF434">
        <f>Database!BG423</f>
        <v/>
      </c>
      <c r="AG434">
        <f>Database!H423</f>
        <v/>
      </c>
      <c r="AH434">
        <f>Database!BB423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Database!BA424</f>
        <v/>
      </c>
      <c r="AF435">
        <f>Database!BG424</f>
        <v/>
      </c>
      <c r="AG435">
        <f>Database!H424</f>
        <v/>
      </c>
      <c r="AH435">
        <f>Database!BB424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Database!BA425</f>
        <v/>
      </c>
      <c r="AF436">
        <f>Database!BG425</f>
        <v/>
      </c>
      <c r="AG436">
        <f>Database!H425</f>
        <v/>
      </c>
      <c r="AH436">
        <f>Database!BB425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Database!BA426</f>
        <v/>
      </c>
      <c r="AF437">
        <f>Database!BG426</f>
        <v/>
      </c>
      <c r="AG437">
        <f>Database!H426</f>
        <v/>
      </c>
      <c r="AH437">
        <f>Database!BB426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Database!BA427</f>
        <v/>
      </c>
      <c r="AF438">
        <f>Database!BG427</f>
        <v/>
      </c>
      <c r="AG438">
        <f>Database!H427</f>
        <v/>
      </c>
      <c r="AH438">
        <f>Database!BB427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Database!BA428</f>
        <v/>
      </c>
      <c r="AF439">
        <f>Database!BG428</f>
        <v/>
      </c>
      <c r="AG439">
        <f>Database!H428</f>
        <v/>
      </c>
      <c r="AH439">
        <f>Database!BB428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Database!BA429</f>
        <v/>
      </c>
      <c r="AF440">
        <f>Database!BG429</f>
        <v/>
      </c>
      <c r="AG440">
        <f>Database!H429</f>
        <v/>
      </c>
      <c r="AH440">
        <f>Database!BB429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Database!BA430</f>
        <v/>
      </c>
      <c r="AF441">
        <f>Database!BG430</f>
        <v/>
      </c>
      <c r="AG441">
        <f>Database!H430</f>
        <v/>
      </c>
      <c r="AH441">
        <f>Database!BB430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Database!BA431</f>
        <v/>
      </c>
      <c r="AF442">
        <f>Database!BG431</f>
        <v/>
      </c>
      <c r="AG442">
        <f>Database!H431</f>
        <v/>
      </c>
      <c r="AH442">
        <f>Database!BB431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Database!BA432</f>
        <v/>
      </c>
      <c r="AF443">
        <f>Database!BG432</f>
        <v/>
      </c>
      <c r="AG443">
        <f>Database!H432</f>
        <v/>
      </c>
      <c r="AH443">
        <f>Database!BB432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Database!BA433</f>
        <v/>
      </c>
      <c r="AF444">
        <f>Database!BG433</f>
        <v/>
      </c>
      <c r="AG444">
        <f>Database!H433</f>
        <v/>
      </c>
      <c r="AH444">
        <f>Database!BB433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Database!BA434</f>
        <v/>
      </c>
      <c r="AF445">
        <f>Database!BG434</f>
        <v/>
      </c>
      <c r="AG445">
        <f>Database!H434</f>
        <v/>
      </c>
      <c r="AH445">
        <f>Database!BB434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Database!BA435</f>
        <v/>
      </c>
      <c r="AF446">
        <f>Database!BG435</f>
        <v/>
      </c>
      <c r="AG446">
        <f>Database!H435</f>
        <v/>
      </c>
      <c r="AH446">
        <f>Database!BB435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Database!BA436</f>
        <v/>
      </c>
      <c r="AF447">
        <f>Database!BG436</f>
        <v/>
      </c>
      <c r="AG447">
        <f>Database!H436</f>
        <v/>
      </c>
      <c r="AH447">
        <f>Database!BB436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Database!BA437</f>
        <v/>
      </c>
      <c r="AF448">
        <f>Database!BG437</f>
        <v/>
      </c>
      <c r="AG448">
        <f>Database!H437</f>
        <v/>
      </c>
      <c r="AH448">
        <f>Database!BB437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Database!BA438</f>
        <v/>
      </c>
      <c r="AF449">
        <f>Database!BG438</f>
        <v/>
      </c>
      <c r="AG449">
        <f>Database!H438</f>
        <v/>
      </c>
      <c r="AH449">
        <f>Database!BB438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Database!BA439</f>
        <v/>
      </c>
      <c r="AF450">
        <f>Database!BG439</f>
        <v/>
      </c>
      <c r="AG450">
        <f>Database!H439</f>
        <v/>
      </c>
      <c r="AH450">
        <f>Database!BB439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Database!BA440</f>
        <v/>
      </c>
      <c r="AF451">
        <f>Database!BG440</f>
        <v/>
      </c>
      <c r="AG451">
        <f>Database!H440</f>
        <v/>
      </c>
      <c r="AH451">
        <f>Database!BB440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Database!BA441</f>
        <v/>
      </c>
      <c r="AF452">
        <f>Database!BG441</f>
        <v/>
      </c>
      <c r="AG452">
        <f>Database!H441</f>
        <v/>
      </c>
      <c r="AH452">
        <f>Database!BB441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Database!BA442</f>
        <v/>
      </c>
      <c r="AF453">
        <f>Database!BG442</f>
        <v/>
      </c>
      <c r="AG453">
        <f>Database!H442</f>
        <v/>
      </c>
      <c r="AH453">
        <f>Database!BB442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Database!BA443</f>
        <v/>
      </c>
      <c r="AF454">
        <f>Database!BG443</f>
        <v/>
      </c>
      <c r="AG454">
        <f>Database!H443</f>
        <v/>
      </c>
      <c r="AH454">
        <f>Database!BB443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Database!BA444</f>
        <v/>
      </c>
      <c r="AF455">
        <f>Database!BG444</f>
        <v/>
      </c>
      <c r="AG455">
        <f>Database!H444</f>
        <v/>
      </c>
      <c r="AH455">
        <f>Database!BB444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Database!BA445</f>
        <v/>
      </c>
      <c r="AF456">
        <f>Database!BG445</f>
        <v/>
      </c>
      <c r="AG456">
        <f>Database!H445</f>
        <v/>
      </c>
      <c r="AH456">
        <f>Database!BB445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Database!BA446</f>
        <v/>
      </c>
      <c r="AF457">
        <f>Database!BG446</f>
        <v/>
      </c>
      <c r="AG457">
        <f>Database!H446</f>
        <v/>
      </c>
      <c r="AH457">
        <f>Database!BB446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Database!BA447</f>
        <v/>
      </c>
      <c r="AF458">
        <f>Database!BG447</f>
        <v/>
      </c>
      <c r="AG458">
        <f>Database!H447</f>
        <v/>
      </c>
      <c r="AH458">
        <f>Database!BB447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Database!BA448</f>
        <v/>
      </c>
      <c r="AF459">
        <f>Database!BG448</f>
        <v/>
      </c>
      <c r="AG459">
        <f>Database!H448</f>
        <v/>
      </c>
      <c r="AH459">
        <f>Database!BB448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Database!BA449</f>
        <v/>
      </c>
      <c r="AF460">
        <f>Database!BG449</f>
        <v/>
      </c>
      <c r="AG460">
        <f>Database!H449</f>
        <v/>
      </c>
      <c r="AH460">
        <f>Database!BB449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Database!BA450</f>
        <v/>
      </c>
      <c r="AF461">
        <f>Database!BG450</f>
        <v/>
      </c>
      <c r="AG461">
        <f>Database!H450</f>
        <v/>
      </c>
      <c r="AH461">
        <f>Database!BB450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Database!BA451</f>
        <v/>
      </c>
      <c r="AF462">
        <f>Database!BG451</f>
        <v/>
      </c>
      <c r="AG462">
        <f>Database!H451</f>
        <v/>
      </c>
      <c r="AH462">
        <f>Database!BB451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Database!BA452</f>
        <v/>
      </c>
      <c r="AF463">
        <f>Database!BG452</f>
        <v/>
      </c>
      <c r="AG463">
        <f>Database!H452</f>
        <v/>
      </c>
      <c r="AH463">
        <f>Database!BB452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Database!BA453</f>
        <v/>
      </c>
      <c r="AF464">
        <f>Database!BG453</f>
        <v/>
      </c>
      <c r="AG464">
        <f>Database!H453</f>
        <v/>
      </c>
      <c r="AH464">
        <f>Database!BB453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Database!BA454</f>
        <v/>
      </c>
      <c r="AF465">
        <f>Database!BG454</f>
        <v/>
      </c>
      <c r="AG465">
        <f>Database!H454</f>
        <v/>
      </c>
      <c r="AH465">
        <f>Database!BB454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Database!BA455</f>
        <v/>
      </c>
      <c r="AF466">
        <f>Database!BG455</f>
        <v/>
      </c>
      <c r="AG466">
        <f>Database!H455</f>
        <v/>
      </c>
      <c r="AH466">
        <f>Database!BB455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Database!BA456</f>
        <v/>
      </c>
      <c r="AF467">
        <f>Database!BG456</f>
        <v/>
      </c>
      <c r="AG467">
        <f>Database!H456</f>
        <v/>
      </c>
      <c r="AH467">
        <f>Database!BB456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Database!BA457</f>
        <v/>
      </c>
      <c r="AF468">
        <f>Database!BG457</f>
        <v/>
      </c>
      <c r="AG468">
        <f>Database!H457</f>
        <v/>
      </c>
      <c r="AH468">
        <f>Database!BB457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Database!BA458</f>
        <v/>
      </c>
      <c r="AF469">
        <f>Database!BG458</f>
        <v/>
      </c>
      <c r="AG469">
        <f>Database!H458</f>
        <v/>
      </c>
      <c r="AH469">
        <f>Database!BB458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Database!BA459</f>
        <v/>
      </c>
      <c r="AF470">
        <f>Database!BG459</f>
        <v/>
      </c>
      <c r="AG470">
        <f>Database!H459</f>
        <v/>
      </c>
      <c r="AH470">
        <f>Database!BB459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Database!BA460</f>
        <v/>
      </c>
      <c r="AF471">
        <f>Database!BG460</f>
        <v/>
      </c>
      <c r="AG471">
        <f>Database!H460</f>
        <v/>
      </c>
      <c r="AH471">
        <f>Database!BB460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Database!BA461</f>
        <v/>
      </c>
      <c r="AF472">
        <f>Database!BG461</f>
        <v/>
      </c>
      <c r="AG472">
        <f>Database!H461</f>
        <v/>
      </c>
      <c r="AH472">
        <f>Database!BB461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Database!BA462</f>
        <v/>
      </c>
      <c r="AF473">
        <f>Database!BG462</f>
        <v/>
      </c>
      <c r="AG473">
        <f>Database!H462</f>
        <v/>
      </c>
      <c r="AH473">
        <f>Database!BB462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Database!BA463</f>
        <v/>
      </c>
      <c r="AF474">
        <f>Database!BG463</f>
        <v/>
      </c>
      <c r="AG474">
        <f>Database!H463</f>
        <v/>
      </c>
      <c r="AH474">
        <f>Database!BB463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Database!BA464</f>
        <v/>
      </c>
      <c r="AF475">
        <f>Database!BG464</f>
        <v/>
      </c>
      <c r="AG475">
        <f>Database!H464</f>
        <v/>
      </c>
      <c r="AH475">
        <f>Database!BB464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Database!BA465</f>
        <v/>
      </c>
      <c r="AF476">
        <f>Database!BG465</f>
        <v/>
      </c>
      <c r="AG476">
        <f>Database!H465</f>
        <v/>
      </c>
      <c r="AH476">
        <f>Database!BB465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Database!BA466</f>
        <v/>
      </c>
      <c r="AF477">
        <f>Database!BG466</f>
        <v/>
      </c>
      <c r="AG477">
        <f>Database!H466</f>
        <v/>
      </c>
      <c r="AH477">
        <f>Database!BB466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Database!BA467</f>
        <v/>
      </c>
      <c r="AF478">
        <f>Database!BG467</f>
        <v/>
      </c>
      <c r="AG478">
        <f>Database!H467</f>
        <v/>
      </c>
      <c r="AH478">
        <f>Database!BB467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Database!BA468</f>
        <v/>
      </c>
      <c r="AF479">
        <f>Database!BG468</f>
        <v/>
      </c>
      <c r="AG479">
        <f>Database!H468</f>
        <v/>
      </c>
      <c r="AH479">
        <f>Database!BB468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Database!BA469</f>
        <v/>
      </c>
      <c r="AF480">
        <f>Database!BG469</f>
        <v/>
      </c>
      <c r="AG480">
        <f>Database!H469</f>
        <v/>
      </c>
      <c r="AH480">
        <f>Database!BB469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Database!BA470</f>
        <v/>
      </c>
      <c r="AF481">
        <f>Database!BG470</f>
        <v/>
      </c>
      <c r="AG481">
        <f>Database!H470</f>
        <v/>
      </c>
      <c r="AH481">
        <f>Database!BB470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Database!BA471</f>
        <v/>
      </c>
      <c r="AF482">
        <f>Database!BG471</f>
        <v/>
      </c>
      <c r="AG482">
        <f>Database!H471</f>
        <v/>
      </c>
      <c r="AH482">
        <f>Database!BB471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Database!BA472</f>
        <v/>
      </c>
      <c r="AF483">
        <f>Database!BG472</f>
        <v/>
      </c>
      <c r="AG483">
        <f>Database!H472</f>
        <v/>
      </c>
      <c r="AH483">
        <f>Database!BB472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Database!BA473</f>
        <v/>
      </c>
      <c r="AF484">
        <f>Database!BG473</f>
        <v/>
      </c>
      <c r="AG484">
        <f>Database!H473</f>
        <v/>
      </c>
      <c r="AH484">
        <f>Database!BB473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Database!BA474</f>
        <v/>
      </c>
      <c r="AF485">
        <f>Database!BG474</f>
        <v/>
      </c>
      <c r="AG485">
        <f>Database!H474</f>
        <v/>
      </c>
      <c r="AH485">
        <f>Database!BB474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Database!BA475</f>
        <v/>
      </c>
      <c r="AF486">
        <f>Database!BG475</f>
        <v/>
      </c>
      <c r="AG486">
        <f>Database!H475</f>
        <v/>
      </c>
      <c r="AH486">
        <f>Database!BB475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Database!BA476</f>
        <v/>
      </c>
      <c r="AF487">
        <f>Database!BG476</f>
        <v/>
      </c>
      <c r="AG487">
        <f>Database!H476</f>
        <v/>
      </c>
      <c r="AH487">
        <f>Database!BB476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Database!BA477</f>
        <v/>
      </c>
      <c r="AF488">
        <f>Database!BG477</f>
        <v/>
      </c>
      <c r="AG488">
        <f>Database!H477</f>
        <v/>
      </c>
      <c r="AH488">
        <f>Database!BB477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Database!BA478</f>
        <v/>
      </c>
      <c r="AF489">
        <f>Database!BG478</f>
        <v/>
      </c>
      <c r="AG489">
        <f>Database!H478</f>
        <v/>
      </c>
      <c r="AH489">
        <f>Database!BB478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Database!BA479</f>
        <v/>
      </c>
      <c r="AF490">
        <f>Database!BG479</f>
        <v/>
      </c>
      <c r="AG490">
        <f>Database!H479</f>
        <v/>
      </c>
      <c r="AH490">
        <f>Database!BB479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Database!BA480</f>
        <v/>
      </c>
      <c r="AF491">
        <f>Database!BG480</f>
        <v/>
      </c>
      <c r="AG491">
        <f>Database!H480</f>
        <v/>
      </c>
      <c r="AH491">
        <f>Database!BB480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Database!BA481</f>
        <v/>
      </c>
      <c r="AF492">
        <f>Database!BG481</f>
        <v/>
      </c>
      <c r="AG492">
        <f>Database!H481</f>
        <v/>
      </c>
      <c r="AH492">
        <f>Database!BB481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Database!BA482</f>
        <v/>
      </c>
      <c r="AF493">
        <f>Database!BG482</f>
        <v/>
      </c>
      <c r="AG493">
        <f>Database!H482</f>
        <v/>
      </c>
      <c r="AH493">
        <f>Database!BB482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Database!BA483</f>
        <v/>
      </c>
      <c r="AF494">
        <f>Database!BG483</f>
        <v/>
      </c>
      <c r="AG494">
        <f>Database!H483</f>
        <v/>
      </c>
      <c r="AH494">
        <f>Database!BB483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Database!BA484</f>
        <v/>
      </c>
      <c r="AF495">
        <f>Database!BG484</f>
        <v/>
      </c>
      <c r="AG495">
        <f>Database!H484</f>
        <v/>
      </c>
      <c r="AH495">
        <f>Database!BB484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Database!BA485</f>
        <v/>
      </c>
      <c r="AF496">
        <f>Database!BG485</f>
        <v/>
      </c>
      <c r="AG496">
        <f>Database!H485</f>
        <v/>
      </c>
      <c r="AH496">
        <f>Database!BB485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Database!BA486</f>
        <v/>
      </c>
      <c r="AF497">
        <f>Database!BG486</f>
        <v/>
      </c>
      <c r="AG497">
        <f>Database!H486</f>
        <v/>
      </c>
      <c r="AH497">
        <f>Database!BB486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Database!BA487</f>
        <v/>
      </c>
      <c r="AF498">
        <f>Database!BG487</f>
        <v/>
      </c>
      <c r="AG498">
        <f>Database!H487</f>
        <v/>
      </c>
      <c r="AH498">
        <f>Database!BB487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Database!BA488</f>
        <v/>
      </c>
      <c r="AF499">
        <f>Database!BG488</f>
        <v/>
      </c>
      <c r="AG499">
        <f>Database!H488</f>
        <v/>
      </c>
      <c r="AH499">
        <f>Database!BB488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Database!BA489</f>
        <v/>
      </c>
      <c r="AF500">
        <f>Database!BG489</f>
        <v/>
      </c>
      <c r="AG500">
        <f>Database!H489</f>
        <v/>
      </c>
      <c r="AH500">
        <f>Database!BB489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Database!BA490</f>
        <v/>
      </c>
      <c r="AF501">
        <f>Database!BG490</f>
        <v/>
      </c>
      <c r="AG501">
        <f>Database!H490</f>
        <v/>
      </c>
      <c r="AH501">
        <f>Database!BB490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Database!BA491</f>
        <v/>
      </c>
      <c r="AF502">
        <f>Database!BG491</f>
        <v/>
      </c>
      <c r="AG502">
        <f>Database!H491</f>
        <v/>
      </c>
      <c r="AH502">
        <f>Database!BB491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Database!BA492</f>
        <v/>
      </c>
      <c r="AF503">
        <f>Database!BG492</f>
        <v/>
      </c>
      <c r="AG503">
        <f>Database!H492</f>
        <v/>
      </c>
      <c r="AH503">
        <f>Database!BB492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Database!BA493</f>
        <v/>
      </c>
      <c r="AF504">
        <f>Database!BG493</f>
        <v/>
      </c>
      <c r="AG504">
        <f>Database!H493</f>
        <v/>
      </c>
      <c r="AH504">
        <f>Database!BB493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Database!BA494</f>
        <v/>
      </c>
      <c r="AF505">
        <f>Database!BG494</f>
        <v/>
      </c>
      <c r="AG505">
        <f>Database!H494</f>
        <v/>
      </c>
      <c r="AH505">
        <f>Database!BB494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Database!BA495</f>
        <v/>
      </c>
      <c r="AF506">
        <f>Database!BG495</f>
        <v/>
      </c>
      <c r="AG506">
        <f>Database!H495</f>
        <v/>
      </c>
      <c r="AH506">
        <f>Database!BB495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Database!BA496</f>
        <v/>
      </c>
      <c r="AF507">
        <f>Database!BG496</f>
        <v/>
      </c>
      <c r="AG507">
        <f>Database!H496</f>
        <v/>
      </c>
      <c r="AH507">
        <f>Database!BB496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Database!BA497</f>
        <v/>
      </c>
      <c r="AF508">
        <f>Database!BG497</f>
        <v/>
      </c>
      <c r="AG508">
        <f>Database!H497</f>
        <v/>
      </c>
      <c r="AH508">
        <f>Database!BB497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Database!BA498</f>
        <v/>
      </c>
      <c r="AF509">
        <f>Database!BG498</f>
        <v/>
      </c>
      <c r="AG509">
        <f>Database!H498</f>
        <v/>
      </c>
      <c r="AH509">
        <f>Database!BB498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Database!BA499</f>
        <v/>
      </c>
      <c r="AF510">
        <f>Database!BG499</f>
        <v/>
      </c>
      <c r="AG510">
        <f>Database!H499</f>
        <v/>
      </c>
      <c r="AH510">
        <f>Database!BB499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Database!BA500</f>
        <v/>
      </c>
      <c r="AF511">
        <f>Database!BG500</f>
        <v/>
      </c>
      <c r="AG511">
        <f>Database!H500</f>
        <v/>
      </c>
      <c r="AH511">
        <f>Database!BB500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Database!BA501</f>
        <v/>
      </c>
      <c r="AF512">
        <f>Database!BG501</f>
        <v/>
      </c>
      <c r="AG512">
        <f>Database!H501</f>
        <v/>
      </c>
      <c r="AH512">
        <f>Database!BB501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Database!BA502</f>
        <v/>
      </c>
      <c r="AF513">
        <f>Database!BG502</f>
        <v/>
      </c>
      <c r="AG513">
        <f>Database!H502</f>
        <v/>
      </c>
      <c r="AH513">
        <f>Database!BB502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Database!BA503</f>
        <v/>
      </c>
      <c r="AF514">
        <f>Database!BG503</f>
        <v/>
      </c>
      <c r="AG514">
        <f>Database!H503</f>
        <v/>
      </c>
      <c r="AH514">
        <f>Database!BB503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Database!BA504</f>
        <v/>
      </c>
      <c r="AF515">
        <f>Database!BG504</f>
        <v/>
      </c>
      <c r="AG515">
        <f>Database!H504</f>
        <v/>
      </c>
      <c r="AH515">
        <f>Database!BB504</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Database!B505</f>
        <v/>
      </c>
      <c r="AB516">
        <f>Database!D505</f>
        <v/>
      </c>
      <c r="AC516">
        <f>Database!E505</f>
        <v/>
      </c>
      <c r="AD516">
        <f>Database!I505</f>
        <v/>
      </c>
      <c r="AE516">
        <f>Database!BA505</f>
        <v/>
      </c>
      <c r="AF516">
        <f>Database!BG505</f>
        <v/>
      </c>
      <c r="AG516">
        <f>Database!H505</f>
        <v/>
      </c>
      <c r="AH516">
        <f>Database!BB505</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Database!B506</f>
        <v/>
      </c>
      <c r="AB517">
        <f>Database!D506</f>
        <v/>
      </c>
      <c r="AC517">
        <f>Database!E506</f>
        <v/>
      </c>
      <c r="AD517">
        <f>Database!I506</f>
        <v/>
      </c>
      <c r="AE517">
        <f>Database!BA506</f>
        <v/>
      </c>
      <c r="AF517">
        <f>Database!BG506</f>
        <v/>
      </c>
      <c r="AG517">
        <f>Database!H506</f>
        <v/>
      </c>
      <c r="AH517">
        <f>Database!BB506</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Database!B507</f>
        <v/>
      </c>
      <c r="AB518">
        <f>Database!D507</f>
        <v/>
      </c>
      <c r="AC518">
        <f>Database!E507</f>
        <v/>
      </c>
      <c r="AD518">
        <f>Database!I507</f>
        <v/>
      </c>
      <c r="AE518">
        <f>Database!BA507</f>
        <v/>
      </c>
      <c r="AF518">
        <f>Database!BG507</f>
        <v/>
      </c>
      <c r="AG518">
        <f>Database!H507</f>
        <v/>
      </c>
      <c r="AH518">
        <f>Database!BB507</f>
        <v/>
      </c>
    </row>
    <row r="519">
      <c r="A519">
        <f>Database!B519</f>
        <v/>
      </c>
      <c r="B519">
        <f>IF(AND(Screener!$D$8&lt;&gt;"",Database!$E519=Screener!$D$8),1,0)</f>
        <v/>
      </c>
      <c r="C519">
        <f>IF(AND(Screener!$D$7&lt;&gt;"",Database!$D519=Screener!$D$7),1,0)</f>
        <v/>
      </c>
      <c r="D519">
        <f>IF(OR(N(Database!$I519)&lt;=0,N(Screener!$D$9)&lt;=0),0,MAX(0,1-ABS(LOG10(N(Database!$I519)/Screener!$D$9))/W_SIZEHW))</f>
        <v/>
      </c>
      <c r="E519">
        <f>IF(OR(Database!$BA519="",Screener!$D$10=""),0,IF(Database!$BA519=Screener!$D$10,1,0))</f>
        <v/>
      </c>
      <c r="F519">
        <f>IF(OR(Database!$BG519="",Screener!$D$11=""),0,IF(Database!$BG519=Screener!$D$11,1,0))</f>
        <v/>
      </c>
      <c r="G519">
        <f>IF(OR(Database!$H519="",N(Screener!$D$12)&lt;=0),0,MAX(0,1-(N(Screener!$D$12)-Database!$H519)/W_RECD))</f>
        <v/>
      </c>
      <c r="H519">
        <f>IF($U$1="",0,N(ISNUMBER(SEARCH($U$1,Database!$Z519&amp;""))))+IF($V$1="",0,N(ISNUMBER(SEARCH($V$1,Database!$Z519&amp;""))))+IF($W$1="",0,N(ISNUMBER(SEARCH($W$1,Database!$Z519&amp;""))))+IF($X$1="",0,N(ISNUMBER(SEARCH($X$1,Database!$Z519&amp;""))))+IF($Y$1="",0,N(ISNUMBER(SEARCH($Y$1,Database!$Z519&amp;""))))+IF(Screener!$B$17="",0,N(ISNUMBER(SEARCH(LOWER(Screener!$B$17),Database!$Z519&amp;""))))</f>
        <v/>
      </c>
      <c r="I519">
        <f>IF(OR(N(Database!$BB519)&lt;=0,N(Screener!$D$13)&lt;=0),0,MAX(0,1-ABS(LOG10(N(Database!$BB519)/Screener!$D$13))/W_PEHW))</f>
        <v/>
      </c>
      <c r="J519">
        <f>IF(OR(N(Database!$S519)&lt;=0,N(Screener!$D$14)&lt;=0),0,MAX(0,1-ABS(LOG10(Database!$S519/Screener!$D$14))/0.6))</f>
        <v/>
      </c>
      <c r="K519">
        <f>IF(Database!$B519=Screener!$B$5,-999999,IF(ISNUMBER(SEARCH(","&amp;Database!$A519&amp;",",","&amp;SUBSTITUTE(Screener!$D$17," ","")&amp;",")),2000000,IF(IF(OR(Screener!$B$18="All",AND(Screener!$B$18="With A-share",(Database!$BG519="Y")),AND(Screener!$B$18="Without A-share",NOT((Database!$BG519="Y")))),1,0)=0,-999999,IF(Screener!$B$16="cornerstone overlap first",H519*100000,IF(Screener!$B$16="demand-similar first",J519*100000,0))+W_SUB*B519+W_SEC*C519*(1-B519)+W_SIZE*D519+W_PROF*E519+W_AH*F519+W_REC*G519+W_CS*H519+W_PE*I519)))+ROW()/1000000</f>
        <v/>
      </c>
      <c r="AA519">
        <f>Database!B508</f>
        <v/>
      </c>
      <c r="AB519">
        <f>Database!D508</f>
        <v/>
      </c>
      <c r="AC519">
        <f>Database!E508</f>
        <v/>
      </c>
      <c r="AD519">
        <f>Database!I508</f>
        <v/>
      </c>
      <c r="AE519">
        <f>Database!BA508</f>
        <v/>
      </c>
      <c r="AF519">
        <f>Database!BG508</f>
        <v/>
      </c>
      <c r="AG519">
        <f>Database!H508</f>
        <v/>
      </c>
      <c r="AH519">
        <f>Database!BB508</f>
        <v/>
      </c>
    </row>
    <row r="520">
      <c r="A520">
        <f>Database!B520</f>
        <v/>
      </c>
      <c r="B520">
        <f>IF(AND(Screener!$D$8&lt;&gt;"",Database!$E520=Screener!$D$8),1,0)</f>
        <v/>
      </c>
      <c r="C520">
        <f>IF(AND(Screener!$D$7&lt;&gt;"",Database!$D520=Screener!$D$7),1,0)</f>
        <v/>
      </c>
      <c r="D520">
        <f>IF(OR(N(Database!$I520)&lt;=0,N(Screener!$D$9)&lt;=0),0,MAX(0,1-ABS(LOG10(N(Database!$I520)/Screener!$D$9))/W_SIZEHW))</f>
        <v/>
      </c>
      <c r="E520">
        <f>IF(OR(Database!$BA520="",Screener!$D$10=""),0,IF(Database!$BA520=Screener!$D$10,1,0))</f>
        <v/>
      </c>
      <c r="F520">
        <f>IF(OR(Database!$BG520="",Screener!$D$11=""),0,IF(Database!$BG520=Screener!$D$11,1,0))</f>
        <v/>
      </c>
      <c r="G520">
        <f>IF(OR(Database!$H520="",N(Screener!$D$12)&lt;=0),0,MAX(0,1-(N(Screener!$D$12)-Database!$H520)/W_RECD))</f>
        <v/>
      </c>
      <c r="H520">
        <f>IF($U$1="",0,N(ISNUMBER(SEARCH($U$1,Database!$Z520&amp;""))))+IF($V$1="",0,N(ISNUMBER(SEARCH($V$1,Database!$Z520&amp;""))))+IF($W$1="",0,N(ISNUMBER(SEARCH($W$1,Database!$Z520&amp;""))))+IF($X$1="",0,N(ISNUMBER(SEARCH($X$1,Database!$Z520&amp;""))))+IF($Y$1="",0,N(ISNUMBER(SEARCH($Y$1,Database!$Z520&amp;""))))+IF(Screener!$B$17="",0,N(ISNUMBER(SEARCH(LOWER(Screener!$B$17),Database!$Z520&amp;""))))</f>
        <v/>
      </c>
      <c r="I520">
        <f>IF(OR(N(Database!$BB520)&lt;=0,N(Screener!$D$13)&lt;=0),0,MAX(0,1-ABS(LOG10(N(Database!$BB520)/Screener!$D$13))/W_PEHW))</f>
        <v/>
      </c>
      <c r="J520">
        <f>IF(OR(N(Database!$S520)&lt;=0,N(Screener!$D$14)&lt;=0),0,MAX(0,1-ABS(LOG10(Database!$S520/Screener!$D$14))/0.6))</f>
        <v/>
      </c>
      <c r="K520">
        <f>IF(Database!$B520=Screener!$B$5,-999999,IF(ISNUMBER(SEARCH(","&amp;Database!$A520&amp;",",","&amp;SUBSTITUTE(Screener!$D$17," ","")&amp;",")),2000000,IF(IF(OR(Screener!$B$18="All",AND(Screener!$B$18="With A-share",(Database!$BG520="Y")),AND(Screener!$B$18="Without A-share",NOT((Database!$BG520="Y")))),1,0)=0,-999999,IF(Screener!$B$16="cornerstone overlap first",H520*100000,IF(Screener!$B$16="demand-similar first",J520*100000,0))+W_SUB*B520+W_SEC*C520*(1-B520)+W_SIZE*D520+W_PROF*E520+W_AH*F520+W_REC*G520+W_CS*H520+W_PE*I520)))+ROW()/1000000</f>
        <v/>
      </c>
      <c r="AA520">
        <f>Database!B509</f>
        <v/>
      </c>
      <c r="AB520">
        <f>Database!D509</f>
        <v/>
      </c>
      <c r="AC520">
        <f>Database!E509</f>
        <v/>
      </c>
      <c r="AD520">
        <f>Database!I509</f>
        <v/>
      </c>
      <c r="AE520">
        <f>Database!BA509</f>
        <v/>
      </c>
      <c r="AF520">
        <f>Database!BG509</f>
        <v/>
      </c>
      <c r="AG520">
        <f>Database!H509</f>
        <v/>
      </c>
      <c r="AH520">
        <f>Database!BB509</f>
        <v/>
      </c>
    </row>
    <row r="521">
      <c r="A521">
        <f>Database!B521</f>
        <v/>
      </c>
      <c r="B521">
        <f>IF(AND(Screener!$D$8&lt;&gt;"",Database!$E521=Screener!$D$8),1,0)</f>
        <v/>
      </c>
      <c r="C521">
        <f>IF(AND(Screener!$D$7&lt;&gt;"",Database!$D521=Screener!$D$7),1,0)</f>
        <v/>
      </c>
      <c r="D521">
        <f>IF(OR(N(Database!$I521)&lt;=0,N(Screener!$D$9)&lt;=0),0,MAX(0,1-ABS(LOG10(N(Database!$I521)/Screener!$D$9))/W_SIZEHW))</f>
        <v/>
      </c>
      <c r="E521">
        <f>IF(OR(Database!$BA521="",Screener!$D$10=""),0,IF(Database!$BA521=Screener!$D$10,1,0))</f>
        <v/>
      </c>
      <c r="F521">
        <f>IF(OR(Database!$BG521="",Screener!$D$11=""),0,IF(Database!$BG521=Screener!$D$11,1,0))</f>
        <v/>
      </c>
      <c r="G521">
        <f>IF(OR(Database!$H521="",N(Screener!$D$12)&lt;=0),0,MAX(0,1-(N(Screener!$D$12)-Database!$H521)/W_RECD))</f>
        <v/>
      </c>
      <c r="H521">
        <f>IF($U$1="",0,N(ISNUMBER(SEARCH($U$1,Database!$Z521&amp;""))))+IF($V$1="",0,N(ISNUMBER(SEARCH($V$1,Database!$Z521&amp;""))))+IF($W$1="",0,N(ISNUMBER(SEARCH($W$1,Database!$Z521&amp;""))))+IF($X$1="",0,N(ISNUMBER(SEARCH($X$1,Database!$Z521&amp;""))))+IF($Y$1="",0,N(ISNUMBER(SEARCH($Y$1,Database!$Z521&amp;""))))+IF(Screener!$B$17="",0,N(ISNUMBER(SEARCH(LOWER(Screener!$B$17),Database!$Z521&amp;""))))</f>
        <v/>
      </c>
      <c r="I521">
        <f>IF(OR(N(Database!$BB521)&lt;=0,N(Screener!$D$13)&lt;=0),0,MAX(0,1-ABS(LOG10(N(Database!$BB521)/Screener!$D$13))/W_PEHW))</f>
        <v/>
      </c>
      <c r="J521">
        <f>IF(OR(N(Database!$S521)&lt;=0,N(Screener!$D$14)&lt;=0),0,MAX(0,1-ABS(LOG10(Database!$S521/Screener!$D$14))/0.6))</f>
        <v/>
      </c>
      <c r="K521">
        <f>IF(Database!$B521=Screener!$B$5,-999999,IF(ISNUMBER(SEARCH(","&amp;Database!$A521&amp;",",","&amp;SUBSTITUTE(Screener!$D$17," ","")&amp;",")),2000000,IF(IF(OR(Screener!$B$18="All",AND(Screener!$B$18="With A-share",(Database!$BG521="Y")),AND(Screener!$B$18="Without A-share",NOT((Database!$BG521="Y")))),1,0)=0,-999999,IF(Screener!$B$16="cornerstone overlap first",H521*100000,IF(Screener!$B$16="demand-similar first",J521*100000,0))+W_SUB*B521+W_SEC*C521*(1-B521)+W_SIZE*D521+W_PROF*E521+W_AH*F521+W_REC*G521+W_CS*H521+W_PE*I521)))+ROW()/1000000</f>
        <v/>
      </c>
      <c r="AA521">
        <f>Database!B510</f>
        <v/>
      </c>
      <c r="AB521">
        <f>Database!D510</f>
        <v/>
      </c>
      <c r="AC521">
        <f>Database!E510</f>
        <v/>
      </c>
      <c r="AD521">
        <f>Database!I510</f>
        <v/>
      </c>
      <c r="AE521">
        <f>Database!BA510</f>
        <v/>
      </c>
      <c r="AF521">
        <f>Database!BG510</f>
        <v/>
      </c>
      <c r="AG521">
        <f>Database!H510</f>
        <v/>
      </c>
      <c r="AH521">
        <f>Database!BB510</f>
        <v/>
      </c>
    </row>
    <row r="522">
      <c r="AA522">
        <f>Database!B511</f>
        <v/>
      </c>
      <c r="AB522">
        <f>Database!D511</f>
        <v/>
      </c>
      <c r="AC522">
        <f>Database!E511</f>
        <v/>
      </c>
      <c r="AD522">
        <f>Database!I511</f>
        <v/>
      </c>
      <c r="AE522">
        <f>Database!BA511</f>
        <v/>
      </c>
      <c r="AF522">
        <f>Database!BG511</f>
        <v/>
      </c>
      <c r="AG522">
        <f>Database!H511</f>
        <v/>
      </c>
      <c r="AH522">
        <f>Database!BB511</f>
        <v/>
      </c>
    </row>
    <row r="523">
      <c r="AA523">
        <f>Database!B512</f>
        <v/>
      </c>
      <c r="AB523">
        <f>Database!D512</f>
        <v/>
      </c>
      <c r="AC523">
        <f>Database!E512</f>
        <v/>
      </c>
      <c r="AD523">
        <f>Database!I512</f>
        <v/>
      </c>
      <c r="AE523">
        <f>Database!BA512</f>
        <v/>
      </c>
      <c r="AF523">
        <f>Database!BG512</f>
        <v/>
      </c>
      <c r="AG523">
        <f>Database!H512</f>
        <v/>
      </c>
      <c r="AH523">
        <f>Database!BB512</f>
        <v/>
      </c>
    </row>
    <row r="524">
      <c r="AA524">
        <f>Database!B513</f>
        <v/>
      </c>
      <c r="AB524">
        <f>Database!D513</f>
        <v/>
      </c>
      <c r="AC524">
        <f>Database!E513</f>
        <v/>
      </c>
      <c r="AD524">
        <f>Database!I513</f>
        <v/>
      </c>
      <c r="AE524">
        <f>Database!BA513</f>
        <v/>
      </c>
      <c r="AF524">
        <f>Database!BG513</f>
        <v/>
      </c>
      <c r="AG524">
        <f>Database!H513</f>
        <v/>
      </c>
      <c r="AH524">
        <f>Database!BB513</f>
        <v/>
      </c>
    </row>
    <row r="525">
      <c r="AA525">
        <f>Database!B514</f>
        <v/>
      </c>
      <c r="AB525">
        <f>Database!D514</f>
        <v/>
      </c>
      <c r="AC525">
        <f>Database!E514</f>
        <v/>
      </c>
      <c r="AD525">
        <f>Database!I514</f>
        <v/>
      </c>
      <c r="AE525">
        <f>Database!BA514</f>
        <v/>
      </c>
      <c r="AF525">
        <f>Database!BG514</f>
        <v/>
      </c>
      <c r="AG525">
        <f>Database!H514</f>
        <v/>
      </c>
      <c r="AH525">
        <f>Database!BB514</f>
        <v/>
      </c>
    </row>
    <row r="526">
      <c r="AA526">
        <f>Database!B515</f>
        <v/>
      </c>
      <c r="AB526">
        <f>Database!D515</f>
        <v/>
      </c>
      <c r="AC526">
        <f>Database!E515</f>
        <v/>
      </c>
      <c r="AD526">
        <f>Database!I515</f>
        <v/>
      </c>
      <c r="AE526">
        <f>Database!BA515</f>
        <v/>
      </c>
      <c r="AF526">
        <f>Database!BG515</f>
        <v/>
      </c>
      <c r="AG526">
        <f>Database!H515</f>
        <v/>
      </c>
      <c r="AH526">
        <f>Database!BB515</f>
        <v/>
      </c>
    </row>
    <row r="527">
      <c r="AA527">
        <f>Database!B516</f>
        <v/>
      </c>
      <c r="AB527">
        <f>Database!D516</f>
        <v/>
      </c>
      <c r="AC527">
        <f>Database!E516</f>
        <v/>
      </c>
      <c r="AD527">
        <f>Database!I516</f>
        <v/>
      </c>
      <c r="AE527">
        <f>Database!BA516</f>
        <v/>
      </c>
      <c r="AF527">
        <f>Database!BG516</f>
        <v/>
      </c>
      <c r="AG527">
        <f>Database!H516</f>
        <v/>
      </c>
      <c r="AH527">
        <f>Database!BB516</f>
        <v/>
      </c>
    </row>
    <row r="528">
      <c r="AA528">
        <f>Database!B517</f>
        <v/>
      </c>
      <c r="AB528">
        <f>Database!D517</f>
        <v/>
      </c>
      <c r="AC528">
        <f>Database!E517</f>
        <v/>
      </c>
      <c r="AD528">
        <f>Database!I517</f>
        <v/>
      </c>
      <c r="AE528">
        <f>Database!BA517</f>
        <v/>
      </c>
      <c r="AF528">
        <f>Database!BG517</f>
        <v/>
      </c>
      <c r="AG528">
        <f>Database!H517</f>
        <v/>
      </c>
      <c r="AH528">
        <f>Database!BB517</f>
        <v/>
      </c>
    </row>
    <row r="529">
      <c r="AA529">
        <f>Database!B518</f>
        <v/>
      </c>
      <c r="AB529">
        <f>Database!D518</f>
        <v/>
      </c>
      <c r="AC529">
        <f>Database!E518</f>
        <v/>
      </c>
      <c r="AD529">
        <f>Database!I518</f>
        <v/>
      </c>
      <c r="AE529">
        <f>Database!BA518</f>
        <v/>
      </c>
      <c r="AF529">
        <f>Database!BG518</f>
        <v/>
      </c>
      <c r="AG529">
        <f>Database!H518</f>
        <v/>
      </c>
      <c r="AH529">
        <f>Database!BB518</f>
        <v/>
      </c>
    </row>
    <row r="530">
      <c r="AA530">
        <f>Database!B519</f>
        <v/>
      </c>
      <c r="AB530">
        <f>Database!D519</f>
        <v/>
      </c>
      <c r="AC530">
        <f>Database!E519</f>
        <v/>
      </c>
      <c r="AD530">
        <f>Database!I519</f>
        <v/>
      </c>
      <c r="AE530">
        <f>Database!BA519</f>
        <v/>
      </c>
      <c r="AF530">
        <f>Database!BG519</f>
        <v/>
      </c>
      <c r="AG530">
        <f>Database!H519</f>
        <v/>
      </c>
      <c r="AH530">
        <f>Database!BB519</f>
        <v/>
      </c>
    </row>
    <row r="531">
      <c r="AA531">
        <f>Database!B520</f>
        <v/>
      </c>
      <c r="AB531">
        <f>Database!D520</f>
        <v/>
      </c>
      <c r="AC531">
        <f>Database!E520</f>
        <v/>
      </c>
      <c r="AD531">
        <f>Database!I520</f>
        <v/>
      </c>
      <c r="AE531">
        <f>Database!BA520</f>
        <v/>
      </c>
      <c r="AF531">
        <f>Database!BG520</f>
        <v/>
      </c>
      <c r="AG531">
        <f>Database!H520</f>
        <v/>
      </c>
      <c r="AH531">
        <f>Database!BB520</f>
        <v/>
      </c>
    </row>
    <row r="532">
      <c r="AA532">
        <f>Database!B521</f>
        <v/>
      </c>
      <c r="AB532">
        <f>Database!D521</f>
        <v/>
      </c>
      <c r="AC532">
        <f>Database!E521</f>
        <v/>
      </c>
      <c r="AD532">
        <f>Database!I521</f>
        <v/>
      </c>
      <c r="AE532">
        <f>Database!BA521</f>
        <v/>
      </c>
      <c r="AF532">
        <f>Database!BG521</f>
        <v/>
      </c>
      <c r="AG532">
        <f>Database!H521</f>
        <v/>
      </c>
      <c r="AH532">
        <f>Database!BB521</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517 Main Board IPOs 2021-2026 plus the pipeline. Data as of 2026-09-14.</t>
        </is>
      </c>
    </row>
    <row r="3"/>
    <row r="4">
      <c r="A4" s="70" t="inlineStr"/>
      <c r="B4" s="70" t="inlineStr"/>
    </row>
    <row r="5">
      <c r="A5" s="165" t="inlineStr">
        <is>
          <t>Blue cells</t>
        </is>
      </c>
      <c r="B5" s="70" t="inlineStr">
        <is>
          <t>Inputs. Everything else calculates.</t>
        </is>
      </c>
    </row>
    <row r="6">
      <c r="A6" s="165" t="inlineStr">
        <is>
          <t>Screener</t>
        </is>
      </c>
      <c r="B6" s="70" t="inlineStr">
        <is>
          <t>Pick a deal, or type your own terms; comps rank same-subsector first.</t>
        </is>
      </c>
    </row>
    <row r="7">
      <c r="A7" s="165" t="inlineStr">
        <is>
          <t>Database</t>
        </is>
      </c>
      <c r="B7" s="70" t="inlineStr">
        <is>
          <t>One row per deal. The last column says why any cell is blank.</t>
        </is>
      </c>
    </row>
    <row r="8">
      <c r="A8" s="165" t="inlineStr">
        <is>
          <t>CS League, SM League</t>
        </is>
      </c>
      <c r="B8" s="70" t="inlineStr">
        <is>
          <t>One row per cornerstone investor or stabilising manager, with how their deals traded. Read together: who anchored the deal, who defended it.</t>
        </is>
      </c>
    </row>
    <row r="9">
      <c r="A9" s="165" t="inlineStr">
        <is>
          <t>Analogs</t>
        </is>
      </c>
      <c r="B9" s="70" t="inlineStr">
        <is>
          <t>Day-1 history by subscription bucket, subsector and year.</t>
        </is>
      </c>
    </row>
    <row r="10">
      <c r="A10" s="165" t="inlineStr">
        <is>
          <t>Eff. free float</t>
        </is>
      </c>
      <c r="B10" s="70" t="inlineStr">
        <is>
          <t>Deal size x (1 - cornerstone %) / market cap: what can trade on day 1 while cornerstones are locked up.</t>
        </is>
      </c>
    </row>
    <row r="11">
      <c r="A11" s="165" t="inlineStr">
        <is>
          <t>Money and signs</t>
        </is>
      </c>
      <c r="B11" s="70" t="inlineStr">
        <is>
          <t>HK$ millions. Day-1 + = closed above the offer. A premium + = A above H.</t>
        </is>
      </c>
    </row>
    <row r="12">
      <c r="A12" s="165" t="inlineStr">
        <is>
          <t>Subscription</t>
        </is>
      </c>
      <c r="B12" s="70" t="inlineStr">
        <is>
          <t>Filing basis: 10x = ten times the shares on offer. Bloomberg CP036/CP037 override the scrape where the desk paste has them.</t>
        </is>
      </c>
    </row>
    <row r="13">
      <c r="A13" s="165" t="inlineStr">
        <is>
          <t>Ex-pop columns</t>
        </is>
      </c>
      <c r="B13" s="70" t="inlineStr">
        <is>
          <t>Teal headers. 1w/1m/3m ex-pop run from the day-1 close; alpha 1m ex-pop nets the index over the same window.</t>
        </is>
      </c>
    </row>
    <row r="14">
      <c r="A14" s="165" t="inlineStr">
        <is>
          <t>P/E and P/S at IPO</t>
        </is>
      </c>
      <c r="B14" s="70" t="inlineStr">
        <is>
          <t>Trailing, never forward: market cap at the offer price over the last full pre-IPO fiscal year's net income or revenue. Loss-makers read n/m on P/E; use P/S.</t>
        </is>
      </c>
    </row>
    <row r="15">
      <c r="A15" s="165"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5" t="inlineStr">
        <is>
          <t>P/E today, P/S today</t>
        </is>
      </c>
      <c r="B16" s="70" t="inlineStr">
        <is>
          <t>Bloomberg. P/E today is the desk paste; P/S today resolves on the terminal and reads 'run on terminal' elsewhere.</t>
        </is>
      </c>
    </row>
    <row r="17">
      <c r="A17" s="165" t="inlineStr">
        <is>
          <t>A-share mkt cap now</t>
        </is>
      </c>
      <c r="B17" s="70" t="inlineStr">
        <is>
          <t>From the A-share quote for A/H pairs, Bloomberg on the terminal where the quote had none. Non-A/H rows read N/A.</t>
        </is>
      </c>
    </row>
    <row r="18">
      <c r="A18" s="165" t="inlineStr">
        <is>
          <t>Force-include</t>
        </is>
      </c>
      <c r="B18" s="70" t="inlineStr">
        <is>
          <t>Type codes, comma-separated, on the Screener; those deals pin to the top.</t>
        </is>
      </c>
    </row>
    <row r="19">
      <c r="A19" s="165" t="inlineStr">
        <is>
          <t>Not captured</t>
        </is>
      </c>
      <c r="B19" s="70" t="inlineStr">
        <is>
          <t>Underwriting fee splits.</t>
        </is>
      </c>
    </row>
    <row r="20">
      <c r="A20" s="165" t="inlineStr">
        <is>
          <t>Judgment</t>
        </is>
      </c>
      <c r="B20" s="70" t="inlineStr">
        <is>
          <t>Sector and subsector are analyst-assigned.</t>
        </is>
      </c>
    </row>
    <row r="21"/>
    <row r="22">
      <c r="A22" s="165" t="inlineStr">
        <is>
          <t>SCREENER WEIGHTS (edit to re-tune)</t>
        </is>
      </c>
    </row>
    <row r="23">
      <c r="A23" s="165" t="inlineStr">
        <is>
          <t>W_SUB</t>
        </is>
      </c>
      <c r="B23" s="7" t="n">
        <v>1000</v>
      </c>
      <c r="C23" s="2" t="inlineStr">
        <is>
          <t>same subsector</t>
        </is>
      </c>
    </row>
    <row r="24">
      <c r="A24" s="165" t="inlineStr">
        <is>
          <t>W_SEC</t>
        </is>
      </c>
      <c r="B24" s="7" t="n">
        <v>300</v>
      </c>
      <c r="C24" s="2" t="inlineStr">
        <is>
          <t>same sector</t>
        </is>
      </c>
    </row>
    <row r="25">
      <c r="A25" s="165" t="inlineStr">
        <is>
          <t>W_SIZE</t>
        </is>
      </c>
      <c r="B25" s="7" t="n">
        <v>200</v>
      </c>
      <c r="C25" s="2" t="inlineStr">
        <is>
          <t>size proximity</t>
        </is>
      </c>
    </row>
    <row r="26">
      <c r="A26" s="165" t="inlineStr">
        <is>
          <t>W_PROF</t>
        </is>
      </c>
      <c r="B26" s="7" t="n">
        <v>80</v>
      </c>
      <c r="C26" s="2" t="inlineStr">
        <is>
          <t>profitability match</t>
        </is>
      </c>
    </row>
    <row r="27">
      <c r="A27" s="165" t="inlineStr">
        <is>
          <t>W_AH</t>
        </is>
      </c>
      <c r="B27" s="7" t="n">
        <v>50</v>
      </c>
      <c r="C27" s="2" t="inlineStr">
        <is>
          <t>H-share match</t>
        </is>
      </c>
    </row>
    <row r="28">
      <c r="A28" s="165" t="inlineStr">
        <is>
          <t>W_REC</t>
        </is>
      </c>
      <c r="B28" s="7" t="n">
        <v>80</v>
      </c>
      <c r="C28" s="2" t="inlineStr">
        <is>
          <t>recency</t>
        </is>
      </c>
    </row>
    <row r="29">
      <c r="A29" s="165" t="inlineStr">
        <is>
          <t>W_CS</t>
        </is>
      </c>
      <c r="B29" s="7" t="n">
        <v>12</v>
      </c>
      <c r="C29" s="2" t="inlineStr">
        <is>
          <t>shares a cornerstone investor with the target</t>
        </is>
      </c>
    </row>
    <row r="30">
      <c r="A30" s="165" t="inlineStr">
        <is>
          <t>W_PE</t>
        </is>
      </c>
      <c r="B30" s="7" t="n">
        <v>150</v>
      </c>
      <c r="C30" s="2" t="inlineStr">
        <is>
          <t>P/E proximity</t>
        </is>
      </c>
    </row>
    <row r="31">
      <c r="A31" s="165" t="inlineStr">
        <is>
          <t>W_PEHW</t>
        </is>
      </c>
      <c r="B31" s="7" t="n">
        <v>0.6</v>
      </c>
      <c r="C31" s="2" t="inlineStr">
        <is>
          <t>P/E log half-width</t>
        </is>
      </c>
    </row>
    <row r="32">
      <c r="A32" s="165" t="inlineStr">
        <is>
          <t>W_SIZEHW</t>
        </is>
      </c>
      <c r="B32" s="7" t="n">
        <v>1.5</v>
      </c>
      <c r="C32" s="2" t="inlineStr">
        <is>
          <t>size log half-width</t>
        </is>
      </c>
    </row>
    <row r="33">
      <c r="A33" s="165" t="inlineStr">
        <is>
          <t>W_RECD</t>
        </is>
      </c>
      <c r="B33" s="7" t="n">
        <v>1825</v>
      </c>
      <c r="C33" s="2" t="inlineStr">
        <is>
          <t>recency horizon (days)</t>
        </is>
      </c>
    </row>
    <row r="34"/>
    <row r="35">
      <c r="A35" s="165"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5" t="inlineStr">
        <is>
          <t>WHERE EACH DATABASE COLUMN COMES FROM</t>
        </is>
      </c>
    </row>
    <row r="40">
      <c r="A40" s="12" t="inlineStr">
        <is>
          <t>Column</t>
        </is>
      </c>
      <c r="B40" s="12" t="inlineStr">
        <is>
          <t>Source and method</t>
        </is>
      </c>
    </row>
    <row r="41" ht="26" customHeight="1">
      <c r="A41" s="169" t="inlineStr">
        <is>
          <t>Code / Name / date</t>
        </is>
      </c>
      <c r="B41" s="186" t="inlineStr">
        <is>
          <t>HKEX Allotment Results announcement. Every IPO files one, so the roster comes from the filings themselves.</t>
        </is>
      </c>
    </row>
    <row r="42" ht="26" customHeight="1">
      <c r="A42" s="169" t="inlineStr">
        <is>
          <t>Name (CN)</t>
        </is>
      </c>
      <c r="B42" s="186" t="inlineStr">
        <is>
          <t>HKEX bilingual securities feed.</t>
        </is>
      </c>
    </row>
    <row r="43" ht="26" customHeight="1">
      <c r="A43" s="169" t="inlineStr">
        <is>
          <t>Sector / Subsector</t>
        </is>
      </c>
      <c r="B43" s="186" t="inlineStr">
        <is>
          <t>Analyst-assigned against data/taxonomy.json. New deals get a provisional keyword label until relabelled.</t>
        </is>
      </c>
    </row>
    <row r="44" ht="26" customHeight="1">
      <c r="A44" s="169" t="inlineStr">
        <is>
          <t>Deal size</t>
        </is>
      </c>
      <c r="B44" s="186" t="inlineStr">
        <is>
          <t>Stated gross proceeds, else final price x offer shares, else net proceeds; the basis is printed beside it. From the final-price announcement and the prospectus.</t>
        </is>
      </c>
    </row>
    <row r="45" ht="26" customHeight="1">
      <c r="A45" s="169" t="inlineStr">
        <is>
          <t>Range low / Max-cap</t>
        </is>
      </c>
      <c r="B45" s="186" t="inlineStr">
        <is>
          <t>Prospectus indicative range; the cap is the maximum offer price. A fixed-price offer has no range and is labelled as such.</t>
        </is>
      </c>
    </row>
    <row r="46" ht="26" customHeight="1">
      <c r="A46" s="169" t="inlineStr">
        <is>
          <t>Final px</t>
        </is>
      </c>
      <c r="B46" s="186" t="inlineStr">
        <is>
          <t>Allotment Results announcement (the struck price).</t>
        </is>
      </c>
    </row>
    <row r="47" ht="26" customHeight="1">
      <c r="A47" s="169" t="inlineStr">
        <is>
          <t>% of cap</t>
        </is>
      </c>
      <c r="B47" s="186" t="inlineStr">
        <is>
          <t>Final price / cap. Fixed-price offers are 100% by definition.</t>
        </is>
      </c>
    </row>
    <row r="48" ht="26" customHeight="1">
      <c r="A48" s="169" t="inlineStr">
        <is>
          <t>Mkt cap at IPO</t>
        </is>
      </c>
      <c r="B48" s="186"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69" t="inlineStr">
        <is>
          <t>Public / Intl sub</t>
        </is>
      </c>
      <c r="B49" s="186" t="inlineStr">
        <is>
          <t>Allotment Results, subscription section, per tranche. Under-subscription is kept as data.</t>
        </is>
      </c>
    </row>
    <row r="50" ht="26" customHeight="1">
      <c r="A50" s="169" t="inlineStr">
        <is>
          <t>Cornerstone % / investors</t>
        </is>
      </c>
      <c r="B50" s="186" t="inlineStr">
        <is>
          <t>Prospectus cornerstone section, filled from AAStocks where the filing text did not survive extraction.</t>
        </is>
      </c>
    </row>
    <row r="51" ht="26" customHeight="1">
      <c r="A51" s="169" t="inlineStr">
        <is>
          <t>Greenshoe size</t>
        </is>
      </c>
      <c r="B51" s="186" t="inlineStr">
        <is>
          <t>Over-allocated shares / offer shares, from the prospectus.</t>
        </is>
      </c>
    </row>
    <row r="52" ht="26" customHeight="1">
      <c r="A52" s="169" t="inlineStr">
        <is>
          <t>Shoe outcome</t>
        </is>
      </c>
      <c r="B52" s="186" t="inlineStr">
        <is>
          <t>The end-of-stabilisation notice filed about 30 days after listing.</t>
        </is>
      </c>
    </row>
    <row r="53" ht="26" customHeight="1">
      <c r="A53" s="169" t="inlineStr">
        <is>
          <t>Day-1</t>
        </is>
      </c>
      <c r="B53" s="186" t="inlineStr">
        <is>
          <t>Listing-day close vs the offer price, from the local session list; AAStocks where the price feed has no listing-day bar.</t>
        </is>
      </c>
    </row>
    <row r="54" ht="26" customHeight="1">
      <c r="A54" s="169" t="inlineStr">
        <is>
          <t>1-week / 1-month / 3-month</t>
        </is>
      </c>
      <c r="B54" s="186" t="inlineStr">
        <is>
          <t>Close 5 / 21 / 63 trading days after the debut, vs the offer price.</t>
        </is>
      </c>
    </row>
    <row r="55" ht="26" customHeight="1">
      <c r="A55" s="169" t="inlineStr">
        <is>
          <t>1m ex-pop</t>
        </is>
      </c>
      <c r="B55" s="186" t="inlineStr">
        <is>
          <t>Same horizon measured from the day-1 close, so the debut pop is stripped out.</t>
        </is>
      </c>
    </row>
    <row r="56" ht="26" customHeight="1">
      <c r="A56" s="169" t="inlineStr">
        <is>
          <t>Alpha / Index</t>
        </is>
      </c>
      <c r="B56" s="186" t="inlineStr">
        <is>
          <t>The sector index over the same window, anchored at the close before the listing. Index named per row; map on the Taxonomy tab.</t>
        </is>
      </c>
    </row>
    <row r="57" ht="26" customHeight="1">
      <c r="A57" s="169" t="inlineStr">
        <is>
          <t>Since IPO</t>
        </is>
      </c>
      <c r="B57" s="186" t="inlineStr">
        <is>
          <t>Latest close vs the offer price.</t>
        </is>
      </c>
    </row>
    <row r="58" ht="26" customHeight="1">
      <c r="A58" s="169" t="inlineStr">
        <is>
          <t>Revenue / NI</t>
        </is>
      </c>
      <c r="B58" s="186" t="inlineStr">
        <is>
          <t>Prospectus financial information, latest full year, converted to HK$ at a fixed rate.</t>
        </is>
      </c>
    </row>
    <row r="59" ht="26" customHeight="1">
      <c r="A59" s="169" t="inlineStr">
        <is>
          <t>P/E at IPO</t>
        </is>
      </c>
      <c r="B59" s="186" t="inlineStr">
        <is>
          <t>Market cap / latest FY net income. Loss-makers read n/m and carry P/S instead.</t>
        </is>
      </c>
    </row>
    <row r="60" ht="26" customHeight="1">
      <c r="A60" s="169" t="inlineStr">
        <is>
          <t>A prem vs H at IPO</t>
        </is>
      </c>
      <c r="B60" s="186" t="inlineStr">
        <is>
          <t>A-share close on the last session before the H listing, in HK$ at that day's rate, over the H offer price, minus 1. Checked by hand on CATL.</t>
        </is>
      </c>
    </row>
    <row r="61" ht="26" customHeight="1">
      <c r="A61" s="169" t="inlineStr">
        <is>
          <t>A premium (today)</t>
        </is>
      </c>
      <c r="B61" s="186" t="inlineStr">
        <is>
          <t>Latest A and H closes, same conversion.</t>
        </is>
      </c>
    </row>
    <row r="62" ht="26" customHeight="1">
      <c r="A62" s="169" t="inlineStr">
        <is>
          <t>Sponsors / Bookrunners</t>
        </is>
      </c>
      <c r="B62" s="186" t="inlineStr">
        <is>
          <t>Prospectus cover page. The AAStocks columns beside them are the same facts from the deal's AAStocks page.</t>
        </is>
      </c>
    </row>
    <row r="63" ht="26" customHeight="1">
      <c r="A63" s="169" t="inlineStr">
        <is>
          <t>Prospectus / Allotment / Stabilisation</t>
        </is>
      </c>
      <c r="B63" s="186"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2026-09-14T13:36:36Z</dcterms:created>
  <dcterms:modified xmlns:dcterms="http://purl.org/dc/terms/" xmlns:xsi="http://www.w3.org/2001/XMLSchema-instance" xsi:type="dcterms:W3CDTF">2026-09-14T13:36:38Z</dcterms:modified>
</cp:coreProperties>
</file>